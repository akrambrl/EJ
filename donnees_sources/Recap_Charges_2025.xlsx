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" sheetId="1" state="visible" r:id="rId3"/>
    <sheet name="Revenus" sheetId="2" state="visible" r:id="rId4"/>
    <sheet name="Revenus détail" sheetId="3" state="visible" r:id="rId5"/>
    <sheet name="Salaires détail" sheetId="4" state="visible" r:id="rId6"/>
    <sheet name="Fournisseurs France détail" sheetId="5" state="visible" r:id="rId7"/>
    <sheet name="Usine conditionnement détail" sheetId="6" state="visible" r:id="rId8"/>
    <sheet name="Fournisseurs intl détail" sheetId="7" state="visible" r:id="rId9"/>
    <sheet name="Charges sociales détail" sheetId="8" state="visible" r:id="rId10"/>
    <sheet name="Voyages détail" sheetId="9" state="visible" r:id="rId11"/>
    <sheet name="Téléphone-Internet détail" sheetId="10" state="visible" r:id="rId12"/>
    <sheet name="Commission vendeur détail" sheetId="11" state="visible" r:id="rId13"/>
    <sheet name="Frais pro divers détail" sheetId="12" state="visible" r:id="rId14"/>
    <sheet name="Électricité Gaz détail" sheetId="13" state="visible" r:id="rId15"/>
    <sheet name="Comptabilité détail" sheetId="14" state="visible" r:id="rId16"/>
    <sheet name="Frais bancaires détail" sheetId="15" state="visible" r:id="rId17"/>
    <sheet name="Mutuelle détail" sheetId="16" state="visible" r:id="rId18"/>
    <sheet name="Fournitures bureau détail" sheetId="17" state="visible" r:id="rId19"/>
    <sheet name="Transport livraison détail" sheetId="18" state="visible" r:id="rId20"/>
    <sheet name="Prêt détail" sheetId="19" state="visible" r:id="rId21"/>
    <sheet name="Alimentation détail" sheetId="20" state="visible" r:id="rId22"/>
    <sheet name="Assurances détail" sheetId="21" state="visible" r:id="rId23"/>
    <sheet name="Restauration détail" sheetId="22" state="visible" r:id="rId24"/>
    <sheet name="Carburant péages parking détail" sheetId="23" state="visible" r:id="rId25"/>
    <sheet name="Frais véhicule détail" sheetId="24" state="visible" r:id="rId26"/>
    <sheet name="Détail" sheetId="25" state="visible" r:id="rId27"/>
    <sheet name="Détail Revenus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<sst xmlns="http://schemas.openxmlformats.org/spreadsheetml/2006/main" count="8966" uniqueCount="1661">
  <si>
    <t xml:space="preserve">Récapitulatif des charges — Compte BRED EJ 2025</t>
  </si>
  <si>
    <t xml:space="preserve">Période couverte : 02/01/2025 au 31/12/2025  —  1396 opérations (année complète)</t>
  </si>
  <si>
    <t xml:space="preserve">Total encaissements</t>
  </si>
  <si>
    <t xml:space="preserve">Total charges (hors encaissements, hors chèques/non classé à vérifier)</t>
  </si>
  <si>
    <t xml:space="preserve">Solde net (encaissements + charges + à vérifier)</t>
  </si>
  <si>
    <t xml:space="preserve">Détail par catégorie de charge</t>
  </si>
  <si>
    <t xml:space="preserve">Catégorie</t>
  </si>
  <si>
    <t xml:space="preserve">Nb opérations</t>
  </si>
  <si>
    <t xml:space="preserve">Montant total (€)</t>
  </si>
  <si>
    <t xml:space="preserve">% du total charges</t>
  </si>
  <si>
    <t xml:space="preserve">Fournisseurs matières premières &amp; emballage (France)</t>
  </si>
  <si>
    <t xml:space="preserve">Usine de conditionnement et macération</t>
  </si>
  <si>
    <t xml:space="preserve">Fournisseurs internationaux (Chine/Import)</t>
  </si>
  <si>
    <t xml:space="preserve">Transport / livraison (colis, courrier)</t>
  </si>
  <si>
    <t xml:space="preserve">Salaires (salariés)</t>
  </si>
  <si>
    <t xml:space="preserve">Charges sociales &amp; cotisations</t>
  </si>
  <si>
    <t xml:space="preserve">Rémunération gérant</t>
  </si>
  <si>
    <t xml:space="preserve">Frais professionnels divers</t>
  </si>
  <si>
    <t xml:space="preserve">Voyages / déplacements</t>
  </si>
  <si>
    <t xml:space="preserve">Carburant, péages, parking, leasing</t>
  </si>
  <si>
    <t xml:space="preserve">Téléphone / Internet / Logiciels</t>
  </si>
  <si>
    <t xml:space="preserve">Commission vendeur</t>
  </si>
  <si>
    <t xml:space="preserve">Électricité / Gaz</t>
  </si>
  <si>
    <t xml:space="preserve">Comptabilité / expert-comptable</t>
  </si>
  <si>
    <t xml:space="preserve">Paiement par chèque (à vérifier)</t>
  </si>
  <si>
    <t xml:space="preserve">Frais bancaires &amp; financiers</t>
  </si>
  <si>
    <t xml:space="preserve">Mutuelle / prévoyance salariés</t>
  </si>
  <si>
    <t xml:space="preserve">Frais de véhicule (entretien, réparation)</t>
  </si>
  <si>
    <t xml:space="preserve">Fournitures bureau / colis / achats en ligne</t>
  </si>
  <si>
    <t xml:space="preserve">Restauration</t>
  </si>
  <si>
    <t xml:space="preserve">Alimentation / supermarché</t>
  </si>
  <si>
    <t xml:space="preserve">Assurances</t>
  </si>
  <si>
    <t xml:space="preserve">Prêt professionnel</t>
  </si>
  <si>
    <t xml:space="preserve">TOTAL</t>
  </si>
  <si>
    <t xml:space="preserve">🟠 En orange : catégories pas encore validées avec Mounir (à vérifier)</t>
  </si>
  <si>
    <t xml:space="preserve">Revenus — Compte BRED EJ 2025</t>
  </si>
  <si>
    <t xml:space="preserve">Période couverte : 08/01/2025 au 30/12/2025  —  89 encaissements</t>
  </si>
  <si>
    <t xml:space="preserve">Détail par source de revenu</t>
  </si>
  <si>
    <t xml:space="preserve">Source</t>
  </si>
  <si>
    <t xml:space="preserve">% du total</t>
  </si>
  <si>
    <t xml:space="preserve">NB Evolution FZCO (factures NB...)</t>
  </si>
  <si>
    <t xml:space="preserve">Usine Algérie (Jade Création — sans marge)</t>
  </si>
  <si>
    <t xml:space="preserve">Encaissements non identifiés</t>
  </si>
  <si>
    <t xml:space="preserve">Arzum Group Mmc</t>
  </si>
  <si>
    <t xml:space="preserve">Al Muftah</t>
  </si>
  <si>
    <t xml:space="preserve">Al Fawanis Company</t>
  </si>
  <si>
    <t xml:space="preserve">Chaloub Trading</t>
  </si>
  <si>
    <t xml:space="preserve">Dv Menswear</t>
  </si>
  <si>
    <t xml:space="preserve">Khiyat Cospara</t>
  </si>
  <si>
    <t xml:space="preserve">Cielomed</t>
  </si>
  <si>
    <t xml:space="preserve">Passion Parfum</t>
  </si>
  <si>
    <t xml:space="preserve">Davidson Distributors Llc</t>
  </si>
  <si>
    <t xml:space="preserve">Ventes en ligne (boutique Shopify)</t>
  </si>
  <si>
    <t xml:space="preserve">Mb Tressoria</t>
  </si>
  <si>
    <t xml:space="preserve">Npj Trading Limited</t>
  </si>
  <si>
    <t xml:space="preserve">Remboursement TVA</t>
  </si>
  <si>
    <t xml:space="preserve">Perfumeparadise Aps</t>
  </si>
  <si>
    <t xml:space="preserve">Akkona Sp. Z O.O.</t>
  </si>
  <si>
    <t xml:space="preserve">Smart Uk Brands Ltd</t>
  </si>
  <si>
    <t xml:space="preserve">Ras Transport</t>
  </si>
  <si>
    <t xml:space="preserve">Créance 2024 encaissée en 2025 (Usine Algérie)</t>
  </si>
  <si>
    <t xml:space="preserve">🟠 En orange : sources pas encore confirmées avec Mounir</t>
  </si>
  <si>
    <t xml:space="preserve">Revenus — détail par source et par mois (2025)</t>
  </si>
  <si>
    <t xml:space="preserve">Mois</t>
  </si>
  <si>
    <t xml:space="preserve">Montant</t>
  </si>
  <si>
    <t xml:space="preserve">Janvier 2025</t>
  </si>
  <si>
    <t xml:space="preserve">Février 2025</t>
  </si>
  <si>
    <t xml:space="preserve">Mars 2025</t>
  </si>
  <si>
    <t xml:space="preserve">Avril 2025</t>
  </si>
  <si>
    <t xml:space="preserve">Mai 2025</t>
  </si>
  <si>
    <t xml:space="preserve">Juin 2025</t>
  </si>
  <si>
    <t xml:space="preserve">Juillet 2025</t>
  </si>
  <si>
    <t xml:space="preserve">Août 2025</t>
  </si>
  <si>
    <t xml:space="preserve">Septembre 2025</t>
  </si>
  <si>
    <t xml:space="preserve">Octobre 2025</t>
  </si>
  <si>
    <t xml:space="preserve">Novembre 2025</t>
  </si>
  <si>
    <t xml:space="preserve">Décembre 2025</t>
  </si>
  <si>
    <t xml:space="preserve">Noms bancaires d'origine :</t>
  </si>
  <si>
    <t xml:space="preserve">SARL JADE CREATION                  SALGDZALXXX, SARL JADE CREATION                  SALGDZALXXX SALGDZALXXX</t>
  </si>
  <si>
    <t xml:space="preserve">SIE MARNE ET BOIS, (sans libellé), PERFUMEPARADISE APS, ASOL ALDEAR CO, AKKONA SPOLKA Z OGRANICZONA ODPOWIEDZIALNOSCIA, SMART UK BRANDS LTD 167-169 5TH FLO, RAS TRANSPORT</t>
  </si>
  <si>
    <t xml:space="preserve">ARZUM GROUP, ARZUM GROUP MMC, TAX ID 2007973391 ARZUM GROUP MMC</t>
  </si>
  <si>
    <t xml:space="preserve">ALMUFTAH MARKETING, ALMUFTAH TRADING AND CONTRACTING</t>
  </si>
  <si>
    <t xml:space="preserve">1/CHALHOUB COMPANY FOR GENERAL TRA, CHALHOUB FOR GENERAL TRADING SARL</t>
  </si>
  <si>
    <t xml:space="preserve">TOAST.S, PASSION PARFUM SARL</t>
  </si>
  <si>
    <t xml:space="preserve">STRIPE, VISA PAYMENTS LIMITED</t>
  </si>
  <si>
    <t xml:space="preserve">Salaires &amp; rémunération gérant — détail par personne (2025)</t>
  </si>
  <si>
    <t xml:space="preserve">Mr Boudjada Said (Gérant — rémunération libre)</t>
  </si>
  <si>
    <t xml:space="preserve">Mr Boudaja Nassim (Salarié)</t>
  </si>
  <si>
    <t xml:space="preserve">Mr Boudjada Mounir (Salarié)</t>
  </si>
  <si>
    <t xml:space="preserve">Mme Machado Natali (Salarié)</t>
  </si>
  <si>
    <t xml:space="preserve">Mme Machado Natali (Avance Sur Salaire)</t>
  </si>
  <si>
    <t xml:space="preserve">Fournisseurs matières premières &amp; emballage (France) — détail par fournisseur (2025)</t>
  </si>
  <si>
    <t xml:space="preserve">Firmenich</t>
  </si>
  <si>
    <t xml:space="preserve">Aromascent</t>
  </si>
  <si>
    <t xml:space="preserve">Cpl Aromas France</t>
  </si>
  <si>
    <t xml:space="preserve">Envases</t>
  </si>
  <si>
    <t xml:space="preserve">Neroli France</t>
  </si>
  <si>
    <t xml:space="preserve">Cartonnages  Du Val D Orge</t>
  </si>
  <si>
    <t xml:space="preserve">Sleeve Concept</t>
  </si>
  <si>
    <t xml:space="preserve">Nasmir  Europe Fragrances</t>
  </si>
  <si>
    <t xml:space="preserve">Seluz Kimya Kozmetik Tic Ve San As</t>
  </si>
  <si>
    <t xml:space="preserve">Usine de conditionnement et macération — détail (2025)</t>
  </si>
  <si>
    <t xml:space="preserve">France Conditionnement Parfum</t>
  </si>
  <si>
    <t xml:space="preserve">Amival</t>
  </si>
  <si>
    <t xml:space="preserve">Fournisseurs internationaux (Chine/Import) — détail par fournisseur (2025)</t>
  </si>
  <si>
    <t xml:space="preserve">Zhejiang Bi Industrial Co Ltd</t>
  </si>
  <si>
    <t xml:space="preserve">Leaders Hardware Plastic Co Limited</t>
  </si>
  <si>
    <t xml:space="preserve">Shenzhen Fortress Industry Co</t>
  </si>
  <si>
    <t xml:space="preserve">Luxe Perfumes Fzc</t>
  </si>
  <si>
    <t xml:space="preserve">Gold Rock Company Limited</t>
  </si>
  <si>
    <t xml:space="preserve">Alibaba.Com Sin</t>
  </si>
  <si>
    <t xml:space="preserve">Charges sociales &amp; cotisations — détail par organisme (2025)</t>
  </si>
  <si>
    <t xml:space="preserve">Urssaf D'Ile De France</t>
  </si>
  <si>
    <t xml:space="preserve">Ag2R Reunica</t>
  </si>
  <si>
    <t xml:space="preserve">Direction Generale Des Finances Publiques (Dgfip)</t>
  </si>
  <si>
    <t xml:space="preserve">Ag2R La Mondiale</t>
  </si>
  <si>
    <t xml:space="preserve">Akto</t>
  </si>
  <si>
    <t xml:space="preserve">Voyages / déplacements — détail par prestataire (2025)</t>
  </si>
  <si>
    <t xml:space="preserve">Emirates</t>
  </si>
  <si>
    <t xml:space="preserve">Air France</t>
  </si>
  <si>
    <t xml:space="preserve">Sonder.Com</t>
  </si>
  <si>
    <t xml:space="preserve">Five Luxe Hotel</t>
  </si>
  <si>
    <t xml:space="preserve">Lord Byron</t>
  </si>
  <si>
    <t xml:space="preserve">La Vie Vacation Homes Rental Llc</t>
  </si>
  <si>
    <t xml:space="preserve">Travel Reservat</t>
  </si>
  <si>
    <t xml:space="preserve">Dubai World Tra</t>
  </si>
  <si>
    <t xml:space="preserve">Getaround* Rese</t>
  </si>
  <si>
    <t xml:space="preserve">Airbnb</t>
  </si>
  <si>
    <t xml:space="preserve">Saudi Air 065</t>
  </si>
  <si>
    <t xml:space="preserve">Dubai Duty Free</t>
  </si>
  <si>
    <t xml:space="preserve">Terme Milano S.</t>
  </si>
  <si>
    <t xml:space="preserve">Uber</t>
  </si>
  <si>
    <t xml:space="preserve">Sp Holafly.Com</t>
  </si>
  <si>
    <t xml:space="preserve">Relais Millau L</t>
  </si>
  <si>
    <t xml:space="preserve">Istanbul Taxim</t>
  </si>
  <si>
    <t xml:space="preserve">Dubai Taxi</t>
  </si>
  <si>
    <t xml:space="preserve">Istanbul 62</t>
  </si>
  <si>
    <t xml:space="preserve">Global Village-</t>
  </si>
  <si>
    <t xml:space="preserve">Arabia Taxi</t>
  </si>
  <si>
    <t xml:space="preserve">Inflight Intern</t>
  </si>
  <si>
    <t xml:space="preserve">Ibis Budget</t>
  </si>
  <si>
    <t xml:space="preserve">Bb Hotels Itali</t>
  </si>
  <si>
    <t xml:space="preserve">Aena Aeropuerto</t>
  </si>
  <si>
    <t xml:space="preserve">Téléphone / Internet / Logiciels — détail par prestataire (2025)</t>
  </si>
  <si>
    <t xml:space="preserve">Orange Sa</t>
  </si>
  <si>
    <t xml:space="preserve">Google Workspace</t>
  </si>
  <si>
    <t xml:space="preserve">Boutique Orange</t>
  </si>
  <si>
    <t xml:space="preserve">Adobe</t>
  </si>
  <si>
    <t xml:space="preserve">Shopify</t>
  </si>
  <si>
    <t xml:space="preserve">Apple</t>
  </si>
  <si>
    <t xml:space="preserve">Ovh Sas</t>
  </si>
  <si>
    <t xml:space="preserve">Microsoft</t>
  </si>
  <si>
    <t xml:space="preserve">Virgin Mobile U</t>
  </si>
  <si>
    <t xml:space="preserve">Hi Phone Teleco</t>
  </si>
  <si>
    <t xml:space="preserve">Nyx*Lamaisonlyo</t>
  </si>
  <si>
    <t xml:space="preserve">Commission vendeur — détail (2025)</t>
  </si>
  <si>
    <t xml:space="preserve">Commission versée à un apporteur d'affaires (a trouvé un client).</t>
  </si>
  <si>
    <t xml:space="preserve">Mr Riadh Chebhouni</t>
  </si>
  <si>
    <t xml:space="preserve">Frais professionnels divers — détail par prestataire (2025)</t>
  </si>
  <si>
    <t xml:space="preserve">Messe Frankfurt  Middle  East Gmbh</t>
  </si>
  <si>
    <t xml:space="preserve">Sas Somexing</t>
  </si>
  <si>
    <t xml:space="preserve">Sa  Liatech</t>
  </si>
  <si>
    <t xml:space="preserve">Esi</t>
  </si>
  <si>
    <t xml:space="preserve">Sylvie De France</t>
  </si>
  <si>
    <t xml:space="preserve">Web Print Services</t>
  </si>
  <si>
    <t xml:space="preserve">Tuv Rheinland France Sas</t>
  </si>
  <si>
    <t xml:space="preserve">Ccip Dfce Gefi</t>
  </si>
  <si>
    <t xml:space="preserve">Etc Groupe</t>
  </si>
  <si>
    <t xml:space="preserve">Gl Haussmann</t>
  </si>
  <si>
    <t xml:space="preserve">Inpi Vads</t>
  </si>
  <si>
    <t xml:space="preserve">Gs1 France</t>
  </si>
  <si>
    <t xml:space="preserve">Selarl  Actis  Avocats</t>
  </si>
  <si>
    <t xml:space="preserve">Equipe Exibit Srl</t>
  </si>
  <si>
    <t xml:space="preserve">Virement (Sans Libellé Bénéficiaire)</t>
  </si>
  <si>
    <t xml:space="preserve">Assistance Demarches</t>
  </si>
  <si>
    <t xml:space="preserve">Societe Nouvell</t>
  </si>
  <si>
    <t xml:space="preserve">Izi Confort</t>
  </si>
  <si>
    <t xml:space="preserve">Bruneau</t>
  </si>
  <si>
    <t xml:space="preserve">Servizio</t>
  </si>
  <si>
    <t xml:space="preserve">Fade And Shave</t>
  </si>
  <si>
    <t xml:space="preserve">Sogesco Sas</t>
  </si>
  <si>
    <t xml:space="preserve">Mohellebi Samy</t>
  </si>
  <si>
    <t xml:space="preserve">Centro Congress</t>
  </si>
  <si>
    <t xml:space="preserve">Nuova Sidap Srl</t>
  </si>
  <si>
    <t xml:space="preserve">Sumup</t>
  </si>
  <si>
    <t xml:space="preserve">Adidas</t>
  </si>
  <si>
    <t xml:space="preserve">Hb Leisure Game</t>
  </si>
  <si>
    <t xml:space="preserve">Glr Auvergne</t>
  </si>
  <si>
    <t xml:space="preserve">Bred Joinville Pol1</t>
  </si>
  <si>
    <t xml:space="preserve">Sc.Pokeshop Joi</t>
  </si>
  <si>
    <t xml:space="preserve">Atlantis</t>
  </si>
  <si>
    <t xml:space="preserve">Raptor Team Tou</t>
  </si>
  <si>
    <t xml:space="preserve">Day To Day Hype</t>
  </si>
  <si>
    <t xml:space="preserve">Dwtc Exhibition</t>
  </si>
  <si>
    <t xml:space="preserve">Commande</t>
  </si>
  <si>
    <t xml:space="preserve">Compagnie Eiffa</t>
  </si>
  <si>
    <t xml:space="preserve">Cevm Nfc</t>
  </si>
  <si>
    <t xml:space="preserve">Sdc Paris Masse</t>
  </si>
  <si>
    <t xml:space="preserve">Électricité / Gaz — détail mensuel (2025)</t>
  </si>
  <si>
    <t xml:space="preserve">Totalenergies Electricite Et Gaz France</t>
  </si>
  <si>
    <t xml:space="preserve">Comptabilité / expert-comptable — détail (2025)</t>
  </si>
  <si>
    <t xml:space="preserve">Cabinet Sas Daran</t>
  </si>
  <si>
    <t xml:space="preserve">Ebp France-E B P Informatique</t>
  </si>
  <si>
    <t xml:space="preserve">Frais bancaires &amp; financiers — détail par type de frais (2025)</t>
  </si>
  <si>
    <t xml:space="preserve">Groupé par type d'opération bancaire (pas de nom de prestataire sur ces lignes).</t>
  </si>
  <si>
    <t xml:space="preserve">Interets</t>
  </si>
  <si>
    <t xml:space="preserve">Frais Banque Etrangere</t>
  </si>
  <si>
    <t xml:space="preserve">Frais Virement International</t>
  </si>
  <si>
    <t xml:space="preserve">Frais De Change</t>
  </si>
  <si>
    <t xml:space="preserve">Abonnement Transbred.Com</t>
  </si>
  <si>
    <t xml:space="preserve">Cotisation</t>
  </si>
  <si>
    <t xml:space="preserve">Frais Transaction Carte</t>
  </si>
  <si>
    <t xml:space="preserve">Frais Tenue De Compte</t>
  </si>
  <si>
    <t xml:space="preserve">Prelevement Sepa</t>
  </si>
  <si>
    <t xml:space="preserve">Frais De Dossier</t>
  </si>
  <si>
    <t xml:space="preserve">Frais Virement International Taxable</t>
  </si>
  <si>
    <t xml:space="preserve">Cotisation Bred Garantie Homme Cle</t>
  </si>
  <si>
    <t xml:space="preserve">Frais Avis D'Opere</t>
  </si>
  <si>
    <t xml:space="preserve">Frais Virement International Non Taxable</t>
  </si>
  <si>
    <t xml:space="preserve">Frais Annuels De Suivi Administratif</t>
  </si>
  <si>
    <t xml:space="preserve">Confirmation Swift</t>
  </si>
  <si>
    <t xml:space="preserve">Frais Virement Europeen</t>
  </si>
  <si>
    <t xml:space="preserve">Oper. Sur Titres</t>
  </si>
  <si>
    <t xml:space="preserve">Prelevement Sepa Rejete</t>
  </si>
  <si>
    <t xml:space="preserve">Mutuelle / prévoyance salariés — détail par organisme (2025)</t>
  </si>
  <si>
    <t xml:space="preserve">Amm Cot Sante Des Entreprises-Apivia Macif Mutuelle</t>
  </si>
  <si>
    <t xml:space="preserve">Macif Idf Production-Macif</t>
  </si>
  <si>
    <t xml:space="preserve">Cep Treso Sante Prev</t>
  </si>
  <si>
    <t xml:space="preserve">Fournitures bureau / colis / achats en ligne — détail par prestataire (2025)</t>
  </si>
  <si>
    <t xml:space="preserve">Boulanger</t>
  </si>
  <si>
    <t xml:space="preserve">Amazon Payments</t>
  </si>
  <si>
    <t xml:space="preserve">Castorama</t>
  </si>
  <si>
    <t xml:space="preserve">Leroy Merlin</t>
  </si>
  <si>
    <t xml:space="preserve">Leroy Merlin Sc</t>
  </si>
  <si>
    <t xml:space="preserve">Boulangerie (Divers)</t>
  </si>
  <si>
    <t xml:space="preserve">Action 4632</t>
  </si>
  <si>
    <t xml:space="preserve">Transport / livraison (colis, courrier) — détail par prestataire (2025)</t>
  </si>
  <si>
    <t xml:space="preserve">Ifs</t>
  </si>
  <si>
    <t xml:space="preserve">Dhl Internat. Exp France</t>
  </si>
  <si>
    <t xml:space="preserve">La Poste.Fr</t>
  </si>
  <si>
    <t xml:space="preserve">Fedex Express</t>
  </si>
  <si>
    <t xml:space="preserve">Prêt professionnel — détail (2025)</t>
  </si>
  <si>
    <t xml:space="preserve">Bpifrance</t>
  </si>
  <si>
    <t xml:space="preserve">Alimentation / supermarché — détail par enseigne (2025)</t>
  </si>
  <si>
    <t xml:space="preserve">Supermarche L'</t>
  </si>
  <si>
    <t xml:space="preserve">E.Leclerc</t>
  </si>
  <si>
    <t xml:space="preserve">Nespresso</t>
  </si>
  <si>
    <t xml:space="preserve">Carrefour</t>
  </si>
  <si>
    <t xml:space="preserve">Freshmart</t>
  </si>
  <si>
    <t xml:space="preserve">Maxicoffee Gc</t>
  </si>
  <si>
    <t xml:space="preserve">Intermarche Cha</t>
  </si>
  <si>
    <t xml:space="preserve">Epi D Or</t>
  </si>
  <si>
    <t xml:space="preserve">A G K Refreshme</t>
  </si>
  <si>
    <t xml:space="preserve">Assurances — détail (2025)</t>
  </si>
  <si>
    <t xml:space="preserve">Swisslife Assurance De Biens</t>
  </si>
  <si>
    <t xml:space="preserve">Restauration — détail par enseigne (2025)</t>
  </si>
  <si>
    <t xml:space="preserve">Fomo Star Cafe</t>
  </si>
  <si>
    <t xml:space="preserve">Azure Restauran</t>
  </si>
  <si>
    <t xml:space="preserve">Iloli Restauran</t>
  </si>
  <si>
    <t xml:space="preserve">Tribes Carnivor</t>
  </si>
  <si>
    <t xml:space="preserve">Mcdonald'S</t>
  </si>
  <si>
    <t xml:space="preserve">Deliveroo</t>
  </si>
  <si>
    <t xml:space="preserve">La Taverna</t>
  </si>
  <si>
    <t xml:space="preserve">Cafe De Paris R</t>
  </si>
  <si>
    <t xml:space="preserve">Yula Lounge</t>
  </si>
  <si>
    <t xml:space="preserve">Yomasa Vemars</t>
  </si>
  <si>
    <t xml:space="preserve">Tardenois Nord</t>
  </si>
  <si>
    <t xml:space="preserve">Top Golf Rest</t>
  </si>
  <si>
    <t xml:space="preserve">Five Guys-(Br O</t>
  </si>
  <si>
    <t xml:space="preserve">Umami Restauran</t>
  </si>
  <si>
    <t xml:space="preserve">786 Champigny S</t>
  </si>
  <si>
    <t xml:space="preserve">Ilka Comptoir</t>
  </si>
  <si>
    <t xml:space="preserve">Minutes Quick S</t>
  </si>
  <si>
    <t xml:space="preserve">Quick</t>
  </si>
  <si>
    <t xml:space="preserve">Waffle Fatory</t>
  </si>
  <si>
    <t xml:space="preserve">Pizza Power</t>
  </si>
  <si>
    <t xml:space="preserve">Istambul Kebap</t>
  </si>
  <si>
    <t xml:space="preserve">Subway</t>
  </si>
  <si>
    <t xml:space="preserve">Autogrill 0064</t>
  </si>
  <si>
    <t xml:space="preserve">Barceloneta Por</t>
  </si>
  <si>
    <t xml:space="preserve">Carburant, péages, parking, leasing — détail par poste (2025)</t>
  </si>
  <si>
    <t xml:space="preserve">Regroupe carburant (par enseigne, France + étranger), péages, abonnements télépéage, parking et le crédit/leasing véhicule (VW Bank).</t>
  </si>
  <si>
    <t xml:space="preserve">Leasing / crédit véhicule (VW Bank)</t>
  </si>
  <si>
    <t xml:space="preserve">Carburant — Total</t>
  </si>
  <si>
    <t xml:space="preserve">Carburant — Esso</t>
  </si>
  <si>
    <t xml:space="preserve">Prestataires :</t>
  </si>
  <si>
    <t xml:space="preserve">Esso Champigny, Esso St Thibaul, Esso31817Roc1, Esso Aulnay, Esso31735Roc3, Esso Attainvill, Esso31775Roc3, Esso31753Roc1, Esso Champilava</t>
  </si>
  <si>
    <t xml:space="preserve">Carburant — Avia</t>
  </si>
  <si>
    <t xml:space="preserve">Carburant — Shell</t>
  </si>
  <si>
    <t xml:space="preserve">Carburant — étranger (Italie/Espagne)</t>
  </si>
  <si>
    <t xml:space="preserve">Italiana Petrol, Es El Masnou, E.S. Cedipsa Em, E.S.La Talaia, Dyneff Nfc, Dyneff Graincou</t>
  </si>
  <si>
    <t xml:space="preserve">Péages</t>
  </si>
  <si>
    <t xml:space="preserve">Sanef, Sanef Autoroute, Aprr Nfc, Aprr, Autoroutes Du S, Cofiroute, Sapn, Td Autoroutes, Piazzale France, Gavio - Satap A, Gavio - Sav, Atmb, Atmb Nfc</t>
  </si>
  <si>
    <t xml:space="preserve">Abonnements télépéage</t>
  </si>
  <si>
    <t xml:space="preserve">Roole-Identicar-Identicar, Roole-Identicar</t>
  </si>
  <si>
    <t xml:space="preserve">Parking</t>
  </si>
  <si>
    <t xml:space="preserve">Indigo 941401, Indigo930323, Viparis Pdv Pkg, Safe Park Valet, Saemes Hmo, National Parkin, Effia Park, Regie Bpnl, Eppc Site 10, Areas A10 Limou, Adp Roissy Pcd</t>
  </si>
  <si>
    <t xml:space="preserve">Aires de repos / relais autoroutiers</t>
  </si>
  <si>
    <t xml:space="preserve">Relais Tremblay, Rel.Hardiviller, Rel. Pontault, Relais Sentinel</t>
  </si>
  <si>
    <t xml:space="preserve">Frais de véhicule (entretien, réparation) — détail par prestataire (2025)</t>
  </si>
  <si>
    <t xml:space="preserve">Center Pneu Mon</t>
  </si>
  <si>
    <t xml:space="preserve">Como Fontenay</t>
  </si>
  <si>
    <t xml:space="preserve">Web Amende.Gouv</t>
  </si>
  <si>
    <t xml:space="preserve">Expert Du Peu 2</t>
  </si>
  <si>
    <t xml:space="preserve">Date</t>
  </si>
  <si>
    <t xml:space="preserve">Référence</t>
  </si>
  <si>
    <t xml:space="preserve">Type d'opération</t>
  </si>
  <si>
    <t xml:space="preserve">Fournisseur / Libellé</t>
  </si>
  <si>
    <t xml:space="preserve">Montant (€)</t>
  </si>
  <si>
    <t xml:space="preserve">2595370</t>
  </si>
  <si>
    <t xml:space="preserve">PRELEVEMENT SEPA</t>
  </si>
  <si>
    <t xml:space="preserve">AMM COT SANTE DES ENTREPRISES-APIVIA MACIF MUTUELLE</t>
  </si>
  <si>
    <t xml:space="preserve">5011734</t>
  </si>
  <si>
    <t xml:space="preserve">CARTE</t>
  </si>
  <si>
    <t xml:space="preserve">AUTOROUTES DU S</t>
  </si>
  <si>
    <t xml:space="preserve">2593347</t>
  </si>
  <si>
    <t xml:space="preserve">VW BANK FRANCE</t>
  </si>
  <si>
    <t xml:space="preserve">TOTALENERGIES ELECTRICITE ET GAZ FRANCE</t>
  </si>
  <si>
    <t xml:space="preserve">2594203</t>
  </si>
  <si>
    <t xml:space="preserve">DHL INTERNAT. EXP FRANCE</t>
  </si>
  <si>
    <t xml:space="preserve">2213720</t>
  </si>
  <si>
    <t xml:space="preserve">8416084</t>
  </si>
  <si>
    <t xml:space="preserve">APRR</t>
  </si>
  <si>
    <t xml:space="preserve">019568</t>
  </si>
  <si>
    <t xml:space="preserve">ABONNEMENT TRANSBRED.COM</t>
  </si>
  <si>
    <t xml:space="preserve">(DONT HORS TAXE E.35,00  TVA TAUX 20,00 % E.7,00)</t>
  </si>
  <si>
    <t xml:space="preserve">2597183</t>
  </si>
  <si>
    <t xml:space="preserve">0319160</t>
  </si>
  <si>
    <t xml:space="preserve">0022781</t>
  </si>
  <si>
    <t xml:space="preserve">GOOGLE WORKSPACE</t>
  </si>
  <si>
    <t xml:space="preserve">0310002</t>
  </si>
  <si>
    <t xml:space="preserve">CCIP DFCE GEFI</t>
  </si>
  <si>
    <t xml:space="preserve">2600649</t>
  </si>
  <si>
    <t xml:space="preserve">VIREMENT SEPA RECU</t>
  </si>
  <si>
    <t xml:space="preserve">STRIPE</t>
  </si>
  <si>
    <t xml:space="preserve">Encaissement (hors périmètre charges)</t>
  </si>
  <si>
    <t xml:space="preserve">3007394</t>
  </si>
  <si>
    <t xml:space="preserve">ESSO CHAMPIGNY</t>
  </si>
  <si>
    <t xml:space="preserve">8416847</t>
  </si>
  <si>
    <t xml:space="preserve">RELAIS TREMBLAY</t>
  </si>
  <si>
    <t xml:space="preserve">8416784</t>
  </si>
  <si>
    <t xml:space="preserve">SANEF AUTOROUTE</t>
  </si>
  <si>
    <t xml:space="preserve">3008231</t>
  </si>
  <si>
    <t xml:space="preserve">5009152</t>
  </si>
  <si>
    <t xml:space="preserve">LA POSTE.FR</t>
  </si>
  <si>
    <t xml:space="preserve">1310420</t>
  </si>
  <si>
    <t xml:space="preserve">SANEF</t>
  </si>
  <si>
    <t xml:space="preserve">2601621</t>
  </si>
  <si>
    <t xml:space="preserve">MACIF IDF PRODUCTION-MACIF</t>
  </si>
  <si>
    <t xml:space="preserve">8818628</t>
  </si>
  <si>
    <t xml:space="preserve">LA TAVERNA</t>
  </si>
  <si>
    <t xml:space="preserve">2601416</t>
  </si>
  <si>
    <t xml:space="preserve">CABINET SAS DARAN</t>
  </si>
  <si>
    <t xml:space="preserve">2601772</t>
  </si>
  <si>
    <t xml:space="preserve">2599296</t>
  </si>
  <si>
    <t xml:space="preserve">SWISSLIFE ASSURANCE DE BIENS</t>
  </si>
  <si>
    <t xml:space="preserve">2037013</t>
  </si>
  <si>
    <t xml:space="preserve">INTERETS</t>
  </si>
  <si>
    <t xml:space="preserve">3809243</t>
  </si>
  <si>
    <t xml:space="preserve">FRAIS AVIS D'OPERE</t>
  </si>
  <si>
    <t xml:space="preserve">(DONT HORS TAXE E.1,00  TVA TAUX 20,00 % E.0,20)</t>
  </si>
  <si>
    <t xml:space="preserve">VIREMENT INTERNATIONAL RECU</t>
  </si>
  <si>
    <t xml:space="preserve">ARZUM GROUP</t>
  </si>
  <si>
    <t xml:space="preserve">0001101</t>
  </si>
  <si>
    <t xml:space="preserve">SHOPIFY</t>
  </si>
  <si>
    <t xml:space="preserve">FRAIS TRANSACTION CARTE</t>
  </si>
  <si>
    <t xml:space="preserve">9005319</t>
  </si>
  <si>
    <t xml:space="preserve">VIREMENT SEPA EMIS</t>
  </si>
  <si>
    <t xml:space="preserve">FRANCE CONDITIONNEMENT PARFUM</t>
  </si>
  <si>
    <t xml:space="preserve">3809939</t>
  </si>
  <si>
    <t xml:space="preserve">0611350</t>
  </si>
  <si>
    <t xml:space="preserve">0001051</t>
  </si>
  <si>
    <t xml:space="preserve">1959702</t>
  </si>
  <si>
    <t xml:space="preserve">FRAIS DE CHANGE</t>
  </si>
  <si>
    <t xml:space="preserve">0000002</t>
  </si>
  <si>
    <t xml:space="preserve">COTISATION</t>
  </si>
  <si>
    <t xml:space="preserve">COTISATION BREDACCES PRO</t>
  </si>
  <si>
    <t xml:space="preserve">FRAIS BANQUE ETRANGERE</t>
  </si>
  <si>
    <t xml:space="preserve">(DONT HORS TAXE E.23,50  TVA TAUX 20,00 % E.4,70)</t>
  </si>
  <si>
    <t xml:space="preserve">NB EVOLUTION FZCO</t>
  </si>
  <si>
    <t xml:space="preserve">VIREMENT INTERNATIONAL EMIS</t>
  </si>
  <si>
    <t xml:space="preserve">LEADERS HARDWARE PLASTIC CO LIMITED</t>
  </si>
  <si>
    <t xml:space="preserve">FRAIS VIREMENT INTERNATIONAL</t>
  </si>
  <si>
    <t xml:space="preserve">(DONT HORS TAXE E.13,00  TVA TAUX 20,00 % E.2,60)</t>
  </si>
  <si>
    <t xml:space="preserve">COTISATION BRED GARANTIE HOMME CLE</t>
  </si>
  <si>
    <t xml:space="preserve">9005431</t>
  </si>
  <si>
    <t xml:space="preserve">MR BOUDJADA SAID</t>
  </si>
  <si>
    <t xml:space="preserve">3015156</t>
  </si>
  <si>
    <t xml:space="preserve">ESSO ATTAINVILL</t>
  </si>
  <si>
    <t xml:space="preserve">2605245</t>
  </si>
  <si>
    <t xml:space="preserve">URSSAF D'ILE DE FRANCE</t>
  </si>
  <si>
    <t xml:space="preserve">3015100</t>
  </si>
  <si>
    <t xml:space="preserve">3015139</t>
  </si>
  <si>
    <t xml:space="preserve">ESSO31817ROC1</t>
  </si>
  <si>
    <t xml:space="preserve">3015253</t>
  </si>
  <si>
    <t xml:space="preserve">SUBWAY</t>
  </si>
  <si>
    <t xml:space="preserve">1960811</t>
  </si>
  <si>
    <t xml:space="preserve">4610120</t>
  </si>
  <si>
    <t xml:space="preserve">8417553</t>
  </si>
  <si>
    <t xml:space="preserve">2604171</t>
  </si>
  <si>
    <t xml:space="preserve">ORANGE SA</t>
  </si>
  <si>
    <t xml:space="preserve">5016277</t>
  </si>
  <si>
    <t xml:space="preserve">BOULANGERIE (divers)</t>
  </si>
  <si>
    <t xml:space="preserve">1961621</t>
  </si>
  <si>
    <t xml:space="preserve">SELUZ KIMYA KOZMETIK TIC VE SAN AS</t>
  </si>
  <si>
    <t xml:space="preserve">9025890</t>
  </si>
  <si>
    <t xml:space="preserve">BRUNEAU</t>
  </si>
  <si>
    <t xml:space="preserve">9025648</t>
  </si>
  <si>
    <t xml:space="preserve">9025713</t>
  </si>
  <si>
    <t xml:space="preserve">CPL AROMAS FRANCE</t>
  </si>
  <si>
    <t xml:space="preserve">8106544</t>
  </si>
  <si>
    <t xml:space="preserve">PAIEMENT DE CHEQUE</t>
  </si>
  <si>
    <t xml:space="preserve">MME MACHADO NATALI</t>
  </si>
  <si>
    <t xml:space="preserve">2608268</t>
  </si>
  <si>
    <t xml:space="preserve">PRELEVEMENT SEPA INTERENTREPRISE</t>
  </si>
  <si>
    <t xml:space="preserve">DIRECTION GENERALE DES FINANCES PUBLIQUES (DGFIP)</t>
  </si>
  <si>
    <t xml:space="preserve">5022183</t>
  </si>
  <si>
    <t xml:space="preserve">2609599</t>
  </si>
  <si>
    <t xml:space="preserve">CEP TRESO SANTE PREV</t>
  </si>
  <si>
    <t xml:space="preserve">1874320</t>
  </si>
  <si>
    <t xml:space="preserve">E.LECLERC</t>
  </si>
  <si>
    <t xml:space="preserve">2610198</t>
  </si>
  <si>
    <t xml:space="preserve">9004697</t>
  </si>
  <si>
    <t xml:space="preserve">CARTONNAGES  DU VAL D ORGE</t>
  </si>
  <si>
    <t xml:space="preserve">1310120</t>
  </si>
  <si>
    <t xml:space="preserve">2610939</t>
  </si>
  <si>
    <t xml:space="preserve">SIE MARNE ET BOIS</t>
  </si>
  <si>
    <t xml:space="preserve">8418226</t>
  </si>
  <si>
    <t xml:space="preserve">3322251</t>
  </si>
  <si>
    <t xml:space="preserve">QUICK</t>
  </si>
  <si>
    <t xml:space="preserve">2609516</t>
  </si>
  <si>
    <t xml:space="preserve">2611442</t>
  </si>
  <si>
    <t xml:space="preserve">AG2R REUNICA</t>
  </si>
  <si>
    <t xml:space="preserve">ITR2501</t>
  </si>
  <si>
    <t xml:space="preserve">VIREMENT INSTANTANE RECU</t>
  </si>
  <si>
    <t xml:space="preserve">MFR ONLINE LTD</t>
  </si>
  <si>
    <t xml:space="preserve">IOP5528</t>
  </si>
  <si>
    <t xml:space="preserve">TOAST.S</t>
  </si>
  <si>
    <t xml:space="preserve">3814164</t>
  </si>
  <si>
    <t xml:space="preserve">5028156</t>
  </si>
  <si>
    <t xml:space="preserve">SUPERMARCHE L'</t>
  </si>
  <si>
    <t xml:space="preserve">8816108</t>
  </si>
  <si>
    <t xml:space="preserve">9009184</t>
  </si>
  <si>
    <t xml:space="preserve">WEB PRINT SERVICES</t>
  </si>
  <si>
    <t xml:space="preserve">9200242</t>
  </si>
  <si>
    <t xml:space="preserve">1310520</t>
  </si>
  <si>
    <t xml:space="preserve">3324490</t>
  </si>
  <si>
    <t xml:space="preserve">VIPARIS PDV PKG</t>
  </si>
  <si>
    <t xml:space="preserve">9008005</t>
  </si>
  <si>
    <t xml:space="preserve">0005065</t>
  </si>
  <si>
    <t xml:space="preserve">ADOBE</t>
  </si>
  <si>
    <t xml:space="preserve">9009123</t>
  </si>
  <si>
    <t xml:space="preserve">IFS</t>
  </si>
  <si>
    <t xml:space="preserve">9009046</t>
  </si>
  <si>
    <t xml:space="preserve">0012059</t>
  </si>
  <si>
    <t xml:space="preserve">COMMANDE</t>
  </si>
  <si>
    <t xml:space="preserve">1345823</t>
  </si>
  <si>
    <t xml:space="preserve">MCDONALD'S</t>
  </si>
  <si>
    <t xml:space="preserve">3324886</t>
  </si>
  <si>
    <t xml:space="preserve">8418864</t>
  </si>
  <si>
    <t xml:space="preserve">AIR FRANCE</t>
  </si>
  <si>
    <t xml:space="preserve">3216158</t>
  </si>
  <si>
    <t xml:space="preserve">ISTANBUL 62</t>
  </si>
  <si>
    <t xml:space="preserve">9008867</t>
  </si>
  <si>
    <t xml:space="preserve">MR BOUDJADA MOUNIR</t>
  </si>
  <si>
    <t xml:space="preserve">8418985</t>
  </si>
  <si>
    <t xml:space="preserve">COFIROUTE</t>
  </si>
  <si>
    <t xml:space="preserve">3030002</t>
  </si>
  <si>
    <t xml:space="preserve">3030764</t>
  </si>
  <si>
    <t xml:space="preserve">2615475</t>
  </si>
  <si>
    <t xml:space="preserve">2615070</t>
  </si>
  <si>
    <t xml:space="preserve">9053769</t>
  </si>
  <si>
    <t xml:space="preserve">0018025</t>
  </si>
  <si>
    <t xml:space="preserve">2612219</t>
  </si>
  <si>
    <t xml:space="preserve">3031550</t>
  </si>
  <si>
    <t xml:space="preserve">9051553</t>
  </si>
  <si>
    <t xml:space="preserve">MR BOUDAJA NASSIM</t>
  </si>
  <si>
    <t xml:space="preserve">8419305</t>
  </si>
  <si>
    <t xml:space="preserve">1010320</t>
  </si>
  <si>
    <t xml:space="preserve">2617038</t>
  </si>
  <si>
    <t xml:space="preserve">1079153</t>
  </si>
  <si>
    <t xml:space="preserve">APPLE</t>
  </si>
  <si>
    <t xml:space="preserve">8419304</t>
  </si>
  <si>
    <t xml:space="preserve">3816269</t>
  </si>
  <si>
    <t xml:space="preserve">3035351</t>
  </si>
  <si>
    <t xml:space="preserve">2618177</t>
  </si>
  <si>
    <t xml:space="preserve">9012048</t>
  </si>
  <si>
    <t xml:space="preserve">GS1 FRANCE</t>
  </si>
  <si>
    <t xml:space="preserve">9006498</t>
  </si>
  <si>
    <t xml:space="preserve">9006417</t>
  </si>
  <si>
    <t xml:space="preserve">NEROLI FRANCE</t>
  </si>
  <si>
    <t xml:space="preserve">8419538</t>
  </si>
  <si>
    <t xml:space="preserve">9006142</t>
  </si>
  <si>
    <t xml:space="preserve">9005317</t>
  </si>
  <si>
    <t xml:space="preserve">2621964</t>
  </si>
  <si>
    <t xml:space="preserve">8419838</t>
  </si>
  <si>
    <t xml:space="preserve">2620305</t>
  </si>
  <si>
    <t xml:space="preserve">BPIFRANCE</t>
  </si>
  <si>
    <t xml:space="preserve">2621628</t>
  </si>
  <si>
    <t xml:space="preserve">EBP FRANCE-E B P INFORMATIQUE</t>
  </si>
  <si>
    <t xml:space="preserve">2619936</t>
  </si>
  <si>
    <t xml:space="preserve">8106547</t>
  </si>
  <si>
    <t xml:space="preserve">SYLVIE DE FRANCE</t>
  </si>
  <si>
    <t xml:space="preserve">3041566</t>
  </si>
  <si>
    <t xml:space="preserve">2622548</t>
  </si>
  <si>
    <t xml:space="preserve">8215958</t>
  </si>
  <si>
    <t xml:space="preserve">8420188</t>
  </si>
  <si>
    <t xml:space="preserve">5043100</t>
  </si>
  <si>
    <t xml:space="preserve">INTERMARCHE CHA</t>
  </si>
  <si>
    <t xml:space="preserve">5043153</t>
  </si>
  <si>
    <t xml:space="preserve">0001032</t>
  </si>
  <si>
    <t xml:space="preserve">0000004</t>
  </si>
  <si>
    <t xml:space="preserve">2218210</t>
  </si>
  <si>
    <t xml:space="preserve">3044701</t>
  </si>
  <si>
    <t xml:space="preserve">8420444</t>
  </si>
  <si>
    <t xml:space="preserve">2625304</t>
  </si>
  <si>
    <t xml:space="preserve">8420445</t>
  </si>
  <si>
    <t xml:space="preserve">3048589</t>
  </si>
  <si>
    <t xml:space="preserve">INDIGO 941401</t>
  </si>
  <si>
    <t xml:space="preserve">0348298</t>
  </si>
  <si>
    <t xml:space="preserve">PIAZZALE FRANCE</t>
  </si>
  <si>
    <t xml:space="preserve">0310003</t>
  </si>
  <si>
    <t xml:space="preserve">0650034</t>
  </si>
  <si>
    <t xml:space="preserve">GAVIO - SATAP A</t>
  </si>
  <si>
    <t xml:space="preserve">2627494</t>
  </si>
  <si>
    <t xml:space="preserve">8420710</t>
  </si>
  <si>
    <t xml:space="preserve">ATMB</t>
  </si>
  <si>
    <t xml:space="preserve">8815958</t>
  </si>
  <si>
    <t xml:space="preserve">STATION AVIA</t>
  </si>
  <si>
    <t xml:space="preserve">1354813</t>
  </si>
  <si>
    <t xml:space="preserve">CARREFOUR</t>
  </si>
  <si>
    <t xml:space="preserve">8420724</t>
  </si>
  <si>
    <t xml:space="preserve">5061346</t>
  </si>
  <si>
    <t xml:space="preserve">SUMUP</t>
  </si>
  <si>
    <t xml:space="preserve">2881324</t>
  </si>
  <si>
    <t xml:space="preserve">AUTOGRILL 0064</t>
  </si>
  <si>
    <t xml:space="preserve">8420683</t>
  </si>
  <si>
    <t xml:space="preserve">2881521</t>
  </si>
  <si>
    <t xml:space="preserve">ITALIANA PETROL</t>
  </si>
  <si>
    <t xml:space="preserve">8106546</t>
  </si>
  <si>
    <t xml:space="preserve">8420844</t>
  </si>
  <si>
    <t xml:space="preserve">SHELL 8173</t>
  </si>
  <si>
    <t xml:space="preserve">0032122</t>
  </si>
  <si>
    <t xml:space="preserve">BB HOTELS ITALI</t>
  </si>
  <si>
    <t xml:space="preserve">0035229</t>
  </si>
  <si>
    <t xml:space="preserve">SERVIZIO</t>
  </si>
  <si>
    <t xml:space="preserve">2882781</t>
  </si>
  <si>
    <t xml:space="preserve">ISTANBUL TAXIM</t>
  </si>
  <si>
    <t xml:space="preserve">0334541</t>
  </si>
  <si>
    <t xml:space="preserve">PIZZA POWER</t>
  </si>
  <si>
    <t xml:space="preserve">2883721</t>
  </si>
  <si>
    <t xml:space="preserve">CENTRO CONGRESS</t>
  </si>
  <si>
    <t xml:space="preserve">2883674</t>
  </si>
  <si>
    <t xml:space="preserve">3820762</t>
  </si>
  <si>
    <t xml:space="preserve">3820761</t>
  </si>
  <si>
    <t xml:space="preserve">5014600</t>
  </si>
  <si>
    <t xml:space="preserve">ATMB NFC</t>
  </si>
  <si>
    <t xml:space="preserve">5910100</t>
  </si>
  <si>
    <t xml:space="preserve">0352531</t>
  </si>
  <si>
    <t xml:space="preserve">GAVIO - SAV</t>
  </si>
  <si>
    <t xml:space="preserve">1357361</t>
  </si>
  <si>
    <t xml:space="preserve">3055019</t>
  </si>
  <si>
    <t xml:space="preserve">ESSO ST THIBAUL</t>
  </si>
  <si>
    <t xml:space="preserve">0640052</t>
  </si>
  <si>
    <t xml:space="preserve">0033534</t>
  </si>
  <si>
    <t xml:space="preserve">TERME MILANO S.</t>
  </si>
  <si>
    <t xml:space="preserve">3335742</t>
  </si>
  <si>
    <t xml:space="preserve">0589358</t>
  </si>
  <si>
    <t xml:space="preserve">ISTAMBUL KEBAP</t>
  </si>
  <si>
    <t xml:space="preserve">5014705</t>
  </si>
  <si>
    <t xml:space="preserve">APRR NFC</t>
  </si>
  <si>
    <t xml:space="preserve">2885833</t>
  </si>
  <si>
    <t xml:space="preserve">2885992</t>
  </si>
  <si>
    <t xml:space="preserve">8106549</t>
  </si>
  <si>
    <t xml:space="preserve">2631440</t>
  </si>
  <si>
    <t xml:space="preserve">2887313</t>
  </si>
  <si>
    <t xml:space="preserve">NUOVA SIDAP SRL</t>
  </si>
  <si>
    <t xml:space="preserve">2631780</t>
  </si>
  <si>
    <t xml:space="preserve">2629428</t>
  </si>
  <si>
    <t xml:space="preserve">9006930</t>
  </si>
  <si>
    <t xml:space="preserve">2632316</t>
  </si>
  <si>
    <t xml:space="preserve">2887831</t>
  </si>
  <si>
    <t xml:space="preserve">0029651</t>
  </si>
  <si>
    <t xml:space="preserve">ACTION 4632</t>
  </si>
  <si>
    <t xml:space="preserve">3057368</t>
  </si>
  <si>
    <t xml:space="preserve">9007011</t>
  </si>
  <si>
    <t xml:space="preserve">9006982</t>
  </si>
  <si>
    <t xml:space="preserve">5059206</t>
  </si>
  <si>
    <t xml:space="preserve">2635041</t>
  </si>
  <si>
    <t xml:space="preserve">1405379</t>
  </si>
  <si>
    <t xml:space="preserve">2632552</t>
  </si>
  <si>
    <t xml:space="preserve">5060114</t>
  </si>
  <si>
    <t xml:space="preserve">2635558</t>
  </si>
  <si>
    <t xml:space="preserve">0035132</t>
  </si>
  <si>
    <t xml:space="preserve">5060117</t>
  </si>
  <si>
    <t xml:space="preserve">9052011</t>
  </si>
  <si>
    <t xml:space="preserve">FIRMENICH</t>
  </si>
  <si>
    <t xml:space="preserve">2636768</t>
  </si>
  <si>
    <t xml:space="preserve">0037320</t>
  </si>
  <si>
    <t xml:space="preserve">5063153</t>
  </si>
  <si>
    <t xml:space="preserve">9004758</t>
  </si>
  <si>
    <t xml:space="preserve">AROMASCENT</t>
  </si>
  <si>
    <t xml:space="preserve">5000096</t>
  </si>
  <si>
    <t xml:space="preserve">GETAROUND* RESE</t>
  </si>
  <si>
    <t xml:space="preserve">1810120</t>
  </si>
  <si>
    <t xml:space="preserve">NESPRESSO</t>
  </si>
  <si>
    <t xml:space="preserve">2637727</t>
  </si>
  <si>
    <t xml:space="preserve">2639943</t>
  </si>
  <si>
    <t xml:space="preserve">3064252</t>
  </si>
  <si>
    <t xml:space="preserve">2639931</t>
  </si>
  <si>
    <t xml:space="preserve">9001533</t>
  </si>
  <si>
    <t xml:space="preserve">1310720</t>
  </si>
  <si>
    <t xml:space="preserve">9034507</t>
  </si>
  <si>
    <t xml:space="preserve">2641082</t>
  </si>
  <si>
    <t xml:space="preserve">2641040</t>
  </si>
  <si>
    <t xml:space="preserve">2639722</t>
  </si>
  <si>
    <t xml:space="preserve">3824814</t>
  </si>
  <si>
    <t xml:space="preserve">2640939</t>
  </si>
  <si>
    <t xml:space="preserve">OVH SAS</t>
  </si>
  <si>
    <t xml:space="preserve">2638685</t>
  </si>
  <si>
    <t xml:space="preserve">5067373</t>
  </si>
  <si>
    <t xml:space="preserve">CENTER PNEU MON</t>
  </si>
  <si>
    <t xml:space="preserve">5068187</t>
  </si>
  <si>
    <t xml:space="preserve">SAEMES HMO</t>
  </si>
  <si>
    <t xml:space="preserve">5067205</t>
  </si>
  <si>
    <t xml:space="preserve">9006009</t>
  </si>
  <si>
    <t xml:space="preserve">9005200</t>
  </si>
  <si>
    <t xml:space="preserve">8423036</t>
  </si>
  <si>
    <t xml:space="preserve">3518647</t>
  </si>
  <si>
    <t xml:space="preserve">FRAIS VIREMENT INTERNATIONAL NON TAXABLE</t>
  </si>
  <si>
    <t xml:space="preserve">1/DV MENSWEAR LR LLC</t>
  </si>
  <si>
    <t xml:space="preserve">FRAIS VIREMENT INTERNATIONAL TAXABLE</t>
  </si>
  <si>
    <t xml:space="preserve">(DONT HORS TAXE E.12,20  TVA TAUX 20,00 % E.2,44)</t>
  </si>
  <si>
    <t xml:space="preserve">2058918</t>
  </si>
  <si>
    <t xml:space="preserve">2644264</t>
  </si>
  <si>
    <t xml:space="preserve">3072690</t>
  </si>
  <si>
    <t xml:space="preserve">5002</t>
  </si>
  <si>
    <t xml:space="preserve">ITR2503</t>
  </si>
  <si>
    <t xml:space="preserve">PERFUMEPARADISE APS</t>
  </si>
  <si>
    <t xml:space="preserve">3519079</t>
  </si>
  <si>
    <t xml:space="preserve">2022208</t>
  </si>
  <si>
    <t xml:space="preserve">2014770</t>
  </si>
  <si>
    <t xml:space="preserve">0001124</t>
  </si>
  <si>
    <t xml:space="preserve">3826156</t>
  </si>
  <si>
    <t xml:space="preserve">ALMUFTAH MARKETING</t>
  </si>
  <si>
    <t xml:space="preserve">2644569</t>
  </si>
  <si>
    <t xml:space="preserve">8106548</t>
  </si>
  <si>
    <t xml:space="preserve">AKTO</t>
  </si>
  <si>
    <t xml:space="preserve">2022218</t>
  </si>
  <si>
    <t xml:space="preserve">1367577</t>
  </si>
  <si>
    <t xml:space="preserve">2646694</t>
  </si>
  <si>
    <t xml:space="preserve">1367578</t>
  </si>
  <si>
    <t xml:space="preserve">5076243</t>
  </si>
  <si>
    <t xml:space="preserve">3826962</t>
  </si>
  <si>
    <t xml:space="preserve">3345621</t>
  </si>
  <si>
    <t xml:space="preserve">SOGESCO SAS</t>
  </si>
  <si>
    <t xml:space="preserve">1980061</t>
  </si>
  <si>
    <t xml:space="preserve">ZHEJIANG BI INDUSTRIAL CO LTD</t>
  </si>
  <si>
    <t xml:space="preserve">(DONT HORS TAXE E.18,00  TVA TAUX 20,00 % E.3,60)</t>
  </si>
  <si>
    <t xml:space="preserve">5079132</t>
  </si>
  <si>
    <t xml:space="preserve">9003500</t>
  </si>
  <si>
    <t xml:space="preserve">9003318</t>
  </si>
  <si>
    <t xml:space="preserve">2037060</t>
  </si>
  <si>
    <t xml:space="preserve">2650573</t>
  </si>
  <si>
    <t xml:space="preserve">1000084</t>
  </si>
  <si>
    <t xml:space="preserve">2650962</t>
  </si>
  <si>
    <t xml:space="preserve">3083109</t>
  </si>
  <si>
    <t xml:space="preserve">2648846</t>
  </si>
  <si>
    <t xml:space="preserve">2651534</t>
  </si>
  <si>
    <t xml:space="preserve">3772746</t>
  </si>
  <si>
    <t xml:space="preserve">1/CHALHOUB COMPANY FOR GENERAL TRA</t>
  </si>
  <si>
    <t xml:space="preserve">1371189</t>
  </si>
  <si>
    <t xml:space="preserve">5086160</t>
  </si>
  <si>
    <t xml:space="preserve">3520722</t>
  </si>
  <si>
    <t xml:space="preserve">1982421</t>
  </si>
  <si>
    <t xml:space="preserve">1371512</t>
  </si>
  <si>
    <t xml:space="preserve">GOLD ROCK COMPANY LIMITED</t>
  </si>
  <si>
    <t xml:space="preserve">2653346</t>
  </si>
  <si>
    <t xml:space="preserve">ROOLE-IDENTICAR-IDENTICAR</t>
  </si>
  <si>
    <t xml:space="preserve">3085540</t>
  </si>
  <si>
    <t xml:space="preserve">0034953</t>
  </si>
  <si>
    <t xml:space="preserve">BOULANGER</t>
  </si>
  <si>
    <t xml:space="preserve">0029099</t>
  </si>
  <si>
    <t xml:space="preserve">MICROSOFT</t>
  </si>
  <si>
    <t xml:space="preserve">9009260</t>
  </si>
  <si>
    <t xml:space="preserve">9009310</t>
  </si>
  <si>
    <t xml:space="preserve">9009231</t>
  </si>
  <si>
    <t xml:space="preserve">0034753</t>
  </si>
  <si>
    <t xml:space="preserve">FRAIS TENUE DE COMPTE</t>
  </si>
  <si>
    <t xml:space="preserve">(DONT HORS TAXE E.60,00  TVA TAUX 20,00 % E.12,00)</t>
  </si>
  <si>
    <t xml:space="preserve">1758704</t>
  </si>
  <si>
    <t xml:space="preserve">COMO FONTENAY</t>
  </si>
  <si>
    <t xml:space="preserve">2654645</t>
  </si>
  <si>
    <t xml:space="preserve">0033452</t>
  </si>
  <si>
    <t xml:space="preserve">8424547</t>
  </si>
  <si>
    <t xml:space="preserve">5091158</t>
  </si>
  <si>
    <t xml:space="preserve">2656362</t>
  </si>
  <si>
    <t xml:space="preserve">2651932</t>
  </si>
  <si>
    <t xml:space="preserve">2004680</t>
  </si>
  <si>
    <t xml:space="preserve">2057108</t>
  </si>
  <si>
    <t xml:space="preserve">9200605</t>
  </si>
  <si>
    <t xml:space="preserve">3091411</t>
  </si>
  <si>
    <t xml:space="preserve">5093160</t>
  </si>
  <si>
    <t xml:space="preserve">1374819</t>
  </si>
  <si>
    <t xml:space="preserve">2022438</t>
  </si>
  <si>
    <t xml:space="preserve">2027440</t>
  </si>
  <si>
    <t xml:space="preserve">2659688</t>
  </si>
  <si>
    <t xml:space="preserve">3093775</t>
  </si>
  <si>
    <t xml:space="preserve">2658630</t>
  </si>
  <si>
    <t xml:space="preserve">5094218</t>
  </si>
  <si>
    <t xml:space="preserve">3093016</t>
  </si>
  <si>
    <t xml:space="preserve">2097098</t>
  </si>
  <si>
    <t xml:space="preserve">3353510</t>
  </si>
  <si>
    <t xml:space="preserve">ATLANTIS</t>
  </si>
  <si>
    <t xml:space="preserve">1375858</t>
  </si>
  <si>
    <t xml:space="preserve">2023250</t>
  </si>
  <si>
    <t xml:space="preserve">2097088</t>
  </si>
  <si>
    <t xml:space="preserve">1986220</t>
  </si>
  <si>
    <t xml:space="preserve">2659414</t>
  </si>
  <si>
    <t xml:space="preserve">1002084</t>
  </si>
  <si>
    <t xml:space="preserve">1000123</t>
  </si>
  <si>
    <t xml:space="preserve">SP HOLAFLY.COM</t>
  </si>
  <si>
    <t xml:space="preserve">9200450</t>
  </si>
  <si>
    <t xml:space="preserve">EMIRATES</t>
  </si>
  <si>
    <t xml:space="preserve">2663133</t>
  </si>
  <si>
    <t xml:space="preserve">8425655</t>
  </si>
  <si>
    <t xml:space="preserve">T.E.G 19,03%</t>
  </si>
  <si>
    <t xml:space="preserve">2663232</t>
  </si>
  <si>
    <t xml:space="preserve">2356110</t>
  </si>
  <si>
    <t xml:space="preserve">2660867</t>
  </si>
  <si>
    <t xml:space="preserve">2664087</t>
  </si>
  <si>
    <t xml:space="preserve">9200062</t>
  </si>
  <si>
    <t xml:space="preserve">TRAVEL RESERVAT</t>
  </si>
  <si>
    <t xml:space="preserve">3833333</t>
  </si>
  <si>
    <t xml:space="preserve">9000932</t>
  </si>
  <si>
    <t xml:space="preserve">3773643</t>
  </si>
  <si>
    <t xml:space="preserve">PASSION PARFUM SARL</t>
  </si>
  <si>
    <t xml:space="preserve">9200080</t>
  </si>
  <si>
    <t xml:space="preserve">SAUDI AIR 065</t>
  </si>
  <si>
    <t xml:space="preserve">3833797</t>
  </si>
  <si>
    <t xml:space="preserve">0001310</t>
  </si>
  <si>
    <t xml:space="preserve">2663952</t>
  </si>
  <si>
    <t xml:space="preserve">0000108</t>
  </si>
  <si>
    <t xml:space="preserve">9000688</t>
  </si>
  <si>
    <t xml:space="preserve">9000795</t>
  </si>
  <si>
    <t xml:space="preserve">9005218</t>
  </si>
  <si>
    <t xml:space="preserve">8106550</t>
  </si>
  <si>
    <t xml:space="preserve">2667164</t>
  </si>
  <si>
    <t xml:space="preserve">2344850</t>
  </si>
  <si>
    <t xml:space="preserve">1419902</t>
  </si>
  <si>
    <t xml:space="preserve">SARL JADE CREATION                  SALGDZALXXX</t>
  </si>
  <si>
    <t xml:space="preserve">2669679</t>
  </si>
  <si>
    <t xml:space="preserve">2312280</t>
  </si>
  <si>
    <t xml:space="preserve">0170088</t>
  </si>
  <si>
    <t xml:space="preserve">FIVE LUXE HOTEL</t>
  </si>
  <si>
    <t xml:space="preserve">2670409</t>
  </si>
  <si>
    <t xml:space="preserve">2670118</t>
  </si>
  <si>
    <t xml:space="preserve">9012506</t>
  </si>
  <si>
    <t xml:space="preserve">EQUIPE EXIBIT SRL</t>
  </si>
  <si>
    <t xml:space="preserve">1991657</t>
  </si>
  <si>
    <t xml:space="preserve">2671508</t>
  </si>
  <si>
    <t xml:space="preserve">1991656</t>
  </si>
  <si>
    <t xml:space="preserve">LUXE PERFUMES FZC</t>
  </si>
  <si>
    <t xml:space="preserve">2672025</t>
  </si>
  <si>
    <t xml:space="preserve">9200385</t>
  </si>
  <si>
    <t xml:space="preserve">9027786</t>
  </si>
  <si>
    <t xml:space="preserve">2669457</t>
  </si>
  <si>
    <t xml:space="preserve">3118583</t>
  </si>
  <si>
    <t xml:space="preserve">1992921</t>
  </si>
  <si>
    <t xml:space="preserve">9008096</t>
  </si>
  <si>
    <t xml:space="preserve">SLEEVE CONCEPT</t>
  </si>
  <si>
    <t xml:space="preserve">0007066</t>
  </si>
  <si>
    <t xml:space="preserve">9010933</t>
  </si>
  <si>
    <t xml:space="preserve">2673879</t>
  </si>
  <si>
    <t xml:space="preserve">2675537</t>
  </si>
  <si>
    <t xml:space="preserve">2674978</t>
  </si>
  <si>
    <t xml:space="preserve">3119760</t>
  </si>
  <si>
    <t xml:space="preserve">AMAZON PAYMENTS</t>
  </si>
  <si>
    <t xml:space="preserve">2675534</t>
  </si>
  <si>
    <t xml:space="preserve">5016</t>
  </si>
  <si>
    <t xml:space="preserve">5017</t>
  </si>
  <si>
    <t xml:space="preserve">0028275</t>
  </si>
  <si>
    <t xml:space="preserve">3120606</t>
  </si>
  <si>
    <t xml:space="preserve">2673171</t>
  </si>
  <si>
    <t xml:space="preserve">9010920</t>
  </si>
  <si>
    <t xml:space="preserve">8574351</t>
  </si>
  <si>
    <t xml:space="preserve">3120560</t>
  </si>
  <si>
    <t xml:space="preserve">2076678</t>
  </si>
  <si>
    <t xml:space="preserve">2677227</t>
  </si>
  <si>
    <t xml:space="preserve">2676543</t>
  </si>
  <si>
    <t xml:space="preserve">2063920</t>
  </si>
  <si>
    <t xml:space="preserve">9014744</t>
  </si>
  <si>
    <t xml:space="preserve">SELARL  ACTIS  AVOCATS</t>
  </si>
  <si>
    <t xml:space="preserve">2680335</t>
  </si>
  <si>
    <t xml:space="preserve">2375550</t>
  </si>
  <si>
    <t xml:space="preserve">8428792</t>
  </si>
  <si>
    <t xml:space="preserve">2680768</t>
  </si>
  <si>
    <t xml:space="preserve">3841150</t>
  </si>
  <si>
    <t xml:space="preserve">2681673</t>
  </si>
  <si>
    <t xml:space="preserve">2018788</t>
  </si>
  <si>
    <t xml:space="preserve">2681479</t>
  </si>
  <si>
    <t xml:space="preserve">2678833</t>
  </si>
  <si>
    <t xml:space="preserve">9004234</t>
  </si>
  <si>
    <t xml:space="preserve">9004175</t>
  </si>
  <si>
    <t xml:space="preserve">9004118</t>
  </si>
  <si>
    <t xml:space="preserve">0001095</t>
  </si>
  <si>
    <t xml:space="preserve">0000009</t>
  </si>
  <si>
    <t xml:space="preserve">2683404</t>
  </si>
  <si>
    <t xml:space="preserve">1817688</t>
  </si>
  <si>
    <t xml:space="preserve">SC.POKESHOP JOI</t>
  </si>
  <si>
    <t xml:space="preserve">2052508</t>
  </si>
  <si>
    <t xml:space="preserve">5135164</t>
  </si>
  <si>
    <t xml:space="preserve">2685709</t>
  </si>
  <si>
    <t xml:space="preserve">2685403</t>
  </si>
  <si>
    <t xml:space="preserve">2016578</t>
  </si>
  <si>
    <t xml:space="preserve">9004968</t>
  </si>
  <si>
    <t xml:space="preserve">5136223</t>
  </si>
  <si>
    <t xml:space="preserve">2030860</t>
  </si>
  <si>
    <t xml:space="preserve">2078548</t>
  </si>
  <si>
    <t xml:space="preserve">1396289</t>
  </si>
  <si>
    <t xml:space="preserve">3139768</t>
  </si>
  <si>
    <t xml:space="preserve">8574353</t>
  </si>
  <si>
    <t xml:space="preserve">IZI CONFORT</t>
  </si>
  <si>
    <t xml:space="preserve">9200370</t>
  </si>
  <si>
    <t xml:space="preserve">1998878</t>
  </si>
  <si>
    <t xml:space="preserve">3139755</t>
  </si>
  <si>
    <t xml:space="preserve">0028454</t>
  </si>
  <si>
    <t xml:space="preserve">2687812</t>
  </si>
  <si>
    <t xml:space="preserve">2055260</t>
  </si>
  <si>
    <t xml:space="preserve">SAPN</t>
  </si>
  <si>
    <t xml:space="preserve">3844112</t>
  </si>
  <si>
    <t xml:space="preserve">5142200</t>
  </si>
  <si>
    <t xml:space="preserve">1900593</t>
  </si>
  <si>
    <t xml:space="preserve">2690379</t>
  </si>
  <si>
    <t xml:space="preserve">2016978</t>
  </si>
  <si>
    <t xml:space="preserve">2357630</t>
  </si>
  <si>
    <t xml:space="preserve">3142264</t>
  </si>
  <si>
    <t xml:space="preserve">3141792</t>
  </si>
  <si>
    <t xml:space="preserve">5143355</t>
  </si>
  <si>
    <t xml:space="preserve">2098788</t>
  </si>
  <si>
    <t xml:space="preserve">1399661</t>
  </si>
  <si>
    <t xml:space="preserve">3146141</t>
  </si>
  <si>
    <t xml:space="preserve">2690663</t>
  </si>
  <si>
    <t xml:space="preserve">1399662</t>
  </si>
  <si>
    <t xml:space="preserve">2688306</t>
  </si>
  <si>
    <t xml:space="preserve">5147115</t>
  </si>
  <si>
    <t xml:space="preserve">3146770</t>
  </si>
  <si>
    <t xml:space="preserve">3146638</t>
  </si>
  <si>
    <t xml:space="preserve">9010493</t>
  </si>
  <si>
    <t xml:space="preserve">5201994</t>
  </si>
  <si>
    <t xml:space="preserve">2692383</t>
  </si>
  <si>
    <t xml:space="preserve">ROOLE-IDENTICAR</t>
  </si>
  <si>
    <t xml:space="preserve">3845151</t>
  </si>
  <si>
    <t xml:space="preserve">9010404</t>
  </si>
  <si>
    <t xml:space="preserve">2694371</t>
  </si>
  <si>
    <t xml:space="preserve">3148699</t>
  </si>
  <si>
    <t xml:space="preserve">0011090</t>
  </si>
  <si>
    <t xml:space="preserve">7060328</t>
  </si>
  <si>
    <t xml:space="preserve">TARDENOIS NORD</t>
  </si>
  <si>
    <t xml:space="preserve">2315170</t>
  </si>
  <si>
    <t xml:space="preserve">2694994</t>
  </si>
  <si>
    <t xml:space="preserve">2083008</t>
  </si>
  <si>
    <t xml:space="preserve">2065328</t>
  </si>
  <si>
    <t xml:space="preserve">1812918</t>
  </si>
  <si>
    <t xml:space="preserve">IBIS BUDGET</t>
  </si>
  <si>
    <t xml:space="preserve">2152900</t>
  </si>
  <si>
    <t xml:space="preserve">REGIE BPNL</t>
  </si>
  <si>
    <t xml:space="preserve">2065068</t>
  </si>
  <si>
    <t xml:space="preserve">0024234</t>
  </si>
  <si>
    <t xml:space="preserve">3846433</t>
  </si>
  <si>
    <t xml:space="preserve">8431236</t>
  </si>
  <si>
    <t xml:space="preserve">3846442</t>
  </si>
  <si>
    <t xml:space="preserve">0000000</t>
  </si>
  <si>
    <t xml:space="preserve">OPER. SUR TITRES</t>
  </si>
  <si>
    <t xml:space="preserve">VERSEMENT INTERETS PARTS BRED</t>
  </si>
  <si>
    <t xml:space="preserve">3378477</t>
  </si>
  <si>
    <t xml:space="preserve">2692586</t>
  </si>
  <si>
    <t xml:space="preserve">2151501</t>
  </si>
  <si>
    <t xml:space="preserve">2020130</t>
  </si>
  <si>
    <t xml:space="preserve">5153329</t>
  </si>
  <si>
    <t xml:space="preserve">8574354</t>
  </si>
  <si>
    <t xml:space="preserve">3153672</t>
  </si>
  <si>
    <t xml:space="preserve">1817788</t>
  </si>
  <si>
    <t xml:space="preserve">2696893</t>
  </si>
  <si>
    <t xml:space="preserve">1904123</t>
  </si>
  <si>
    <t xml:space="preserve">2699240</t>
  </si>
  <si>
    <t xml:space="preserve">0005113</t>
  </si>
  <si>
    <t xml:space="preserve">2697939</t>
  </si>
  <si>
    <t xml:space="preserve">5157211</t>
  </si>
  <si>
    <t xml:space="preserve">3155705</t>
  </si>
  <si>
    <t xml:space="preserve">2096208</t>
  </si>
  <si>
    <t xml:space="preserve">2096218</t>
  </si>
  <si>
    <t xml:space="preserve">5158192</t>
  </si>
  <si>
    <t xml:space="preserve">EFFIA PARK</t>
  </si>
  <si>
    <t xml:space="preserve">9200280</t>
  </si>
  <si>
    <t xml:space="preserve">2701664</t>
  </si>
  <si>
    <t xml:space="preserve">3848255</t>
  </si>
  <si>
    <t xml:space="preserve">2701645</t>
  </si>
  <si>
    <t xml:space="preserve">2700010</t>
  </si>
  <si>
    <t xml:space="preserve">1905628</t>
  </si>
  <si>
    <t xml:space="preserve">1408518</t>
  </si>
  <si>
    <t xml:space="preserve">5162177</t>
  </si>
  <si>
    <t xml:space="preserve">9014767</t>
  </si>
  <si>
    <t xml:space="preserve">SAS SOMEXING</t>
  </si>
  <si>
    <t xml:space="preserve">3161730</t>
  </si>
  <si>
    <t xml:space="preserve">5162168</t>
  </si>
  <si>
    <t xml:space="preserve">2026068</t>
  </si>
  <si>
    <t xml:space="preserve">2026058</t>
  </si>
  <si>
    <t xml:space="preserve">2702731</t>
  </si>
  <si>
    <t xml:space="preserve">MESSE FRANKFURT  MIDDLE  EAST GMBH</t>
  </si>
  <si>
    <t xml:space="preserve">2111000</t>
  </si>
  <si>
    <t xml:space="preserve">PRELEVEMENT SEPA REJETE</t>
  </si>
  <si>
    <t xml:space="preserve">1905849</t>
  </si>
  <si>
    <t xml:space="preserve">4005007</t>
  </si>
  <si>
    <t xml:space="preserve">VIREMENT</t>
  </si>
  <si>
    <t xml:space="preserve">VIREMENT (sans libellé bénéficiaire)</t>
  </si>
  <si>
    <t xml:space="preserve">2703696</t>
  </si>
  <si>
    <t xml:space="preserve">3162037</t>
  </si>
  <si>
    <t xml:space="preserve">0001144</t>
  </si>
  <si>
    <t xml:space="preserve">7273298</t>
  </si>
  <si>
    <t xml:space="preserve">SDC PARIS MASSE</t>
  </si>
  <si>
    <t xml:space="preserve">0000017</t>
  </si>
  <si>
    <t xml:space="preserve">ITR2506</t>
  </si>
  <si>
    <t xml:space="preserve">KHIYAT COSPARA</t>
  </si>
  <si>
    <t xml:space="preserve">5165222</t>
  </si>
  <si>
    <t xml:space="preserve">3164270</t>
  </si>
  <si>
    <t xml:space="preserve">2703697</t>
  </si>
  <si>
    <t xml:space="preserve">2705799</t>
  </si>
  <si>
    <t xml:space="preserve">9013156</t>
  </si>
  <si>
    <t xml:space="preserve">AMIVAL</t>
  </si>
  <si>
    <t xml:space="preserve">9004812</t>
  </si>
  <si>
    <t xml:space="preserve">9004904</t>
  </si>
  <si>
    <t xml:space="preserve">FEDEX EXPRESS</t>
  </si>
  <si>
    <t xml:space="preserve">3849983</t>
  </si>
  <si>
    <t xml:space="preserve">1811368</t>
  </si>
  <si>
    <t xml:space="preserve">WAFFLE FATORY</t>
  </si>
  <si>
    <t xml:space="preserve">3168189</t>
  </si>
  <si>
    <t xml:space="preserve">9002062</t>
  </si>
  <si>
    <t xml:space="preserve">5170169</t>
  </si>
  <si>
    <t xml:space="preserve">9002090</t>
  </si>
  <si>
    <t xml:space="preserve">2708186</t>
  </si>
  <si>
    <t xml:space="preserve">1908077</t>
  </si>
  <si>
    <t xml:space="preserve">3850265</t>
  </si>
  <si>
    <t xml:space="preserve">9003666</t>
  </si>
  <si>
    <t xml:space="preserve">9003695</t>
  </si>
  <si>
    <t xml:space="preserve">3170035</t>
  </si>
  <si>
    <t xml:space="preserve">2089238</t>
  </si>
  <si>
    <t xml:space="preserve">2710558</t>
  </si>
  <si>
    <t xml:space="preserve">2068208</t>
  </si>
  <si>
    <t xml:space="preserve">2709520</t>
  </si>
  <si>
    <t xml:space="preserve">3851131</t>
  </si>
  <si>
    <t xml:space="preserve">5175201</t>
  </si>
  <si>
    <t xml:space="preserve">ASOL ALDEAR CO</t>
  </si>
  <si>
    <t xml:space="preserve">3175223</t>
  </si>
  <si>
    <t xml:space="preserve">2710833</t>
  </si>
  <si>
    <t xml:space="preserve">2709518</t>
  </si>
  <si>
    <t xml:space="preserve">2712888</t>
  </si>
  <si>
    <t xml:space="preserve">5178115</t>
  </si>
  <si>
    <t xml:space="preserve">5178228</t>
  </si>
  <si>
    <t xml:space="preserve">9007455</t>
  </si>
  <si>
    <t xml:space="preserve">3852569</t>
  </si>
  <si>
    <t xml:space="preserve">2713973</t>
  </si>
  <si>
    <t xml:space="preserve">9007494</t>
  </si>
  <si>
    <t xml:space="preserve">5259480</t>
  </si>
  <si>
    <t xml:space="preserve">2058828</t>
  </si>
  <si>
    <t xml:space="preserve">9007541</t>
  </si>
  <si>
    <t xml:space="preserve">0001096</t>
  </si>
  <si>
    <t xml:space="preserve">2091028</t>
  </si>
  <si>
    <t xml:space="preserve">2714614</t>
  </si>
  <si>
    <t xml:space="preserve">2090388</t>
  </si>
  <si>
    <t xml:space="preserve">2182974</t>
  </si>
  <si>
    <t xml:space="preserve">INPI VADS</t>
  </si>
  <si>
    <t xml:space="preserve">2710524</t>
  </si>
  <si>
    <t xml:space="preserve">9006735</t>
  </si>
  <si>
    <t xml:space="preserve">3852989</t>
  </si>
  <si>
    <t xml:space="preserve">1419945</t>
  </si>
  <si>
    <t xml:space="preserve">YOMASA VEMARS</t>
  </si>
  <si>
    <t xml:space="preserve">0026241</t>
  </si>
  <si>
    <t xml:space="preserve">2017958</t>
  </si>
  <si>
    <t xml:space="preserve">9010384</t>
  </si>
  <si>
    <t xml:space="preserve">2017948</t>
  </si>
  <si>
    <t xml:space="preserve">3182451</t>
  </si>
  <si>
    <t xml:space="preserve">2055158</t>
  </si>
  <si>
    <t xml:space="preserve">1420614</t>
  </si>
  <si>
    <t xml:space="preserve">3182784</t>
  </si>
  <si>
    <t xml:space="preserve">DYNEFF GRAINCOU</t>
  </si>
  <si>
    <t xml:space="preserve">1420608</t>
  </si>
  <si>
    <t xml:space="preserve">0000640</t>
  </si>
  <si>
    <t xml:space="preserve">UBER</t>
  </si>
  <si>
    <t xml:space="preserve">9009204</t>
  </si>
  <si>
    <t xml:space="preserve">2718945</t>
  </si>
  <si>
    <t xml:space="preserve">2718505</t>
  </si>
  <si>
    <t xml:space="preserve">1444854</t>
  </si>
  <si>
    <t xml:space="preserve">9004670</t>
  </si>
  <si>
    <t xml:space="preserve">2720094</t>
  </si>
  <si>
    <t xml:space="preserve">2718248</t>
  </si>
  <si>
    <t xml:space="preserve">2060438</t>
  </si>
  <si>
    <t xml:space="preserve">1075534</t>
  </si>
  <si>
    <t xml:space="preserve">2722141</t>
  </si>
  <si>
    <t xml:space="preserve">AKKONA SPOLKA Z OGRANICZONA ODPOWIEDZIALNOSCIA</t>
  </si>
  <si>
    <t xml:space="preserve">5190147</t>
  </si>
  <si>
    <t xml:space="preserve">2722075</t>
  </si>
  <si>
    <t xml:space="preserve">2113000</t>
  </si>
  <si>
    <t xml:space="preserve">1915418</t>
  </si>
  <si>
    <t xml:space="preserve">VIREMENT EUROPEEN EMIS</t>
  </si>
  <si>
    <t xml:space="preserve">ENVASES</t>
  </si>
  <si>
    <t xml:space="preserve">T.E.G 19,21%</t>
  </si>
  <si>
    <t xml:space="preserve">CONFIRMATION SWIFT</t>
  </si>
  <si>
    <t xml:space="preserve">(DONT HORS TAXE E.10,00  TVA TAUX 20,00 % E.2,00)</t>
  </si>
  <si>
    <t xml:space="preserve">2722046</t>
  </si>
  <si>
    <t xml:space="preserve">2718963</t>
  </si>
  <si>
    <t xml:space="preserve">FRAIS VIREMENT EUROPEEN</t>
  </si>
  <si>
    <t xml:space="preserve">(DONT HORS TAXE E.3,32  TVA TAUX 20,00 % E.0,66)</t>
  </si>
  <si>
    <t xml:space="preserve">2721823</t>
  </si>
  <si>
    <t xml:space="preserve">3191739</t>
  </si>
  <si>
    <t xml:space="preserve">3191656</t>
  </si>
  <si>
    <t xml:space="preserve">2723914</t>
  </si>
  <si>
    <t xml:space="preserve">2330490</t>
  </si>
  <si>
    <t xml:space="preserve">1042475</t>
  </si>
  <si>
    <t xml:space="preserve">DELIVEROO</t>
  </si>
  <si>
    <t xml:space="preserve">1017715</t>
  </si>
  <si>
    <t xml:space="preserve">AIRBNB</t>
  </si>
  <si>
    <t xml:space="preserve">2722766</t>
  </si>
  <si>
    <t xml:space="preserve">0000118</t>
  </si>
  <si>
    <t xml:space="preserve">0001199</t>
  </si>
  <si>
    <t xml:space="preserve">2725585</t>
  </si>
  <si>
    <t xml:space="preserve">3857600</t>
  </si>
  <si>
    <t xml:space="preserve">1036936</t>
  </si>
  <si>
    <t xml:space="preserve">3196233</t>
  </si>
  <si>
    <t xml:space="preserve">2358390</t>
  </si>
  <si>
    <t xml:space="preserve">6412758</t>
  </si>
  <si>
    <t xml:space="preserve">MAXICOFFEE GC</t>
  </si>
  <si>
    <t xml:space="preserve">5198110</t>
  </si>
  <si>
    <t xml:space="preserve">3857963</t>
  </si>
  <si>
    <t xml:space="preserve">2044488</t>
  </si>
  <si>
    <t xml:space="preserve">2044478</t>
  </si>
  <si>
    <t xml:space="preserve">2020308</t>
  </si>
  <si>
    <t xml:space="preserve">2026518</t>
  </si>
  <si>
    <t xml:space="preserve">2025558</t>
  </si>
  <si>
    <t xml:space="preserve">3202380</t>
  </si>
  <si>
    <t xml:space="preserve">2013550</t>
  </si>
  <si>
    <t xml:space="preserve">2041278</t>
  </si>
  <si>
    <t xml:space="preserve">1431217</t>
  </si>
  <si>
    <t xml:space="preserve">2729178</t>
  </si>
  <si>
    <t xml:space="preserve">2010608</t>
  </si>
  <si>
    <t xml:space="preserve">1002832</t>
  </si>
  <si>
    <t xml:space="preserve">2730273</t>
  </si>
  <si>
    <t xml:space="preserve">2010438</t>
  </si>
  <si>
    <t xml:space="preserve">1432252</t>
  </si>
  <si>
    <t xml:space="preserve">8574355</t>
  </si>
  <si>
    <t xml:space="preserve">AG2R LA MONDIALE</t>
  </si>
  <si>
    <t xml:space="preserve">1432253</t>
  </si>
  <si>
    <t xml:space="preserve">2730401</t>
  </si>
  <si>
    <t xml:space="preserve">3859710</t>
  </si>
  <si>
    <t xml:space="preserve">VIREMENT EUROPEEN RECU</t>
  </si>
  <si>
    <t xml:space="preserve">SMART UK BRANDS LTD 167-169 5TH FLO</t>
  </si>
  <si>
    <t xml:space="preserve">3860137</t>
  </si>
  <si>
    <t xml:space="preserve">2731325</t>
  </si>
  <si>
    <t xml:space="preserve">8574356</t>
  </si>
  <si>
    <t xml:space="preserve">ARZUM GROUP MMC</t>
  </si>
  <si>
    <t xml:space="preserve">9005974</t>
  </si>
  <si>
    <t xml:space="preserve">1685217</t>
  </si>
  <si>
    <t xml:space="preserve">GLR AUVERGNE</t>
  </si>
  <si>
    <t xml:space="preserve">0010020</t>
  </si>
  <si>
    <t xml:space="preserve">2085958</t>
  </si>
  <si>
    <t xml:space="preserve">2048918</t>
  </si>
  <si>
    <t xml:space="preserve">2308850</t>
  </si>
  <si>
    <t xml:space="preserve">6412218</t>
  </si>
  <si>
    <t xml:space="preserve">FRAIS DE DOSSIER</t>
  </si>
  <si>
    <t xml:space="preserve">(DONT HORS TAXE E.100,00  TVA TAUX 20,00 % E.20,00)</t>
  </si>
  <si>
    <t xml:space="preserve">9005121</t>
  </si>
  <si>
    <t xml:space="preserve">9005053</t>
  </si>
  <si>
    <t xml:space="preserve">3205260</t>
  </si>
  <si>
    <t xml:space="preserve">2076018</t>
  </si>
  <si>
    <t xml:space="preserve">9004962</t>
  </si>
  <si>
    <t xml:space="preserve">2730175</t>
  </si>
  <si>
    <t xml:space="preserve">3206562</t>
  </si>
  <si>
    <t xml:space="preserve">8435865</t>
  </si>
  <si>
    <t xml:space="preserve">COMPAGNIE EIFFA</t>
  </si>
  <si>
    <t xml:space="preserve">2053448</t>
  </si>
  <si>
    <t xml:space="preserve">2011390</t>
  </si>
  <si>
    <t xml:space="preserve">9014106</t>
  </si>
  <si>
    <t xml:space="preserve">ASSISTANCE DEMARCHES</t>
  </si>
  <si>
    <t xml:space="preserve">3209611</t>
  </si>
  <si>
    <t xml:space="preserve">AREAS A10 LIMOU</t>
  </si>
  <si>
    <t xml:space="preserve">3405317</t>
  </si>
  <si>
    <t xml:space="preserve">3209345</t>
  </si>
  <si>
    <t xml:space="preserve">0010061</t>
  </si>
  <si>
    <t xml:space="preserve">9006940</t>
  </si>
  <si>
    <t xml:space="preserve">9007926</t>
  </si>
  <si>
    <t xml:space="preserve">2733491</t>
  </si>
  <si>
    <t xml:space="preserve">9005204</t>
  </si>
  <si>
    <t xml:space="preserve">9007900</t>
  </si>
  <si>
    <t xml:space="preserve">5001</t>
  </si>
  <si>
    <t xml:space="preserve">3210268</t>
  </si>
  <si>
    <t xml:space="preserve">1067630</t>
  </si>
  <si>
    <t xml:space="preserve">3210272</t>
  </si>
  <si>
    <t xml:space="preserve">2311480</t>
  </si>
  <si>
    <t xml:space="preserve">2311490</t>
  </si>
  <si>
    <t xml:space="preserve">2311500</t>
  </si>
  <si>
    <t xml:space="preserve">3778784</t>
  </si>
  <si>
    <t xml:space="preserve">CHALHOUB FOR GENERAL TRADING SARL</t>
  </si>
  <si>
    <t xml:space="preserve">2734960</t>
  </si>
  <si>
    <t xml:space="preserve">2732781</t>
  </si>
  <si>
    <t xml:space="preserve">0182733</t>
  </si>
  <si>
    <t xml:space="preserve">E.S.LA TALAIA</t>
  </si>
  <si>
    <t xml:space="preserve">8436283</t>
  </si>
  <si>
    <t xml:space="preserve">0030363</t>
  </si>
  <si>
    <t xml:space="preserve">2100748</t>
  </si>
  <si>
    <t xml:space="preserve">AENA AEROPUERTO</t>
  </si>
  <si>
    <t xml:space="preserve">2040306</t>
  </si>
  <si>
    <t xml:space="preserve">0027550</t>
  </si>
  <si>
    <t xml:space="preserve">2064556</t>
  </si>
  <si>
    <t xml:space="preserve">3213522</t>
  </si>
  <si>
    <t xml:space="preserve">ESSO31753ROC1</t>
  </si>
  <si>
    <t xml:space="preserve">2012546</t>
  </si>
  <si>
    <t xml:space="preserve">3213723</t>
  </si>
  <si>
    <t xml:space="preserve">ESSO31775ROC3</t>
  </si>
  <si>
    <t xml:space="preserve">7259506</t>
  </si>
  <si>
    <t xml:space="preserve">DYNEFF NFC</t>
  </si>
  <si>
    <t xml:space="preserve">2000736</t>
  </si>
  <si>
    <t xml:space="preserve">2301430</t>
  </si>
  <si>
    <t xml:space="preserve">2738069</t>
  </si>
  <si>
    <t xml:space="preserve">1002648</t>
  </si>
  <si>
    <t xml:space="preserve">3779116</t>
  </si>
  <si>
    <t xml:space="preserve">1458688</t>
  </si>
  <si>
    <t xml:space="preserve">2739826</t>
  </si>
  <si>
    <t xml:space="preserve">9027045</t>
  </si>
  <si>
    <t xml:space="preserve">0182737</t>
  </si>
  <si>
    <t xml:space="preserve">ES EL MASNOU</t>
  </si>
  <si>
    <t xml:space="preserve">2742280</t>
  </si>
  <si>
    <t xml:space="preserve">0049708</t>
  </si>
  <si>
    <t xml:space="preserve">BARCELONETA POR</t>
  </si>
  <si>
    <t xml:space="preserve">2742050</t>
  </si>
  <si>
    <t xml:space="preserve">2738442</t>
  </si>
  <si>
    <t xml:space="preserve">2742316</t>
  </si>
  <si>
    <t xml:space="preserve">2391880</t>
  </si>
  <si>
    <t xml:space="preserve">0001140</t>
  </si>
  <si>
    <t xml:space="preserve">1067366</t>
  </si>
  <si>
    <t xml:space="preserve">2745774</t>
  </si>
  <si>
    <t xml:space="preserve">2743984</t>
  </si>
  <si>
    <t xml:space="preserve">0002903</t>
  </si>
  <si>
    <t xml:space="preserve">2746586</t>
  </si>
  <si>
    <t xml:space="preserve">9007385</t>
  </si>
  <si>
    <t xml:space="preserve">3226068</t>
  </si>
  <si>
    <t xml:space="preserve">ESSO31735ROC3</t>
  </si>
  <si>
    <t xml:space="preserve">0049836</t>
  </si>
  <si>
    <t xml:space="preserve">E.S. CEDIPSA EM</t>
  </si>
  <si>
    <t xml:space="preserve">5227127</t>
  </si>
  <si>
    <t xml:space="preserve">RELAIS MILLAU L</t>
  </si>
  <si>
    <t xml:space="preserve">2034298</t>
  </si>
  <si>
    <t xml:space="preserve">2052468</t>
  </si>
  <si>
    <t xml:space="preserve">CEVM NFC</t>
  </si>
  <si>
    <t xml:space="preserve">2095508</t>
  </si>
  <si>
    <t xml:space="preserve">9002482</t>
  </si>
  <si>
    <t xml:space="preserve">9002292</t>
  </si>
  <si>
    <t xml:space="preserve">9002448</t>
  </si>
  <si>
    <t xml:space="preserve">2109000</t>
  </si>
  <si>
    <t xml:space="preserve">2029690</t>
  </si>
  <si>
    <t xml:space="preserve">2747296</t>
  </si>
  <si>
    <t xml:space="preserve">2052968</t>
  </si>
  <si>
    <t xml:space="preserve">1030677</t>
  </si>
  <si>
    <t xml:space="preserve">3232495</t>
  </si>
  <si>
    <t xml:space="preserve">7516650</t>
  </si>
  <si>
    <t xml:space="preserve">LEROY MERLIN</t>
  </si>
  <si>
    <t xml:space="preserve">2750464</t>
  </si>
  <si>
    <t xml:space="preserve">2748249</t>
  </si>
  <si>
    <t xml:space="preserve">7515770</t>
  </si>
  <si>
    <t xml:space="preserve">LEROY MERLIN SC</t>
  </si>
  <si>
    <t xml:space="preserve">8438006</t>
  </si>
  <si>
    <t xml:space="preserve">2750946</t>
  </si>
  <si>
    <t xml:space="preserve">2752438</t>
  </si>
  <si>
    <t xml:space="preserve">5334329</t>
  </si>
  <si>
    <t xml:space="preserve">2042706</t>
  </si>
  <si>
    <t xml:space="preserve">0008072</t>
  </si>
  <si>
    <t xml:space="preserve">2754194</t>
  </si>
  <si>
    <t xml:space="preserve">0006095</t>
  </si>
  <si>
    <t xml:space="preserve">2751905</t>
  </si>
  <si>
    <t xml:space="preserve">3868352</t>
  </si>
  <si>
    <t xml:space="preserve">AL FAWANIS COMPANY</t>
  </si>
  <si>
    <t xml:space="preserve">2755006</t>
  </si>
  <si>
    <t xml:space="preserve">2756445</t>
  </si>
  <si>
    <t xml:space="preserve">CIELOMED ENTERPRISES LIMITED</t>
  </si>
  <si>
    <t xml:space="preserve">9007347</t>
  </si>
  <si>
    <t xml:space="preserve">9023138</t>
  </si>
  <si>
    <t xml:space="preserve">NASMIR  EUROPE FRAGRANCES</t>
  </si>
  <si>
    <t xml:space="preserve">9022944</t>
  </si>
  <si>
    <t xml:space="preserve">SA  LIATECH</t>
  </si>
  <si>
    <t xml:space="preserve">9007846</t>
  </si>
  <si>
    <t xml:space="preserve">9006778</t>
  </si>
  <si>
    <t xml:space="preserve">9006975</t>
  </si>
  <si>
    <t xml:space="preserve">9009730</t>
  </si>
  <si>
    <t xml:space="preserve">0021494</t>
  </si>
  <si>
    <t xml:space="preserve">5245190</t>
  </si>
  <si>
    <t xml:space="preserve">8574358</t>
  </si>
  <si>
    <t xml:space="preserve">2004620</t>
  </si>
  <si>
    <t xml:space="preserve">3245022</t>
  </si>
  <si>
    <t xml:space="preserve">CASTORAMA</t>
  </si>
  <si>
    <t xml:space="preserve">1059384</t>
  </si>
  <si>
    <t xml:space="preserve">9007607</t>
  </si>
  <si>
    <t xml:space="preserve">5246153</t>
  </si>
  <si>
    <t xml:space="preserve">3245599</t>
  </si>
  <si>
    <t xml:space="preserve">2757687</t>
  </si>
  <si>
    <t xml:space="preserve">2039118</t>
  </si>
  <si>
    <t xml:space="preserve">3246481</t>
  </si>
  <si>
    <t xml:space="preserve">2333310</t>
  </si>
  <si>
    <t xml:space="preserve">2094038</t>
  </si>
  <si>
    <t xml:space="preserve">1454908</t>
  </si>
  <si>
    <t xml:space="preserve">2759144</t>
  </si>
  <si>
    <t xml:space="preserve">2094048</t>
  </si>
  <si>
    <t xml:space="preserve">1932219</t>
  </si>
  <si>
    <t xml:space="preserve">2032768</t>
  </si>
  <si>
    <t xml:space="preserve">2033678</t>
  </si>
  <si>
    <t xml:space="preserve">2758497</t>
  </si>
  <si>
    <t xml:space="preserve">2091858</t>
  </si>
  <si>
    <t xml:space="preserve">1457062</t>
  </si>
  <si>
    <t xml:space="preserve">5251310</t>
  </si>
  <si>
    <t xml:space="preserve">0001123</t>
  </si>
  <si>
    <t xml:space="preserve">1457061</t>
  </si>
  <si>
    <t xml:space="preserve">2762188</t>
  </si>
  <si>
    <t xml:space="preserve">2759714</t>
  </si>
  <si>
    <t xml:space="preserve">2762064</t>
  </si>
  <si>
    <t xml:space="preserve">1023511</t>
  </si>
  <si>
    <t xml:space="preserve">2020428</t>
  </si>
  <si>
    <t xml:space="preserve">3252072</t>
  </si>
  <si>
    <t xml:space="preserve">ESSO AULNAY</t>
  </si>
  <si>
    <t xml:space="preserve">3253016</t>
  </si>
  <si>
    <t xml:space="preserve">2007028</t>
  </si>
  <si>
    <t xml:space="preserve">9200320</t>
  </si>
  <si>
    <t xml:space="preserve">3252489</t>
  </si>
  <si>
    <t xml:space="preserve">2103000</t>
  </si>
  <si>
    <t xml:space="preserve">2764039</t>
  </si>
  <si>
    <t xml:space="preserve">2007038</t>
  </si>
  <si>
    <t xml:space="preserve">3780496</t>
  </si>
  <si>
    <t xml:space="preserve">ALMUFTAH TRADING AND CONTRACTING</t>
  </si>
  <si>
    <t xml:space="preserve">2081326</t>
  </si>
  <si>
    <t xml:space="preserve">0008186</t>
  </si>
  <si>
    <t xml:space="preserve">2008108</t>
  </si>
  <si>
    <t xml:space="preserve">2314820</t>
  </si>
  <si>
    <t xml:space="preserve">2763930</t>
  </si>
  <si>
    <t xml:space="preserve">9025305</t>
  </si>
  <si>
    <t xml:space="preserve">0010066</t>
  </si>
  <si>
    <t xml:space="preserve">ALIBABA.COM SIN</t>
  </si>
  <si>
    <t xml:space="preserve">3258120</t>
  </si>
  <si>
    <t xml:space="preserve">1935107</t>
  </si>
  <si>
    <t xml:space="preserve">LA VIE VACATION HOMES RENTAL LLC</t>
  </si>
  <si>
    <t xml:space="preserve">3258447</t>
  </si>
  <si>
    <t xml:space="preserve">2765946</t>
  </si>
  <si>
    <t xml:space="preserve">9004371</t>
  </si>
  <si>
    <t xml:space="preserve">1086170</t>
  </si>
  <si>
    <t xml:space="preserve">1935628</t>
  </si>
  <si>
    <t xml:space="preserve">MR RIADH CHEBHOUNI</t>
  </si>
  <si>
    <t xml:space="preserve">2035376</t>
  </si>
  <si>
    <t xml:space="preserve">2769186</t>
  </si>
  <si>
    <t xml:space="preserve">2769682</t>
  </si>
  <si>
    <t xml:space="preserve">5415436</t>
  </si>
  <si>
    <t xml:space="preserve">EPI D OR</t>
  </si>
  <si>
    <t xml:space="preserve">3265079</t>
  </si>
  <si>
    <t xml:space="preserve">2770579</t>
  </si>
  <si>
    <t xml:space="preserve">2770939</t>
  </si>
  <si>
    <t xml:space="preserve">1464359</t>
  </si>
  <si>
    <t xml:space="preserve">4902940</t>
  </si>
  <si>
    <t xml:space="preserve">DUBAI TAXI</t>
  </si>
  <si>
    <t xml:space="preserve">2022158</t>
  </si>
  <si>
    <t xml:space="preserve">1937025</t>
  </si>
  <si>
    <t xml:space="preserve">9005039</t>
  </si>
  <si>
    <t xml:space="preserve">TUV RHEINLAND FRANCE SAS</t>
  </si>
  <si>
    <t xml:space="preserve">9200330</t>
  </si>
  <si>
    <t xml:space="preserve">1019964</t>
  </si>
  <si>
    <t xml:space="preserve">1023169</t>
  </si>
  <si>
    <t xml:space="preserve">5266334</t>
  </si>
  <si>
    <t xml:space="preserve">9200340</t>
  </si>
  <si>
    <t xml:space="preserve">7205828</t>
  </si>
  <si>
    <t xml:space="preserve">786 CHAMPIGNY S</t>
  </si>
  <si>
    <t xml:space="preserve">1291616</t>
  </si>
  <si>
    <t xml:space="preserve">2769636</t>
  </si>
  <si>
    <t xml:space="preserve">2771794</t>
  </si>
  <si>
    <t xml:space="preserve">5267352</t>
  </si>
  <si>
    <t xml:space="preserve">BOUTIQUE ORANGE</t>
  </si>
  <si>
    <t xml:space="preserve">5268159</t>
  </si>
  <si>
    <t xml:space="preserve">0000772</t>
  </si>
  <si>
    <t xml:space="preserve">5829194</t>
  </si>
  <si>
    <t xml:space="preserve">NYX*LAMAISONLYO</t>
  </si>
  <si>
    <t xml:space="preserve">7089808</t>
  </si>
  <si>
    <t xml:space="preserve">5268333</t>
  </si>
  <si>
    <t xml:space="preserve">5829188</t>
  </si>
  <si>
    <t xml:space="preserve">5829180</t>
  </si>
  <si>
    <t xml:space="preserve">1305311</t>
  </si>
  <si>
    <t xml:space="preserve">2774163</t>
  </si>
  <si>
    <t xml:space="preserve">0001040</t>
  </si>
  <si>
    <t xml:space="preserve">0022446</t>
  </si>
  <si>
    <t xml:space="preserve">1051700</t>
  </si>
  <si>
    <t xml:space="preserve">0022296</t>
  </si>
  <si>
    <t xml:space="preserve">2363670</t>
  </si>
  <si>
    <t xml:space="preserve">4935450</t>
  </si>
  <si>
    <t xml:space="preserve">0001119</t>
  </si>
  <si>
    <t xml:space="preserve">2033088</t>
  </si>
  <si>
    <t xml:space="preserve">3272322</t>
  </si>
  <si>
    <t xml:space="preserve">9003257</t>
  </si>
  <si>
    <t xml:space="preserve">9003243</t>
  </si>
  <si>
    <t xml:space="preserve">2775065</t>
  </si>
  <si>
    <t xml:space="preserve">2773488</t>
  </si>
  <si>
    <t xml:space="preserve">8574359</t>
  </si>
  <si>
    <t xml:space="preserve">2065588</t>
  </si>
  <si>
    <t xml:space="preserve">2775600</t>
  </si>
  <si>
    <t xml:space="preserve">1084496</t>
  </si>
  <si>
    <t xml:space="preserve">2776498</t>
  </si>
  <si>
    <t xml:space="preserve">2065598</t>
  </si>
  <si>
    <t xml:space="preserve">3875769</t>
  </si>
  <si>
    <t xml:space="preserve">0013360</t>
  </si>
  <si>
    <t xml:space="preserve">9009247</t>
  </si>
  <si>
    <t xml:space="preserve">9009358</t>
  </si>
  <si>
    <t xml:space="preserve">3275564</t>
  </si>
  <si>
    <t xml:space="preserve">5276148</t>
  </si>
  <si>
    <t xml:space="preserve">9009308</t>
  </si>
  <si>
    <t xml:space="preserve">2778539</t>
  </si>
  <si>
    <t xml:space="preserve">2037248</t>
  </si>
  <si>
    <t xml:space="preserve">2036798</t>
  </si>
  <si>
    <t xml:space="preserve">2778425</t>
  </si>
  <si>
    <t xml:space="preserve">2071418</t>
  </si>
  <si>
    <t xml:space="preserve">2071048</t>
  </si>
  <si>
    <t xml:space="preserve">1470944</t>
  </si>
  <si>
    <t xml:space="preserve">5279312</t>
  </si>
  <si>
    <t xml:space="preserve">2024298</t>
  </si>
  <si>
    <t xml:space="preserve">0004458</t>
  </si>
  <si>
    <t xml:space="preserve">RETRAIT D'ESPECES A UN DAB</t>
  </si>
  <si>
    <t xml:space="preserve">BRED JOINVILLE POL1</t>
  </si>
  <si>
    <t xml:space="preserve">9200490</t>
  </si>
  <si>
    <t xml:space="preserve">2018278</t>
  </si>
  <si>
    <t xml:space="preserve">3877408</t>
  </si>
  <si>
    <t xml:space="preserve">1471469</t>
  </si>
  <si>
    <t xml:space="preserve">1051680</t>
  </si>
  <si>
    <t xml:space="preserve">2390930</t>
  </si>
  <si>
    <t xml:space="preserve">8441013</t>
  </si>
  <si>
    <t xml:space="preserve">2780095</t>
  </si>
  <si>
    <t xml:space="preserve">2782923</t>
  </si>
  <si>
    <t xml:space="preserve">2783072</t>
  </si>
  <si>
    <t xml:space="preserve">3878757</t>
  </si>
  <si>
    <t xml:space="preserve">0001319</t>
  </si>
  <si>
    <t xml:space="preserve">1942769</t>
  </si>
  <si>
    <t xml:space="preserve">SHENZHEN FORTRESS INDUSTRY CO</t>
  </si>
  <si>
    <t xml:space="preserve">1942554</t>
  </si>
  <si>
    <t xml:space="preserve">3440162</t>
  </si>
  <si>
    <t xml:space="preserve">SOCIETE NOUVELL</t>
  </si>
  <si>
    <t xml:space="preserve">1943192</t>
  </si>
  <si>
    <t xml:space="preserve">9004784</t>
  </si>
  <si>
    <t xml:space="preserve">0002536</t>
  </si>
  <si>
    <t xml:space="preserve">9004965</t>
  </si>
  <si>
    <t xml:space="preserve">9005066</t>
  </si>
  <si>
    <t xml:space="preserve">2784805</t>
  </si>
  <si>
    <t xml:space="preserve">9004664</t>
  </si>
  <si>
    <t xml:space="preserve">3286730</t>
  </si>
  <si>
    <t xml:space="preserve">9003519</t>
  </si>
  <si>
    <t xml:space="preserve">1018355</t>
  </si>
  <si>
    <t xml:space="preserve">9003536</t>
  </si>
  <si>
    <t xml:space="preserve">9003549</t>
  </si>
  <si>
    <t xml:space="preserve">9003506</t>
  </si>
  <si>
    <t xml:space="preserve">9003485</t>
  </si>
  <si>
    <t xml:space="preserve">9003567</t>
  </si>
  <si>
    <t xml:space="preserve">3287545</t>
  </si>
  <si>
    <t xml:space="preserve">2385770</t>
  </si>
  <si>
    <t xml:space="preserve">2785510</t>
  </si>
  <si>
    <t xml:space="preserve">2787147</t>
  </si>
  <si>
    <t xml:space="preserve">2787390</t>
  </si>
  <si>
    <t xml:space="preserve">9004322</t>
  </si>
  <si>
    <t xml:space="preserve">2042590</t>
  </si>
  <si>
    <t xml:space="preserve">7094700</t>
  </si>
  <si>
    <t xml:space="preserve">TD AUTOROUTES</t>
  </si>
  <si>
    <t xml:space="preserve">1484450</t>
  </si>
  <si>
    <t xml:space="preserve">8441361</t>
  </si>
  <si>
    <t xml:space="preserve">RELAIS SENTINEL</t>
  </si>
  <si>
    <t xml:space="preserve">2089010</t>
  </si>
  <si>
    <t xml:space="preserve">9021192</t>
  </si>
  <si>
    <t xml:space="preserve">0931492</t>
  </si>
  <si>
    <t xml:space="preserve">9021421</t>
  </si>
  <si>
    <t xml:space="preserve">5291200</t>
  </si>
  <si>
    <t xml:space="preserve">2095560</t>
  </si>
  <si>
    <t xml:space="preserve">3293044</t>
  </si>
  <si>
    <t xml:space="preserve">1478564</t>
  </si>
  <si>
    <t xml:space="preserve">2065550</t>
  </si>
  <si>
    <t xml:space="preserve">1478565</t>
  </si>
  <si>
    <t xml:space="preserve">8574360</t>
  </si>
  <si>
    <t xml:space="preserve">2789563</t>
  </si>
  <si>
    <t xml:space="preserve">2093700</t>
  </si>
  <si>
    <t xml:space="preserve">1082437</t>
  </si>
  <si>
    <t xml:space="preserve">2093710</t>
  </si>
  <si>
    <t xml:space="preserve">2791519</t>
  </si>
  <si>
    <t xml:space="preserve">5225752</t>
  </si>
  <si>
    <t xml:space="preserve">NATIONAL PARKIN</t>
  </si>
  <si>
    <t xml:space="preserve">5296196</t>
  </si>
  <si>
    <t xml:space="preserve">ILKA COMPTOIR</t>
  </si>
  <si>
    <t xml:space="preserve">1945496</t>
  </si>
  <si>
    <t xml:space="preserve">2790800</t>
  </si>
  <si>
    <t xml:space="preserve">8441646</t>
  </si>
  <si>
    <t xml:space="preserve">REL.HARDIVILLER</t>
  </si>
  <si>
    <t xml:space="preserve">0031961</t>
  </si>
  <si>
    <t xml:space="preserve">INFLIGHT INTERN</t>
  </si>
  <si>
    <t xml:space="preserve">9002907</t>
  </si>
  <si>
    <t xml:space="preserve">0550054</t>
  </si>
  <si>
    <t xml:space="preserve">0550812</t>
  </si>
  <si>
    <t xml:space="preserve">VIRGIN MOBILE U</t>
  </si>
  <si>
    <t xml:space="preserve">2960151</t>
  </si>
  <si>
    <t xml:space="preserve">FRESHMART</t>
  </si>
  <si>
    <t xml:space="preserve">0190967</t>
  </si>
  <si>
    <t xml:space="preserve">HB LEISURE GAME</t>
  </si>
  <si>
    <t xml:space="preserve">2297370</t>
  </si>
  <si>
    <t xml:space="preserve">WEB AMENDE.GOUV</t>
  </si>
  <si>
    <t xml:space="preserve">0191141</t>
  </si>
  <si>
    <t xml:space="preserve">ADIDAS</t>
  </si>
  <si>
    <t xml:space="preserve">0570024</t>
  </si>
  <si>
    <t xml:space="preserve">5247551</t>
  </si>
  <si>
    <t xml:space="preserve">2792604</t>
  </si>
  <si>
    <t xml:space="preserve">5265053</t>
  </si>
  <si>
    <t xml:space="preserve">HI PHONE TELECO</t>
  </si>
  <si>
    <t xml:space="preserve">0191336</t>
  </si>
  <si>
    <t xml:space="preserve">5242867</t>
  </si>
  <si>
    <t xml:space="preserve">RAPTOR TEAM TOU</t>
  </si>
  <si>
    <t xml:space="preserve">5263666</t>
  </si>
  <si>
    <t xml:space="preserve">EPPC SITE 10</t>
  </si>
  <si>
    <t xml:space="preserve">0191266</t>
  </si>
  <si>
    <t xml:space="preserve">A G K REFRESHME</t>
  </si>
  <si>
    <t xml:space="preserve">5259817</t>
  </si>
  <si>
    <t xml:space="preserve">SAFE PARK VALET</t>
  </si>
  <si>
    <t xml:space="preserve">5423115</t>
  </si>
  <si>
    <t xml:space="preserve">MINUTES QUICK S</t>
  </si>
  <si>
    <t xml:space="preserve">5259814</t>
  </si>
  <si>
    <t xml:space="preserve">ILOLI RESTAURAN</t>
  </si>
  <si>
    <t xml:space="preserve">5423214</t>
  </si>
  <si>
    <t xml:space="preserve">UMAMI RESTAURAN</t>
  </si>
  <si>
    <t xml:space="preserve">0191182</t>
  </si>
  <si>
    <t xml:space="preserve">YULA LOUNGE</t>
  </si>
  <si>
    <t xml:space="preserve">5263986</t>
  </si>
  <si>
    <t xml:space="preserve">DWTC EXHIBITION</t>
  </si>
  <si>
    <t xml:space="preserve">2790559</t>
  </si>
  <si>
    <t xml:space="preserve">5253160</t>
  </si>
  <si>
    <t xml:space="preserve">FADE AND SHAVE</t>
  </si>
  <si>
    <t xml:space="preserve">2070010</t>
  </si>
  <si>
    <t xml:space="preserve">1190522</t>
  </si>
  <si>
    <t xml:space="preserve">FIVE GUYS-(BR O</t>
  </si>
  <si>
    <t xml:space="preserve">2793911</t>
  </si>
  <si>
    <t xml:space="preserve">9003956</t>
  </si>
  <si>
    <t xml:space="preserve">5274555</t>
  </si>
  <si>
    <t xml:space="preserve">DUBAI WORLD TRA</t>
  </si>
  <si>
    <t xml:space="preserve">3001926</t>
  </si>
  <si>
    <t xml:space="preserve">1441479</t>
  </si>
  <si>
    <t xml:space="preserve">5275942</t>
  </si>
  <si>
    <t xml:space="preserve">5422075</t>
  </si>
  <si>
    <t xml:space="preserve">5273986</t>
  </si>
  <si>
    <t xml:space="preserve">9003924</t>
  </si>
  <si>
    <t xml:space="preserve">9003896</t>
  </si>
  <si>
    <t xml:space="preserve">5287201</t>
  </si>
  <si>
    <t xml:space="preserve">0191439</t>
  </si>
  <si>
    <t xml:space="preserve">0191546</t>
  </si>
  <si>
    <t xml:space="preserve">5423530</t>
  </si>
  <si>
    <t xml:space="preserve">CAFE DE PARIS R</t>
  </si>
  <si>
    <t xml:space="preserve">1481920</t>
  </si>
  <si>
    <t xml:space="preserve">5285922</t>
  </si>
  <si>
    <t xml:space="preserve">5286281</t>
  </si>
  <si>
    <t xml:space="preserve">2014890</t>
  </si>
  <si>
    <t xml:space="preserve">0011185</t>
  </si>
  <si>
    <t xml:space="preserve">1048451</t>
  </si>
  <si>
    <t xml:space="preserve">0191609</t>
  </si>
  <si>
    <t xml:space="preserve">TOP GOLF REST</t>
  </si>
  <si>
    <t xml:space="preserve">0191668</t>
  </si>
  <si>
    <t xml:space="preserve">5297263</t>
  </si>
  <si>
    <t xml:space="preserve">5433851</t>
  </si>
  <si>
    <t xml:space="preserve">FOMO STAR CAFE</t>
  </si>
  <si>
    <t xml:space="preserve">5314921</t>
  </si>
  <si>
    <t xml:space="preserve">2796765</t>
  </si>
  <si>
    <t xml:space="preserve">1000273</t>
  </si>
  <si>
    <t xml:space="preserve">SONDER.COM</t>
  </si>
  <si>
    <t xml:space="preserve">5314948</t>
  </si>
  <si>
    <t xml:space="preserve">ARABIA TAXI</t>
  </si>
  <si>
    <t xml:space="preserve">2796275</t>
  </si>
  <si>
    <t xml:space="preserve">5314922</t>
  </si>
  <si>
    <t xml:space="preserve">5433849</t>
  </si>
  <si>
    <t xml:space="preserve">TRIBES CARNIVOR</t>
  </si>
  <si>
    <t xml:space="preserve">0191885</t>
  </si>
  <si>
    <t xml:space="preserve">AZURE RESTAURAN</t>
  </si>
  <si>
    <t xml:space="preserve">0191896</t>
  </si>
  <si>
    <t xml:space="preserve">0015230</t>
  </si>
  <si>
    <t xml:space="preserve">5438979</t>
  </si>
  <si>
    <t xml:space="preserve">DUBAI DUTY FREE</t>
  </si>
  <si>
    <t xml:space="preserve">9200066</t>
  </si>
  <si>
    <t xml:space="preserve">2020410</t>
  </si>
  <si>
    <t xml:space="preserve">0700430</t>
  </si>
  <si>
    <t xml:space="preserve">GLOBAL VILLAGE-</t>
  </si>
  <si>
    <t xml:space="preserve">0701359</t>
  </si>
  <si>
    <t xml:space="preserve">DAY TO DAY HYPE</t>
  </si>
  <si>
    <t xml:space="preserve">2793568</t>
  </si>
  <si>
    <t xml:space="preserve">7217450</t>
  </si>
  <si>
    <t xml:space="preserve">ADP ROISSY PCD</t>
  </si>
  <si>
    <t xml:space="preserve">2798156</t>
  </si>
  <si>
    <t xml:space="preserve">2799350</t>
  </si>
  <si>
    <t xml:space="preserve">2800381</t>
  </si>
  <si>
    <t xml:space="preserve">1013432</t>
  </si>
  <si>
    <t xml:space="preserve">2065640</t>
  </si>
  <si>
    <t xml:space="preserve">2801750</t>
  </si>
  <si>
    <t xml:space="preserve">2059970</t>
  </si>
  <si>
    <t xml:space="preserve">8442358</t>
  </si>
  <si>
    <t xml:space="preserve">0001509</t>
  </si>
  <si>
    <t xml:space="preserve">3886527</t>
  </si>
  <si>
    <t xml:space="preserve">2802876</t>
  </si>
  <si>
    <t xml:space="preserve">2798806</t>
  </si>
  <si>
    <t xml:space="preserve">2803114</t>
  </si>
  <si>
    <t xml:space="preserve">2800240</t>
  </si>
  <si>
    <t xml:space="preserve">TAX ID 2007973391 ARZUM GROUP MMC</t>
  </si>
  <si>
    <t xml:space="preserve">5311200</t>
  </si>
  <si>
    <t xml:space="preserve">2090040</t>
  </si>
  <si>
    <t xml:space="preserve">1048121</t>
  </si>
  <si>
    <t xml:space="preserve">2806098</t>
  </si>
  <si>
    <t xml:space="preserve">1489414</t>
  </si>
  <si>
    <t xml:space="preserve">3316359</t>
  </si>
  <si>
    <t xml:space="preserve">EXPERT DU PEU 2</t>
  </si>
  <si>
    <t xml:space="preserve">2072280</t>
  </si>
  <si>
    <t xml:space="preserve">2063500</t>
  </si>
  <si>
    <t xml:space="preserve">1952524</t>
  </si>
  <si>
    <t xml:space="preserve">2318751</t>
  </si>
  <si>
    <t xml:space="preserve">0002192</t>
  </si>
  <si>
    <t xml:space="preserve">2805988</t>
  </si>
  <si>
    <t xml:space="preserve">8574357</t>
  </si>
  <si>
    <t xml:space="preserve">8442814</t>
  </si>
  <si>
    <t xml:space="preserve">REL. PONTAULT</t>
  </si>
  <si>
    <t xml:space="preserve">3318694</t>
  </si>
  <si>
    <t xml:space="preserve">1128803</t>
  </si>
  <si>
    <t xml:space="preserve">LORD BYRON</t>
  </si>
  <si>
    <t xml:space="preserve">5319102</t>
  </si>
  <si>
    <t xml:space="preserve">9004715</t>
  </si>
  <si>
    <t xml:space="preserve">1128816</t>
  </si>
  <si>
    <t xml:space="preserve">5322QWD</t>
  </si>
  <si>
    <t xml:space="preserve">TRESSORIA MB</t>
  </si>
  <si>
    <t xml:space="preserve">2808141</t>
  </si>
  <si>
    <t xml:space="preserve">2808903</t>
  </si>
  <si>
    <t xml:space="preserve">9003342</t>
  </si>
  <si>
    <t xml:space="preserve">MOHELLEBI SAMY</t>
  </si>
  <si>
    <t xml:space="preserve">1012142</t>
  </si>
  <si>
    <t xml:space="preserve">9002742</t>
  </si>
  <si>
    <t xml:space="preserve">9002870</t>
  </si>
  <si>
    <t xml:space="preserve">9002805</t>
  </si>
  <si>
    <t xml:space="preserve">ESI</t>
  </si>
  <si>
    <t xml:space="preserve">8574361</t>
  </si>
  <si>
    <t xml:space="preserve">MME MACHADO NATALI (avance sur salaire)</t>
  </si>
  <si>
    <t xml:space="preserve">3889197</t>
  </si>
  <si>
    <t xml:space="preserve">DAVIDSON DISTRIBUTORS LLC</t>
  </si>
  <si>
    <t xml:space="preserve">9011027</t>
  </si>
  <si>
    <t xml:space="preserve">1498326</t>
  </si>
  <si>
    <t xml:space="preserve">SARL JADE CREATION                  SALGDZALXXX SALGDZALXXX</t>
  </si>
  <si>
    <t xml:space="preserve">9003159</t>
  </si>
  <si>
    <t xml:space="preserve">8574362</t>
  </si>
  <si>
    <t xml:space="preserve">3328643</t>
  </si>
  <si>
    <t xml:space="preserve">3325605</t>
  </si>
  <si>
    <t xml:space="preserve">ESSO CHAMPILAVA</t>
  </si>
  <si>
    <t xml:space="preserve">5325333</t>
  </si>
  <si>
    <t xml:space="preserve">8443078</t>
  </si>
  <si>
    <t xml:space="preserve">2810177</t>
  </si>
  <si>
    <t xml:space="preserve">2811999</t>
  </si>
  <si>
    <t xml:space="preserve">2812964</t>
  </si>
  <si>
    <t xml:space="preserve">2812435</t>
  </si>
  <si>
    <t xml:space="preserve">1495661</t>
  </si>
  <si>
    <t xml:space="preserve">1078971</t>
  </si>
  <si>
    <t xml:space="preserve">2096450</t>
  </si>
  <si>
    <t xml:space="preserve">2813346</t>
  </si>
  <si>
    <t xml:space="preserve">3329420</t>
  </si>
  <si>
    <t xml:space="preserve">GL HAUSSMANN</t>
  </si>
  <si>
    <t xml:space="preserve">3330633</t>
  </si>
  <si>
    <t xml:space="preserve">2814978</t>
  </si>
  <si>
    <t xml:space="preserve">0008032</t>
  </si>
  <si>
    <t xml:space="preserve">FRAIS ANNUELS DE SUIVI ADMINISTRATIF</t>
  </si>
  <si>
    <t xml:space="preserve">(DONT HORS TAXE E.50,00  TVA TAUX 20,00 % E.10,00)</t>
  </si>
  <si>
    <t xml:space="preserve">9007700</t>
  </si>
  <si>
    <t xml:space="preserve">9005137</t>
  </si>
  <si>
    <t xml:space="preserve">2047090</t>
  </si>
  <si>
    <t xml:space="preserve">3891390</t>
  </si>
  <si>
    <t xml:space="preserve">3331532</t>
  </si>
  <si>
    <t xml:space="preserve">9005188</t>
  </si>
  <si>
    <t xml:space="preserve">2815748</t>
  </si>
  <si>
    <t xml:space="preserve">9005159</t>
  </si>
  <si>
    <t xml:space="preserve">3331480</t>
  </si>
  <si>
    <t xml:space="preserve">2047100</t>
  </si>
  <si>
    <t xml:space="preserve">6418760</t>
  </si>
  <si>
    <t xml:space="preserve">0001360</t>
  </si>
  <si>
    <t xml:space="preserve">2025570</t>
  </si>
  <si>
    <t xml:space="preserve">2034010</t>
  </si>
  <si>
    <t xml:space="preserve">3335636</t>
  </si>
  <si>
    <t xml:space="preserve">INDIGO930323</t>
  </si>
  <si>
    <t xml:space="preserve">2027330</t>
  </si>
  <si>
    <t xml:space="preserve">2813021</t>
  </si>
  <si>
    <t xml:space="preserve">2027320</t>
  </si>
  <si>
    <t xml:space="preserve">5333236</t>
  </si>
  <si>
    <t xml:space="preserve">0000693</t>
  </si>
  <si>
    <t xml:space="preserve">2816296</t>
  </si>
  <si>
    <t xml:space="preserve">0018520</t>
  </si>
  <si>
    <t xml:space="preserve">0003190</t>
  </si>
  <si>
    <t xml:space="preserve">5472777</t>
  </si>
  <si>
    <t xml:space="preserve">2820312</t>
  </si>
  <si>
    <t xml:space="preserve">8443632</t>
  </si>
  <si>
    <t xml:space="preserve">2820309</t>
  </si>
  <si>
    <t xml:space="preserve">2820555</t>
  </si>
  <si>
    <t xml:space="preserve">9000838</t>
  </si>
  <si>
    <t xml:space="preserve">3894040</t>
  </si>
  <si>
    <t xml:space="preserve">9006987</t>
  </si>
  <si>
    <t xml:space="preserve">9006826</t>
  </si>
  <si>
    <t xml:space="preserve">9000631</t>
  </si>
  <si>
    <t xml:space="preserve">8443877</t>
  </si>
  <si>
    <t xml:space="preserve">2822586</t>
  </si>
  <si>
    <t xml:space="preserve">0001141</t>
  </si>
  <si>
    <t xml:space="preserve">9004390</t>
  </si>
  <si>
    <t xml:space="preserve">9004434</t>
  </si>
  <si>
    <t xml:space="preserve">2820729</t>
  </si>
  <si>
    <t xml:space="preserve">2823839</t>
  </si>
  <si>
    <t xml:space="preserve">1020201</t>
  </si>
  <si>
    <t xml:space="preserve">2824183</t>
  </si>
  <si>
    <t xml:space="preserve">2825412</t>
  </si>
  <si>
    <t xml:space="preserve">2826265</t>
  </si>
  <si>
    <t xml:space="preserve">2827197</t>
  </si>
  <si>
    <t xml:space="preserve">3895436</t>
  </si>
  <si>
    <t xml:space="preserve">0010742</t>
  </si>
  <si>
    <t xml:space="preserve">2825312</t>
  </si>
  <si>
    <t xml:space="preserve">3895752</t>
  </si>
  <si>
    <t xml:space="preserve">2827332</t>
  </si>
  <si>
    <t xml:space="preserve">1091996</t>
  </si>
  <si>
    <t xml:space="preserve">8574364</t>
  </si>
  <si>
    <t xml:space="preserve">ETC GROUPE</t>
  </si>
  <si>
    <t xml:space="preserve">3896581</t>
  </si>
  <si>
    <t xml:space="preserve">1963880</t>
  </si>
  <si>
    <t xml:space="preserve">2326431</t>
  </si>
  <si>
    <t xml:space="preserve">1964038</t>
  </si>
  <si>
    <t xml:space="preserve">9004775</t>
  </si>
  <si>
    <t xml:space="preserve">2326421</t>
  </si>
  <si>
    <t xml:space="preserve">2326441</t>
  </si>
  <si>
    <t xml:space="preserve">1964799</t>
  </si>
  <si>
    <t xml:space="preserve">3785298</t>
  </si>
  <si>
    <t xml:space="preserve">3897881</t>
  </si>
  <si>
    <t xml:space="preserve">2831914</t>
  </si>
  <si>
    <t xml:space="preserve">9008687</t>
  </si>
  <si>
    <t xml:space="preserve">2832366</t>
  </si>
  <si>
    <t xml:space="preserve">9008713</t>
  </si>
  <si>
    <t xml:space="preserve">2833605</t>
  </si>
  <si>
    <t xml:space="preserve">1035723</t>
  </si>
  <si>
    <t xml:space="preserve">2396371</t>
  </si>
  <si>
    <t xml:space="preserve">3357308</t>
  </si>
  <si>
    <t xml:space="preserve">5122622</t>
  </si>
  <si>
    <t xml:space="preserve">RAS TRANSPORT</t>
  </si>
  <si>
    <t xml:space="preserve">2831242</t>
  </si>
  <si>
    <t xml:space="preserve">5510226</t>
  </si>
  <si>
    <t xml:space="preserve">5361196</t>
  </si>
  <si>
    <t xml:space="preserve">0008218</t>
  </si>
  <si>
    <t xml:space="preserve">2829084</t>
  </si>
  <si>
    <t xml:space="preserve">8574365</t>
  </si>
  <si>
    <t xml:space="preserve">2833601</t>
  </si>
  <si>
    <t xml:space="preserve">8574363</t>
  </si>
  <si>
    <t xml:space="preserve">2836341</t>
  </si>
  <si>
    <t xml:space="preserve">VISA PAYMENTS LIMITED</t>
  </si>
  <si>
    <t xml:space="preserve">9007074</t>
  </si>
  <si>
    <t xml:space="preserve">9007037</t>
  </si>
  <si>
    <t xml:space="preserve">9007055</t>
  </si>
  <si>
    <t xml:space="preserve">2835762</t>
  </si>
  <si>
    <t xml:space="preserve">1095606</t>
  </si>
  <si>
    <t xml:space="preserve">Payeur (nom banque)</t>
  </si>
  <si>
    <t xml:space="preserve">Catégorie revenu</t>
  </si>
  <si>
    <t xml:space="preserve">(sans libellé)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</si>
</sst>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;[RED]\-#,##0.00&quot; €&quot;"/>
    <numFmt numFmtId="166" formatCode="0.0%"/>
    <numFmt numFmtId="167" formatCode="#,##0.00&quot; €&quot;"/>
    <numFmt numFmtId="168" formatCode="#,##0&quot; €&quot;"/>
    <numFmt numFmtId="169" formatCode="#,##0&quot; €&quot;;[RED]\-#,##0&quot; €&quot;"/>
    <numFmt numFmtId="170" formatCode="dd/mm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504D"/>
      <name val="Arial"/>
      <family val="0"/>
      <charset val="1"/>
    </font>
    <font>
      <b val="true"/>
      <sz val="14"/>
      <color rgb="FF0F6B3D"/>
      <name val="Arial"/>
      <family val="0"/>
      <charset val="1"/>
    </font>
    <font>
      <b val="true"/>
      <sz val="12"/>
      <color rgb="FF0F6B3D"/>
      <name val="Arial"/>
      <family val="0"/>
      <charset val="1"/>
    </font>
    <font>
      <b val="true"/>
      <sz val="11"/>
      <name val="Cambria"/>
      <family val="0"/>
      <charset val="1"/>
    </font>
    <font>
      <sz val="9"/>
      <name val="Cambria"/>
      <family val="0"/>
      <charset val="1"/>
    </font>
    <font>
      <b val="true"/>
      <sz val="13"/>
      <color rgb="FF0F6B3D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0F6B3D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F6B3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F6B3D"/>
      <rgbColor rgb="FF000080"/>
      <rgbColor rgb="FF808000"/>
      <rgbColor rgb="FF800080"/>
      <rgbColor rgb="FF008080"/>
      <rgbColor rgb="FFC0C0C0"/>
      <rgbColor rgb="FF888888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tailRevenus2025" displayName="DetailRevenus2025" ref="A1:F90" headerRowCount="1" totalsRowCount="0" totalsRowShown="0">
  <autoFilter ref="A1:F90"/>
  <tableColumns count="6">
    <tableColumn id="1" name="Date"/>
    <tableColumn id="2" name="Référence"/>
    <tableColumn id="3" name="Type d'opération"/>
    <tableColumn id="4" name="Payeur (nom banque)"/>
    <tableColumn id="5" name="Montant (€)"/>
    <tableColumn id="6" name="Catégorie revenu"/>
  </tableColumns>
</table>
</file>

<file path=xl/tables/table2.xml><?xml version="1.0" encoding="utf-8"?>
<table xmlns="http://schemas.openxmlformats.org/spreadsheetml/2006/main" id="2" name="DetailTable2025" displayName="DetailTable2025" ref="A1:F1397" headerRowCount="1" totalsRowCount="0" totalsRowShown="0">
  <autoFilter ref="A1:F1397"/>
  <tableColumns count="6">
    <tableColumn id="1" name="Date"/>
    <tableColumn id="2" name="Référence"/>
    <tableColumn id="3" name="Type d'opération"/>
    <tableColumn id="4" name="Fournisseur / Libellé"/>
    <tableColumn id="5" name="Montant (€)"/>
    <tableColumn id="6" name="Catégori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f aca="false">SUMIF(Détail!F:F,"Encaissement*",Détail!E:E)</f>
        <v>1518357.48</v>
      </c>
    </row>
    <row r="5" customFormat="false" ht="15" hidden="false" customHeight="true" outlineLevel="0" collapsed="false">
      <c r="A5" s="4" t="s">
        <v>3</v>
      </c>
      <c r="B5" s="5" t="n">
        <f aca="false">SUMIFS(Détail!E:E,Détail!F:F,"&lt;&gt;Encaissement (hors périmètre charges)",Détail!F:F,"&lt;&gt;Paiement par chèque (à vérifier)",Détail!F:F,"&lt;&gt;Non classé / à vérifier",Détail!F:F,"&lt;&gt;Saisie administrative")</f>
        <v>-1498281.52</v>
      </c>
    </row>
    <row r="6" customFormat="false" ht="15" hidden="false" customHeight="true" outlineLevel="0" collapsed="false">
      <c r="A6" s="4" t="s">
        <v>4</v>
      </c>
      <c r="B6" s="5" t="n">
        <f aca="false">SUMIF(Détail!F:F,"&lt;&gt;",Détail!E:E)</f>
        <v>20075.96</v>
      </c>
    </row>
    <row r="8" customFormat="false" ht="15" hidden="false" customHeight="true" outlineLevel="0" collapsed="false">
      <c r="A8" s="6" t="s">
        <v>5</v>
      </c>
    </row>
    <row r="9" customFormat="false" ht="15" hidden="false" customHeight="true" outlineLevel="0" collapsed="false">
      <c r="A9" s="7" t="s">
        <v>6</v>
      </c>
      <c r="B9" s="7" t="s">
        <v>7</v>
      </c>
      <c r="C9" s="7" t="s">
        <v>8</v>
      </c>
      <c r="D9" s="7" t="s">
        <v>9</v>
      </c>
    </row>
    <row r="10" customFormat="false" ht="15" hidden="false" customHeight="true" outlineLevel="0" collapsed="false">
      <c r="A10" s="8" t="s">
        <v>10</v>
      </c>
      <c r="B10" s="8" t="n">
        <f aca="false">COUNTIF(Détail!F:F,A10)</f>
        <v>40</v>
      </c>
      <c r="C10" s="9" t="n">
        <f aca="false">SUMIF(Détail!F:F,A10,Détail!E:E)</f>
        <v>-509820.77</v>
      </c>
      <c r="D10" s="10" t="n">
        <f aca="false">C10/$B$5</f>
        <v>0.340270345188533</v>
      </c>
    </row>
    <row r="11" customFormat="false" ht="15" hidden="false" customHeight="true" outlineLevel="0" collapsed="false">
      <c r="A11" s="8" t="s">
        <v>11</v>
      </c>
      <c r="B11" s="8" t="n">
        <f aca="false">COUNTIF(Détail!F:F,A11)</f>
        <v>26</v>
      </c>
      <c r="C11" s="9" t="n">
        <f aca="false">SUMIF(Détail!F:F,A11,Détail!E:E)</f>
        <v>-317174.39</v>
      </c>
      <c r="D11" s="10" t="n">
        <f aca="false">C11/$B$5</f>
        <v>0.211692119115238</v>
      </c>
    </row>
    <row r="12" customFormat="false" ht="15" hidden="false" customHeight="true" outlineLevel="0" collapsed="false">
      <c r="A12" s="8" t="s">
        <v>12</v>
      </c>
      <c r="B12" s="8" t="n">
        <f aca="false">COUNTIF(Détail!F:F,A12)</f>
        <v>24</v>
      </c>
      <c r="C12" s="9" t="n">
        <f aca="false">SUMIF(Détail!F:F,A12,Détail!E:E)</f>
        <v>-297383.41</v>
      </c>
      <c r="D12" s="10" t="n">
        <f aca="false">C12/$B$5</f>
        <v>0.198482999376512</v>
      </c>
    </row>
    <row r="13" customFormat="false" ht="15" hidden="false" customHeight="true" outlineLevel="0" collapsed="false">
      <c r="A13" s="8" t="s">
        <v>13</v>
      </c>
      <c r="B13" s="8" t="n">
        <f aca="false">COUNTIF(Détail!F:F,A13)</f>
        <v>52</v>
      </c>
      <c r="C13" s="9" t="n">
        <f aca="false">SUMIF(Détail!F:F,A13,Détail!E:E)</f>
        <v>-81550.38</v>
      </c>
      <c r="D13" s="10" t="n">
        <f aca="false">C13/$B$5</f>
        <v>0.0544292770827207</v>
      </c>
    </row>
    <row r="14" customFormat="false" ht="15" hidden="false" customHeight="true" outlineLevel="0" collapsed="false">
      <c r="A14" s="8" t="s">
        <v>14</v>
      </c>
      <c r="B14" s="8" t="n">
        <f aca="false">COUNTIF(Détail!F:F,A14)</f>
        <v>47</v>
      </c>
      <c r="C14" s="9" t="n">
        <f aca="false">SUMIF(Détail!F:F,A14,Détail!E:E)</f>
        <v>-74079.75</v>
      </c>
      <c r="D14" s="10" t="n">
        <f aca="false">C14/$B$5</f>
        <v>0.0494431447035401</v>
      </c>
    </row>
    <row r="15" customFormat="false" ht="15" hidden="false" customHeight="true" outlineLevel="0" collapsed="false">
      <c r="A15" s="8" t="s">
        <v>15</v>
      </c>
      <c r="B15" s="8" t="n">
        <f aca="false">COUNTIF(Détail!F:F,A15)</f>
        <v>51</v>
      </c>
      <c r="C15" s="9" t="n">
        <f aca="false">SUMIF(Détail!F:F,A15,Détail!E:E)</f>
        <v>-44915.46</v>
      </c>
      <c r="D15" s="10" t="n">
        <f aca="false">C15/$B$5</f>
        <v>0.029977984377729</v>
      </c>
    </row>
    <row r="16" customFormat="false" ht="15" hidden="false" customHeight="true" outlineLevel="0" collapsed="false">
      <c r="A16" s="8" t="s">
        <v>16</v>
      </c>
      <c r="B16" s="8" t="n">
        <f aca="false">COUNTIF(Détail!F:F,A16)</f>
        <v>13</v>
      </c>
      <c r="C16" s="9" t="n">
        <f aca="false">SUMIF(Détail!F:F,A16,Détail!E:E)</f>
        <v>-48500</v>
      </c>
      <c r="D16" s="10" t="n">
        <f aca="false">C16/$B$5</f>
        <v>0.0323704186113168</v>
      </c>
    </row>
    <row r="17" customFormat="false" ht="15" hidden="false" customHeight="true" outlineLevel="0" collapsed="false">
      <c r="A17" s="8" t="s">
        <v>17</v>
      </c>
      <c r="B17" s="8" t="n">
        <f aca="false">COUNTIF(Détail!F:F,A17)</f>
        <v>88</v>
      </c>
      <c r="C17" s="9" t="n">
        <f aca="false">SUMIF(Détail!F:F,A17,Détail!E:E)</f>
        <v>-29712.26</v>
      </c>
      <c r="D17" s="10" t="n">
        <f aca="false">C17/$B$5</f>
        <v>0.0198308926616141</v>
      </c>
    </row>
    <row r="18" customFormat="false" ht="15" hidden="false" customHeight="true" outlineLevel="0" collapsed="false">
      <c r="A18" s="8" t="s">
        <v>18</v>
      </c>
      <c r="B18" s="8" t="n">
        <f aca="false">COUNTIF(Détail!F:F,A18)</f>
        <v>67</v>
      </c>
      <c r="C18" s="9" t="n">
        <f aca="false">SUMIF(Détail!F:F,A18,Détail!E:E)</f>
        <v>-20990.53</v>
      </c>
      <c r="D18" s="10" t="n">
        <f aca="false">C18/$B$5</f>
        <v>0.0140097369685238</v>
      </c>
    </row>
    <row r="19" customFormat="false" ht="15" hidden="false" customHeight="true" outlineLevel="0" collapsed="false">
      <c r="A19" s="8" t="s">
        <v>19</v>
      </c>
      <c r="B19" s="8" t="n">
        <f aca="false">COUNTIF(Détail!F:F,A19)</f>
        <v>308</v>
      </c>
      <c r="C19" s="9" t="n">
        <f aca="false">SUMIF(Détail!F:F,A19,Détail!E:E)</f>
        <v>-20090.51</v>
      </c>
      <c r="D19" s="10" t="n">
        <f aca="false">C19/$B$5</f>
        <v>0.0134090354394814</v>
      </c>
    </row>
    <row r="20" customFormat="false" ht="15" hidden="false" customHeight="true" outlineLevel="0" collapsed="false">
      <c r="A20" s="8" t="s">
        <v>20</v>
      </c>
      <c r="B20" s="8" t="n">
        <f aca="false">COUNTIF(Détail!F:F,A20)</f>
        <v>112</v>
      </c>
      <c r="C20" s="9" t="n">
        <f aca="false">SUMIF(Détail!F:F,A20,Détail!E:E)</f>
        <v>-11539.97</v>
      </c>
      <c r="D20" s="10" t="n">
        <f aca="false">C20/$B$5</f>
        <v>0.00770213731261933</v>
      </c>
    </row>
    <row r="21" customFormat="false" ht="15" hidden="false" customHeight="true" outlineLevel="0" collapsed="false">
      <c r="A21" s="8" t="s">
        <v>21</v>
      </c>
      <c r="B21" s="8" t="n">
        <f aca="false">COUNTIF(Détail!F:F,A21)</f>
        <v>1</v>
      </c>
      <c r="C21" s="9" t="n">
        <f aca="false">SUMIF(Détail!F:F,A21,Détail!E:E)</f>
        <v>-9359.1</v>
      </c>
      <c r="D21" s="10" t="n">
        <f aca="false">C21/$B$5</f>
        <v>0.00624655638814794</v>
      </c>
    </row>
    <row r="22" customFormat="false" ht="15" hidden="false" customHeight="true" outlineLevel="0" collapsed="false">
      <c r="A22" s="8" t="s">
        <v>22</v>
      </c>
      <c r="B22" s="8" t="n">
        <f aca="false">COUNTIF(Détail!F:F,A22)</f>
        <v>25</v>
      </c>
      <c r="C22" s="9" t="n">
        <f aca="false">SUMIF(Détail!F:F,A22,Détail!E:E)</f>
        <v>-8727.96</v>
      </c>
      <c r="D22" s="10" t="n">
        <f aca="false">C22/$B$5</f>
        <v>0.00582531379016141</v>
      </c>
    </row>
    <row r="23" customFormat="false" ht="15" hidden="false" customHeight="true" outlineLevel="0" collapsed="false">
      <c r="A23" s="8" t="s">
        <v>23</v>
      </c>
      <c r="B23" s="8" t="n">
        <f aca="false">COUNTIF(Détail!F:F,A23)</f>
        <v>13</v>
      </c>
      <c r="C23" s="9" t="n">
        <f aca="false">SUMIF(Détail!F:F,A23,Détail!E:E)</f>
        <v>-7316.93</v>
      </c>
      <c r="D23" s="10" t="n">
        <f aca="false">C23/$B$5</f>
        <v>0.0048835481865918</v>
      </c>
    </row>
    <row r="24" customFormat="false" ht="15" hidden="false" customHeight="true" outlineLevel="0" collapsed="false">
      <c r="A24" s="8" t="s">
        <v>24</v>
      </c>
      <c r="B24" s="8" t="n">
        <f aca="false">COUNTIF(Détail!F:F,A24)</f>
        <v>0</v>
      </c>
      <c r="C24" s="9" t="n">
        <f aca="false">SUMIF(Détail!F:F,A24,Détail!E:E)</f>
        <v>0</v>
      </c>
      <c r="D24" s="10" t="n">
        <f aca="false">C24/$B$5</f>
        <v>-0</v>
      </c>
    </row>
    <row r="25" customFormat="false" ht="15" hidden="false" customHeight="true" outlineLevel="0" collapsed="false">
      <c r="A25" s="8" t="s">
        <v>25</v>
      </c>
      <c r="B25" s="8" t="n">
        <f aca="false">COUNTIF(Détail!F:F,A25)</f>
        <v>286</v>
      </c>
      <c r="C25" s="9" t="n">
        <f aca="false">SUMIF(Détail!F:F,A25,Détail!E:E)</f>
        <v>-5076.69</v>
      </c>
      <c r="D25" s="10" t="n">
        <f aca="false">C25/$B$5</f>
        <v>0.00338834186515228</v>
      </c>
    </row>
    <row r="26" customFormat="false" ht="15" hidden="false" customHeight="true" outlineLevel="0" collapsed="false">
      <c r="A26" s="8" t="s">
        <v>26</v>
      </c>
      <c r="B26" s="8" t="n">
        <f aca="false">COUNTIF(Détail!F:F,A26)</f>
        <v>43</v>
      </c>
      <c r="C26" s="9" t="n">
        <f aca="false">SUMIF(Détail!F:F,A26,Détail!E:E)</f>
        <v>-4679.75</v>
      </c>
      <c r="D26" s="10" t="n">
        <f aca="false">C26/$B$5</f>
        <v>0.00312341168033628</v>
      </c>
    </row>
    <row r="27" customFormat="false" ht="15" hidden="false" customHeight="true" outlineLevel="0" collapsed="false">
      <c r="A27" s="8" t="s">
        <v>27</v>
      </c>
      <c r="B27" s="8" t="n">
        <f aca="false">COUNTIF(Détail!F:F,A27)</f>
        <v>5</v>
      </c>
      <c r="C27" s="9" t="n">
        <f aca="false">SUMIF(Détail!F:F,A27,Détail!E:E)</f>
        <v>-1843.26</v>
      </c>
      <c r="D27" s="10" t="n">
        <f aca="false">C27/$B$5</f>
        <v>0.00123024943937105</v>
      </c>
    </row>
    <row r="28" customFormat="false" ht="15" hidden="false" customHeight="true" outlineLevel="0" collapsed="false">
      <c r="A28" s="8" t="s">
        <v>28</v>
      </c>
      <c r="B28" s="8" t="n">
        <f aca="false">COUNTIF(Détail!F:F,A28)</f>
        <v>21</v>
      </c>
      <c r="C28" s="9" t="n">
        <f aca="false">SUMIF(Détail!F:F,A28,Détail!E:E)</f>
        <v>-1730.62</v>
      </c>
      <c r="D28" s="10" t="n">
        <f aca="false">C28/$B$5</f>
        <v>0.0011550699764354</v>
      </c>
    </row>
    <row r="29" customFormat="false" ht="15" hidden="false" customHeight="true" outlineLevel="0" collapsed="false">
      <c r="A29" s="8" t="s">
        <v>29</v>
      </c>
      <c r="B29" s="8" t="n">
        <f aca="false">COUNTIF(Détail!F:F,A29)</f>
        <v>36</v>
      </c>
      <c r="C29" s="9" t="n">
        <f aca="false">SUMIF(Détail!F:F,A29,Détail!E:E)</f>
        <v>-1633.44</v>
      </c>
      <c r="D29" s="10" t="n">
        <f aca="false">C29/$B$5</f>
        <v>0.00109020900157669</v>
      </c>
    </row>
    <row r="30" customFormat="false" ht="15" hidden="false" customHeight="true" outlineLevel="0" collapsed="false">
      <c r="A30" s="8" t="s">
        <v>30</v>
      </c>
      <c r="B30" s="8" t="n">
        <f aca="false">COUNTIF(Détail!F:F,A30)</f>
        <v>29</v>
      </c>
      <c r="C30" s="9" t="n">
        <f aca="false">SUMIF(Détail!F:F,A30,Détail!E:E)</f>
        <v>-1055.14</v>
      </c>
      <c r="D30" s="10" t="n">
        <f aca="false">C30/$B$5</f>
        <v>0.000704233474093707</v>
      </c>
    </row>
    <row r="31" customFormat="false" ht="15" hidden="false" customHeight="true" outlineLevel="0" collapsed="false">
      <c r="A31" s="8" t="s">
        <v>31</v>
      </c>
      <c r="B31" s="8" t="n">
        <f aca="false">COUNTIF(Détail!F:F,A31)</f>
        <v>12</v>
      </c>
      <c r="C31" s="9" t="n">
        <f aca="false">SUMIF(Détail!F:F,A31,Détail!E:E)</f>
        <v>-870.32</v>
      </c>
      <c r="D31" s="10" t="n">
        <f aca="false">C31/$B$5</f>
        <v>0.000580878819088685</v>
      </c>
    </row>
    <row r="32" customFormat="false" ht="15" hidden="false" customHeight="true" outlineLevel="0" collapsed="false">
      <c r="A32" s="8" t="s">
        <v>32</v>
      </c>
      <c r="B32" s="8" t="n">
        <f aca="false">COUNTIF(Détail!F:F,A32)</f>
        <v>8</v>
      </c>
      <c r="C32" s="9" t="n">
        <f aca="false">SUMIF(Détail!F:F,A32,Détail!E:E)</f>
        <v>-230.88</v>
      </c>
      <c r="D32" s="10" t="n">
        <f aca="false">C32/$B$5</f>
        <v>0.000154096541216099</v>
      </c>
    </row>
    <row r="33" customFormat="false" ht="15" hidden="false" customHeight="true" outlineLevel="0" collapsed="false">
      <c r="A33" s="4" t="s">
        <v>33</v>
      </c>
      <c r="B33" s="4" t="n">
        <f aca="false">SUM(B10:B32)</f>
        <v>1307</v>
      </c>
      <c r="C33" s="5" t="n">
        <f aca="false">SUM(C10:C32)</f>
        <v>-1498281.52</v>
      </c>
    </row>
    <row r="35" customFormat="false" ht="15" hidden="false" customHeight="true" outlineLevel="0" collapsed="false">
      <c r="A35" s="1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12" t="s">
        <v>35</v>
      </c>
    </row>
    <row r="2" customFormat="false" ht="15" hidden="false" customHeight="true" outlineLevel="0" collapsed="false">
      <c r="A2" s="3" t="s">
        <v>36</v>
      </c>
    </row>
    <row r="4" customFormat="false" ht="15" hidden="false" customHeight="true" outlineLevel="0" collapsed="false">
      <c r="A4" s="4" t="s">
        <v>2</v>
      </c>
      <c r="B4" s="13" t="n">
        <f aca="false">SUM('Détail Revenus'!E:E)</f>
        <v>1518357.48</v>
      </c>
    </row>
    <row r="6" customFormat="false" ht="15" hidden="false" customHeight="true" outlineLevel="0" collapsed="false">
      <c r="A6" s="14" t="s">
        <v>37</v>
      </c>
    </row>
    <row r="7" customFormat="false" ht="15" hidden="false" customHeight="true" outlineLevel="0" collapsed="false">
      <c r="A7" s="15" t="s">
        <v>38</v>
      </c>
      <c r="B7" s="15" t="s">
        <v>7</v>
      </c>
      <c r="C7" s="15" t="s">
        <v>8</v>
      </c>
      <c r="D7" s="15" t="s">
        <v>39</v>
      </c>
    </row>
    <row r="8" customFormat="false" ht="15" hidden="false" customHeight="true" outlineLevel="0" collapsed="false">
      <c r="A8" s="8" t="s">
        <v>40</v>
      </c>
      <c r="B8" s="8" t="n">
        <f aca="false">COUNTIF('Détail Revenus'!F:F,A8)</f>
        <v>24</v>
      </c>
      <c r="C8" s="16" t="n">
        <f aca="false">SUMIF('Détail Revenus'!F:F,A8,'Détail Revenus'!E:E)</f>
        <v>741899.27</v>
      </c>
      <c r="D8" s="10" t="n">
        <f aca="false">C8/$B$4</f>
        <v>0.4886196299438</v>
      </c>
    </row>
    <row r="9" customFormat="false" ht="15" hidden="false" customHeight="true" outlineLevel="0" collapsed="false">
      <c r="A9" s="8" t="s">
        <v>41</v>
      </c>
      <c r="B9" s="8" t="n">
        <f aca="false">COUNTIF('Détail Revenus'!F:F,A9)</f>
        <v>5</v>
      </c>
      <c r="C9" s="16" t="n">
        <f aca="false">SUMIF('Détail Revenus'!F:F,A9,'Détail Revenus'!E:E)</f>
        <v>350326.07</v>
      </c>
      <c r="D9" s="10" t="n">
        <f aca="false">C9/$B$4</f>
        <v>0.230727002444773</v>
      </c>
    </row>
    <row r="10" customFormat="false" ht="15" hidden="false" customHeight="true" outlineLevel="0" collapsed="false">
      <c r="A10" s="8" t="s">
        <v>42</v>
      </c>
      <c r="B10" s="8" t="n">
        <f aca="false">COUNTIF('Détail Revenus'!F:F,A10)</f>
        <v>0</v>
      </c>
      <c r="C10" s="16" t="n">
        <f aca="false">SUMIF('Détail Revenus'!F:F,A10,'Détail Revenus'!E:E)</f>
        <v>0</v>
      </c>
      <c r="D10" s="10" t="n">
        <f aca="false">C10/$B$4</f>
        <v>0</v>
      </c>
    </row>
    <row r="11" customFormat="false" ht="15" hidden="false" customHeight="true" outlineLevel="0" collapsed="false">
      <c r="A11" s="8" t="s">
        <v>43</v>
      </c>
      <c r="B11" s="8" t="n">
        <f aca="false">COUNTIF('Détail Revenus'!F:F,A11)</f>
        <v>6</v>
      </c>
      <c r="C11" s="16" t="n">
        <f aca="false">SUMIF('Détail Revenus'!F:F,A11,'Détail Revenus'!E:E)</f>
        <v>88829</v>
      </c>
      <c r="D11" s="10" t="n">
        <f aca="false">C11/$B$4</f>
        <v>0.0585033506075262</v>
      </c>
    </row>
    <row r="12" customFormat="false" ht="15" hidden="false" customHeight="true" outlineLevel="0" collapsed="false">
      <c r="A12" s="8" t="s">
        <v>44</v>
      </c>
      <c r="B12" s="8" t="n">
        <f aca="false">COUNTIF('Détail Revenus'!F:F,A12)</f>
        <v>4</v>
      </c>
      <c r="C12" s="16" t="n">
        <f aca="false">SUMIF('Détail Revenus'!F:F,A12,'Détail Revenus'!E:E)</f>
        <v>67324.2</v>
      </c>
      <c r="D12" s="10" t="n">
        <f aca="false">C12/$B$4</f>
        <v>0.0443401510426912</v>
      </c>
    </row>
    <row r="13" customFormat="false" ht="15" hidden="false" customHeight="true" outlineLevel="0" collapsed="false">
      <c r="A13" s="8" t="s">
        <v>45</v>
      </c>
      <c r="B13" s="8" t="n">
        <f aca="false">COUNTIF('Détail Revenus'!F:F,A13)</f>
        <v>2</v>
      </c>
      <c r="C13" s="16" t="n">
        <f aca="false">SUMIF('Détail Revenus'!F:F,A13,'Détail Revenus'!E:E)</f>
        <v>45195.4</v>
      </c>
      <c r="D13" s="10" t="n">
        <f aca="false">C13/$B$4</f>
        <v>0.0297659810652759</v>
      </c>
    </row>
    <row r="14" customFormat="false" ht="15" hidden="false" customHeight="true" outlineLevel="0" collapsed="false">
      <c r="A14" s="8" t="s">
        <v>46</v>
      </c>
      <c r="B14" s="8" t="n">
        <f aca="false">COUNTIF('Détail Revenus'!F:F,A14)</f>
        <v>4</v>
      </c>
      <c r="C14" s="16" t="n">
        <f aca="false">SUMIF('Détail Revenus'!F:F,A14,'Détail Revenus'!E:E)</f>
        <v>21372</v>
      </c>
      <c r="D14" s="10" t="n">
        <f aca="false">C14/$B$4</f>
        <v>0.0140757366308756</v>
      </c>
    </row>
    <row r="15" customFormat="false" ht="15" hidden="false" customHeight="true" outlineLevel="0" collapsed="false">
      <c r="A15" s="8" t="s">
        <v>47</v>
      </c>
      <c r="B15" s="8" t="n">
        <f aca="false">COUNTIF('Détail Revenus'!F:F,A15)</f>
        <v>3</v>
      </c>
      <c r="C15" s="16" t="n">
        <f aca="false">SUMIF('Détail Revenus'!F:F,A15,'Détail Revenus'!E:E)</f>
        <v>14076.41</v>
      </c>
      <c r="D15" s="10" t="n">
        <f aca="false">C15/$B$4</f>
        <v>0.00927081414318847</v>
      </c>
    </row>
    <row r="16" customFormat="false" ht="15" hidden="false" customHeight="true" outlineLevel="0" collapsed="false">
      <c r="A16" s="8" t="s">
        <v>48</v>
      </c>
      <c r="B16" s="8" t="n">
        <f aca="false">COUNTIF('Détail Revenus'!F:F,A16)</f>
        <v>1</v>
      </c>
      <c r="C16" s="16" t="n">
        <f aca="false">SUMIF('Détail Revenus'!F:F,A16,'Détail Revenus'!E:E)</f>
        <v>6460.8</v>
      </c>
      <c r="D16" s="10" t="n">
        <f aca="false">C16/$B$4</f>
        <v>0.00425512442563921</v>
      </c>
    </row>
    <row r="17" customFormat="false" ht="15" hidden="false" customHeight="true" outlineLevel="0" collapsed="false">
      <c r="A17" s="8" t="s">
        <v>49</v>
      </c>
      <c r="B17" s="8" t="n">
        <f aca="false">COUNTIF('Détail Revenus'!F:F,A17)</f>
        <v>1</v>
      </c>
      <c r="C17" s="16" t="n">
        <f aca="false">SUMIF('Détail Revenus'!F:F,A17,'Détail Revenus'!E:E)</f>
        <v>6254</v>
      </c>
      <c r="D17" s="10" t="n">
        <f aca="false">C17/$B$4</f>
        <v>0.00411892461582894</v>
      </c>
    </row>
    <row r="18" customFormat="false" ht="15" hidden="false" customHeight="true" outlineLevel="0" collapsed="false">
      <c r="A18" s="8" t="s">
        <v>50</v>
      </c>
      <c r="B18" s="8" t="n">
        <f aca="false">COUNTIF('Détail Revenus'!F:F,A18)</f>
        <v>2</v>
      </c>
      <c r="C18" s="16" t="n">
        <f aca="false">SUMIF('Détail Revenus'!F:F,A18,'Détail Revenus'!E:E)</f>
        <v>6224</v>
      </c>
      <c r="D18" s="10" t="n">
        <f aca="false">C18/$B$4</f>
        <v>0.00409916642291643</v>
      </c>
    </row>
    <row r="19" customFormat="false" ht="15" hidden="false" customHeight="true" outlineLevel="0" collapsed="false">
      <c r="A19" s="8" t="s">
        <v>51</v>
      </c>
      <c r="B19" s="8" t="n">
        <f aca="false">COUNTIF('Détail Revenus'!F:F,A19)</f>
        <v>2</v>
      </c>
      <c r="C19" s="16" t="n">
        <f aca="false">SUMIF('Détail Revenus'!F:F,A19,'Détail Revenus'!E:E)</f>
        <v>3943</v>
      </c>
      <c r="D19" s="10" t="n">
        <f aca="false">C19/$B$4</f>
        <v>0.00259688515513488</v>
      </c>
    </row>
    <row r="20" customFormat="false" ht="15" hidden="false" customHeight="true" outlineLevel="0" collapsed="false">
      <c r="A20" s="8" t="s">
        <v>52</v>
      </c>
      <c r="B20" s="8" t="n">
        <f aca="false">COUNTIF('Détail Revenus'!F:F,A20)</f>
        <v>26</v>
      </c>
      <c r="C20" s="16" t="n">
        <f aca="false">SUMIF('Détail Revenus'!F:F,A20,'Détail Revenus'!E:E)</f>
        <v>3837.23</v>
      </c>
      <c r="D20" s="10" t="n">
        <f aca="false">C20/$B$4</f>
        <v>0.00252722435298965</v>
      </c>
    </row>
    <row r="21" customFormat="false" ht="15" hidden="false" customHeight="true" outlineLevel="0" collapsed="false">
      <c r="A21" s="8" t="s">
        <v>53</v>
      </c>
      <c r="B21" s="8" t="n">
        <f aca="false">COUNTIF('Détail Revenus'!F:F,A21)</f>
        <v>1</v>
      </c>
      <c r="C21" s="16" t="n">
        <f aca="false">SUMIF('Détail Revenus'!F:F,A21,'Détail Revenus'!E:E)</f>
        <v>1202</v>
      </c>
      <c r="D21" s="10" t="n">
        <f aca="false">C21/$B$4</f>
        <v>0.000791644929361431</v>
      </c>
    </row>
    <row r="22" customFormat="false" ht="15" hidden="false" customHeight="true" outlineLevel="0" collapsed="false">
      <c r="A22" s="8" t="s">
        <v>54</v>
      </c>
      <c r="B22" s="8" t="n">
        <f aca="false">COUNTIF('Détail Revenus'!F:F,A22)</f>
        <v>1</v>
      </c>
      <c r="C22" s="16" t="n">
        <f aca="false">SUMIF('Détail Revenus'!F:F,A22,'Détail Revenus'!E:E)</f>
        <v>874</v>
      </c>
      <c r="D22" s="10" t="n">
        <f aca="false">C22/$B$4</f>
        <v>0.000575622020184601</v>
      </c>
    </row>
    <row r="23" customFormat="false" ht="15" hidden="false" customHeight="true" outlineLevel="0" collapsed="false">
      <c r="A23" s="8" t="s">
        <v>55</v>
      </c>
      <c r="B23" s="8" t="n">
        <f aca="false">COUNTIF('Détail Revenus'!F:F,A23)</f>
        <v>1</v>
      </c>
      <c r="C23" s="16" t="n">
        <f aca="false">SUMIF('Détail Revenus'!F:F,A23,'Détail Revenus'!E:E)</f>
        <v>3000</v>
      </c>
      <c r="D23" s="10" t="n">
        <f aca="false">C23/$B$4</f>
        <v>0.00197581929125149</v>
      </c>
    </row>
    <row r="24" customFormat="false" ht="15" hidden="false" customHeight="true" outlineLevel="0" collapsed="false">
      <c r="A24" s="8" t="s">
        <v>56</v>
      </c>
      <c r="B24" s="8" t="n">
        <f aca="false">COUNTIF('Détail Revenus'!F:F,A24)</f>
        <v>1</v>
      </c>
      <c r="C24" s="16" t="n">
        <f aca="false">SUMIF('Détail Revenus'!F:F,A24,'Détail Revenus'!E:E)</f>
        <v>1511</v>
      </c>
      <c r="D24" s="10" t="n">
        <f aca="false">C24/$B$4</f>
        <v>0.000995154316360334</v>
      </c>
    </row>
    <row r="25" customFormat="false" ht="15" hidden="false" customHeight="true" outlineLevel="0" collapsed="false">
      <c r="A25" s="8" t="s">
        <v>57</v>
      </c>
      <c r="B25" s="8" t="n">
        <f aca="false">COUNTIF('Détail Revenus'!F:F,A25)</f>
        <v>1</v>
      </c>
      <c r="C25" s="16" t="n">
        <f aca="false">SUMIF('Détail Revenus'!F:F,A25,'Détail Revenus'!E:E)</f>
        <v>3600</v>
      </c>
      <c r="D25" s="10" t="n">
        <f aca="false">C25/$B$4</f>
        <v>0.00237098314950179</v>
      </c>
    </row>
    <row r="26" customFormat="false" ht="15" hidden="false" customHeight="true" outlineLevel="0" collapsed="false">
      <c r="A26" s="8" t="s">
        <v>58</v>
      </c>
      <c r="B26" s="8" t="n">
        <f aca="false">COUNTIF('Détail Revenus'!F:F,A26)</f>
        <v>1</v>
      </c>
      <c r="C26" s="16" t="n">
        <f aca="false">SUMIF('Détail Revenus'!F:F,A26,'Détail Revenus'!E:E)</f>
        <v>52385.1</v>
      </c>
      <c r="D26" s="10" t="n">
        <f aca="false">C26/$B$4</f>
        <v>0.0345011637180462</v>
      </c>
    </row>
    <row r="27" customFormat="false" ht="15" hidden="false" customHeight="true" outlineLevel="0" collapsed="false">
      <c r="A27" s="8" t="s">
        <v>59</v>
      </c>
      <c r="B27" s="8" t="n">
        <f aca="false">COUNTIF('Détail Revenus'!F:F,A27)</f>
        <v>2</v>
      </c>
      <c r="C27" s="16" t="n">
        <f aca="false">SUMIF('Détail Revenus'!F:F,A27,'Détail Revenus'!E:E)</f>
        <v>5000</v>
      </c>
      <c r="D27" s="10" t="n">
        <f aca="false">C27/$B$4</f>
        <v>0.00329303215208582</v>
      </c>
    </row>
    <row r="28" customFormat="false" ht="15" hidden="false" customHeight="true" outlineLevel="0" collapsed="false">
      <c r="A28" s="8" t="s">
        <v>60</v>
      </c>
      <c r="B28" s="8" t="n">
        <f aca="false">COUNTIF('Détail Revenus'!F:F,A28)</f>
        <v>1</v>
      </c>
      <c r="C28" s="16" t="n">
        <f aca="false">SUMIF('Détail Revenus'!F:F,A28,'Détail Revenus'!E:E)</f>
        <v>95044</v>
      </c>
      <c r="D28" s="10" t="n">
        <f aca="false">C28/$B$4</f>
        <v>0.0625965895725689</v>
      </c>
    </row>
    <row r="29" customFormat="false" ht="15" hidden="false" customHeight="false" outlineLevel="0" collapsed="false">
      <c r="A29" s="17" t="s">
        <v>33</v>
      </c>
      <c r="B29" s="17" t="n">
        <f aca="false">SUM(B8:B28)</f>
        <v>89</v>
      </c>
      <c r="C29" s="18" t="n">
        <f aca="false">SUM(C8:C28)</f>
        <v>1518357.48</v>
      </c>
    </row>
    <row r="30" customFormat="false" ht="15" hidden="false" customHeight="true" outlineLevel="0" collapsed="false">
      <c r="A30" s="19"/>
    </row>
    <row r="31" customFormat="false" ht="15" hidden="false" customHeight="false" outlineLevel="0" collapsed="false">
      <c r="A31" s="20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60"/>
    <col collapsed="false" customWidth="true" hidden="false" outlineLevel="0" max="3" min="3" style="1" width="16"/>
  </cols>
  <sheetData>
    <row r="1" customFormat="false" ht="15.75" hidden="false" customHeight="true" outlineLevel="0" collapsed="false">
      <c r="A1" s="21" t="s">
        <v>62</v>
      </c>
    </row>
    <row r="3" customFormat="false" ht="15" hidden="false" customHeight="true" outlineLevel="0" collapsed="false">
      <c r="A3" s="22" t="s">
        <v>40</v>
      </c>
      <c r="B3" s="22"/>
      <c r="C3" s="23" t="n">
        <f aca="false">SUMIF('Détail Revenus'!$F:$F,"NB Evolution FZCO (factures NB...)",'Détail Revenus'!$E:$E)</f>
        <v>741899.27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25" t="n">
        <f aca="false">SUMIFS('Détail Revenus'!$E:$E,'Détail Revenus'!$F:$F,"NB Evolution FZCO (factures NB...)",'Détail Revenus'!$A:$A,"&gt;="&amp;DATE(2025,1,1),'Détail Revenus'!$A:$A,"&lt;"&amp;EDATE(DATE(2025,1,1),1))</f>
        <v>44118.93</v>
      </c>
    </row>
    <row r="6" customFormat="false" ht="15" hidden="false" customHeight="true" outlineLevel="0" collapsed="false">
      <c r="A6" s="8" t="s">
        <v>66</v>
      </c>
      <c r="B6" s="25" t="n">
        <f aca="false">SUMIFS('Détail Revenus'!$E:$E,'Détail Revenus'!$F:$F,"NB Evolution FZCO (factures NB...)",'Détail Revenus'!$A:$A,"&gt;="&amp;DATE(2025,2,1),'Détail Revenus'!$A:$A,"&lt;"&amp;EDATE(DATE(2025,2,1),1))</f>
        <v>35000</v>
      </c>
    </row>
    <row r="7" customFormat="false" ht="15" hidden="false" customHeight="true" outlineLevel="0" collapsed="false">
      <c r="A7" s="8" t="s">
        <v>67</v>
      </c>
      <c r="B7" s="25" t="n">
        <f aca="false">SUMIFS('Détail Revenus'!$E:$E,'Détail Revenus'!$F:$F,"NB Evolution FZCO (factures NB...)",'Détail Revenus'!$A:$A,"&gt;="&amp;DATE(2025,3,1),'Détail Revenus'!$A:$A,"&lt;"&amp;EDATE(DATE(2025,3,1),1))</f>
        <v>60000</v>
      </c>
    </row>
    <row r="8" customFormat="false" ht="15" hidden="false" customHeight="true" outlineLevel="0" collapsed="false">
      <c r="A8" s="8" t="s">
        <v>68</v>
      </c>
      <c r="B8" s="25" t="n">
        <f aca="false">SUMIFS('Détail Revenus'!$E:$E,'Détail Revenus'!$F:$F,"NB Evolution FZCO (factures NB...)",'Détail Revenus'!$A:$A,"&gt;="&amp;DATE(2025,4,1),'Détail Revenus'!$A:$A,"&lt;"&amp;EDATE(DATE(2025,4,1),1))</f>
        <v>88852</v>
      </c>
    </row>
    <row r="9" customFormat="false" ht="15" hidden="false" customHeight="true" outlineLevel="0" collapsed="false">
      <c r="A9" s="8" t="s">
        <v>69</v>
      </c>
      <c r="B9" s="25" t="n">
        <f aca="false">SUMIFS('Détail Revenus'!$E:$E,'Détail Revenus'!$F:$F,"NB Evolution FZCO (factures NB...)",'Détail Revenus'!$A:$A,"&gt;="&amp;DATE(2025,5,1),'Détail Revenus'!$A:$A,"&lt;"&amp;EDATE(DATE(2025,5,1),1))</f>
        <v>101000</v>
      </c>
    </row>
    <row r="10" customFormat="false" ht="15" hidden="false" customHeight="true" outlineLevel="0" collapsed="false">
      <c r="A10" s="8" t="s">
        <v>70</v>
      </c>
      <c r="B10" s="25" t="n">
        <f aca="false">SUMIFS('Détail Revenus'!$E:$E,'Détail Revenus'!$F:$F,"NB Evolution FZCO (factures NB...)",'Détail Revenus'!$A:$A,"&gt;="&amp;DATE(2025,6,1),'Détail Revenus'!$A:$A,"&lt;"&amp;EDATE(DATE(2025,6,1),1))</f>
        <v>89169.04</v>
      </c>
    </row>
    <row r="11" customFormat="false" ht="15" hidden="false" customHeight="true" outlineLevel="0" collapsed="false">
      <c r="A11" s="8" t="s">
        <v>71</v>
      </c>
      <c r="B11" s="25" t="n">
        <f aca="false">SUMIFS('Détail Revenus'!$E:$E,'Détail Revenus'!$F:$F,"NB Evolution FZCO (factures NB...)",'Détail Revenus'!$A:$A,"&gt;="&amp;DATE(2025,7,1),'Détail Revenus'!$A:$A,"&lt;"&amp;EDATE(DATE(2025,7,1),1))</f>
        <v>98080</v>
      </c>
    </row>
    <row r="12" customFormat="false" ht="15" hidden="false" customHeight="true" outlineLevel="0" collapsed="false">
      <c r="A12" s="8" t="s">
        <v>72</v>
      </c>
      <c r="B12" s="25" t="n">
        <f aca="false">SUMIFS('Détail Revenus'!$E:$E,'Détail Revenus'!$F:$F,"NB Evolution FZCO (factures NB...)",'Détail Revenus'!$A:$A,"&gt;="&amp;DATE(2025,8,1),'Détail Revenus'!$A:$A,"&lt;"&amp;EDATE(DATE(2025,8,1),1))</f>
        <v>0</v>
      </c>
    </row>
    <row r="13" customFormat="false" ht="15" hidden="false" customHeight="true" outlineLevel="0" collapsed="false">
      <c r="A13" s="8" t="s">
        <v>73</v>
      </c>
      <c r="B13" s="25" t="n">
        <f aca="false">SUMIFS('Détail Revenus'!$E:$E,'Détail Revenus'!$F:$F,"NB Evolution FZCO (factures NB...)",'Détail Revenus'!$A:$A,"&gt;="&amp;DATE(2025,9,1),'Détail Revenus'!$A:$A,"&lt;"&amp;EDATE(DATE(2025,9,1),1))</f>
        <v>0</v>
      </c>
    </row>
    <row r="14" customFormat="false" ht="15" hidden="false" customHeight="true" outlineLevel="0" collapsed="false">
      <c r="A14" s="8" t="s">
        <v>74</v>
      </c>
      <c r="B14" s="25" t="n">
        <f aca="false">SUMIFS('Détail Revenus'!$E:$E,'Détail Revenus'!$F:$F,"NB Evolution FZCO (factures NB...)",'Détail Revenus'!$A:$A,"&gt;="&amp;DATE(2025,10,1),'Détail Revenus'!$A:$A,"&lt;"&amp;EDATE(DATE(2025,10,1),1))</f>
        <v>76279.3</v>
      </c>
    </row>
    <row r="15" customFormat="false" ht="15" hidden="false" customHeight="true" outlineLevel="0" collapsed="false">
      <c r="A15" s="8" t="s">
        <v>75</v>
      </c>
      <c r="B15" s="25" t="n">
        <f aca="false">SUMIFS('Détail Revenus'!$E:$E,'Détail Revenus'!$F:$F,"NB Evolution FZCO (factures NB...)",'Détail Revenus'!$A:$A,"&gt;="&amp;DATE(2025,11,1),'Détail Revenus'!$A:$A,"&lt;"&amp;EDATE(DATE(2025,11,1),1))</f>
        <v>0</v>
      </c>
    </row>
    <row r="16" customFormat="false" ht="15" hidden="false" customHeight="true" outlineLevel="0" collapsed="false">
      <c r="A16" s="8" t="s">
        <v>76</v>
      </c>
      <c r="B16" s="25" t="n">
        <f aca="false">SUMIFS('Détail Revenus'!$E:$E,'Détail Revenus'!$F:$F,"NB Evolution FZCO (factures NB...)",'Détail Revenus'!$A:$A,"&gt;="&amp;DATE(2025,12,1),'Détail Revenus'!$A:$A,"&lt;"&amp;EDATE(DATE(2025,12,1),1))</f>
        <v>149400</v>
      </c>
    </row>
    <row r="19" customFormat="false" ht="15" hidden="false" customHeight="true" outlineLevel="0" collapsed="false">
      <c r="A19" s="22" t="s">
        <v>41</v>
      </c>
      <c r="B19" s="22"/>
      <c r="C19" s="23" t="n">
        <f aca="false">SUMIF('Détail Revenus'!$F:$F,"Usine Algérie (Jade Création — sans marge)",'Détail Revenus'!$E:$E)</f>
        <v>350326.07</v>
      </c>
    </row>
    <row r="20" customFormat="false" ht="15" hidden="false" customHeight="true" outlineLevel="0" collapsed="false">
      <c r="A20" s="26" t="s">
        <v>77</v>
      </c>
      <c r="B20" s="26" t="s">
        <v>78</v>
      </c>
    </row>
    <row r="21" customFormat="false" ht="15" hidden="false" customHeight="true" outlineLevel="0" collapsed="false">
      <c r="A21" s="24" t="s">
        <v>63</v>
      </c>
      <c r="B21" s="24" t="s">
        <v>64</v>
      </c>
    </row>
    <row r="22" customFormat="false" ht="15" hidden="false" customHeight="true" outlineLevel="0" collapsed="false">
      <c r="A22" s="8" t="s">
        <v>65</v>
      </c>
      <c r="B22" s="25" t="n">
        <f aca="false">SUMIFS('Détail Revenus'!$E:$E,'Détail Revenus'!$F:$F,"Usine Algérie (Jade Création — sans marge)",'Détail Revenus'!$A:$A,"&gt;="&amp;DATE(2025,1,1),'Détail Revenus'!$A:$A,"&lt;"&amp;EDATE(DATE(2025,1,1),1))</f>
        <v>0</v>
      </c>
    </row>
    <row r="23" customFormat="false" ht="15" hidden="false" customHeight="true" outlineLevel="0" collapsed="false">
      <c r="A23" s="8" t="s">
        <v>66</v>
      </c>
      <c r="B23" s="25" t="n">
        <f aca="false">SUMIFS('Détail Revenus'!$E:$E,'Détail Revenus'!$F:$F,"Usine Algérie (Jade Création — sans marge)",'Détail Revenus'!$A:$A,"&gt;="&amp;DATE(2025,2,1),'Détail Revenus'!$A:$A,"&lt;"&amp;EDATE(DATE(2025,2,1),1))</f>
        <v>0</v>
      </c>
    </row>
    <row r="24" customFormat="false" ht="15" hidden="false" customHeight="true" outlineLevel="0" collapsed="false">
      <c r="A24" s="8" t="s">
        <v>67</v>
      </c>
      <c r="B24" s="25" t="n">
        <f aca="false">SUMIFS('Détail Revenus'!$E:$E,'Détail Revenus'!$F:$F,"Usine Algérie (Jade Création — sans marge)",'Détail Revenus'!$A:$A,"&gt;="&amp;DATE(2025,3,1),'Détail Revenus'!$A:$A,"&lt;"&amp;EDATE(DATE(2025,3,1),1))</f>
        <v>0</v>
      </c>
    </row>
    <row r="25" customFormat="false" ht="15" hidden="false" customHeight="true" outlineLevel="0" collapsed="false">
      <c r="A25" s="8" t="s">
        <v>68</v>
      </c>
      <c r="B25" s="25" t="n">
        <f aca="false">SUMIFS('Détail Revenus'!$E:$E,'Détail Revenus'!$F:$F,"Usine Algérie (Jade Création — sans marge)",'Détail Revenus'!$A:$A,"&gt;="&amp;DATE(2025,4,1),'Détail Revenus'!$A:$A,"&lt;"&amp;EDATE(DATE(2025,4,1),1))</f>
        <v>27129.32</v>
      </c>
    </row>
    <row r="26" customFormat="false" ht="15" hidden="false" customHeight="true" outlineLevel="0" collapsed="false">
      <c r="A26" s="8" t="s">
        <v>69</v>
      </c>
      <c r="B26" s="25" t="n">
        <f aca="false">SUMIFS('Détail Revenus'!$E:$E,'Détail Revenus'!$F:$F,"Usine Algérie (Jade Création — sans marge)",'Détail Revenus'!$A:$A,"&gt;="&amp;DATE(2025,5,1),'Détail Revenus'!$A:$A,"&lt;"&amp;EDATE(DATE(2025,5,1),1))</f>
        <v>0</v>
      </c>
    </row>
    <row r="27" customFormat="false" ht="15" hidden="false" customHeight="true" outlineLevel="0" collapsed="false">
      <c r="A27" s="8" t="s">
        <v>70</v>
      </c>
      <c r="B27" s="25" t="n">
        <f aca="false">SUMIFS('Détail Revenus'!$E:$E,'Détail Revenus'!$F:$F,"Usine Algérie (Jade Création — sans marge)",'Détail Revenus'!$A:$A,"&gt;="&amp;DATE(2025,6,1),'Détail Revenus'!$A:$A,"&lt;"&amp;EDATE(DATE(2025,6,1),1))</f>
        <v>0</v>
      </c>
    </row>
    <row r="28" customFormat="false" ht="15" hidden="false" customHeight="true" outlineLevel="0" collapsed="false">
      <c r="A28" s="8" t="s">
        <v>71</v>
      </c>
      <c r="B28" s="25" t="n">
        <f aca="false">SUMIFS('Détail Revenus'!$E:$E,'Détail Revenus'!$F:$F,"Usine Algérie (Jade Création — sans marge)",'Détail Revenus'!$A:$A,"&gt;="&amp;DATE(2025,7,1),'Détail Revenus'!$A:$A,"&lt;"&amp;EDATE(DATE(2025,7,1),1))</f>
        <v>57046</v>
      </c>
    </row>
    <row r="29" customFormat="false" ht="15" hidden="false" customHeight="true" outlineLevel="0" collapsed="false">
      <c r="A29" s="8" t="s">
        <v>72</v>
      </c>
      <c r="B29" s="25" t="n">
        <f aca="false">SUMIFS('Détail Revenus'!$E:$E,'Détail Revenus'!$F:$F,"Usine Algérie (Jade Création — sans marge)",'Détail Revenus'!$A:$A,"&gt;="&amp;DATE(2025,8,1),'Détail Revenus'!$A:$A,"&lt;"&amp;EDATE(DATE(2025,8,1),1))</f>
        <v>120449.68</v>
      </c>
    </row>
    <row r="30" customFormat="false" ht="15" hidden="false" customHeight="true" outlineLevel="0" collapsed="false">
      <c r="A30" s="8" t="s">
        <v>73</v>
      </c>
      <c r="B30" s="25" t="n">
        <f aca="false">SUMIFS('Détail Revenus'!$E:$E,'Détail Revenus'!$F:$F,"Usine Algérie (Jade Création — sans marge)",'Détail Revenus'!$A:$A,"&gt;="&amp;DATE(2025,9,1),'Détail Revenus'!$A:$A,"&lt;"&amp;EDATE(DATE(2025,9,1),1))</f>
        <v>0</v>
      </c>
    </row>
    <row r="31" customFormat="false" ht="15" hidden="false" customHeight="true" outlineLevel="0" collapsed="false">
      <c r="A31" s="8" t="s">
        <v>74</v>
      </c>
      <c r="B31" s="25" t="n">
        <f aca="false">SUMIFS('Détail Revenus'!$E:$E,'Détail Revenus'!$F:$F,"Usine Algérie (Jade Création — sans marge)",'Détail Revenus'!$A:$A,"&gt;="&amp;DATE(2025,10,1),'Détail Revenus'!$A:$A,"&lt;"&amp;EDATE(DATE(2025,10,1),1))</f>
        <v>132807.4</v>
      </c>
    </row>
    <row r="32" customFormat="false" ht="15" hidden="false" customHeight="true" outlineLevel="0" collapsed="false">
      <c r="A32" s="8" t="s">
        <v>75</v>
      </c>
      <c r="B32" s="25" t="n">
        <f aca="false">SUMIFS('Détail Revenus'!$E:$E,'Détail Revenus'!$F:$F,"Usine Algérie (Jade Création — sans marge)",'Détail Revenus'!$A:$A,"&gt;="&amp;DATE(2025,11,1),'Détail Revenus'!$A:$A,"&lt;"&amp;EDATE(DATE(2025,11,1),1))</f>
        <v>12893.67</v>
      </c>
    </row>
    <row r="33" customFormat="false" ht="15" hidden="false" customHeight="true" outlineLevel="0" collapsed="false">
      <c r="A33" s="8" t="s">
        <v>76</v>
      </c>
      <c r="B33" s="25" t="n">
        <f aca="false">SUMIFS('Détail Revenus'!$E:$E,'Détail Revenus'!$F:$F,"Usine Algérie (Jade Création — sans marge)",'Détail Revenus'!$A:$A,"&gt;="&amp;DATE(2025,12,1),'Détail Revenus'!$A:$A,"&lt;"&amp;EDATE(DATE(2025,12,1),1))</f>
        <v>0</v>
      </c>
    </row>
    <row r="36" customFormat="false" ht="15" hidden="false" customHeight="true" outlineLevel="0" collapsed="false">
      <c r="A36" s="22" t="s">
        <v>42</v>
      </c>
      <c r="B36" s="22"/>
      <c r="C36" s="23" t="n">
        <f aca="false">SUMIF('Détail Revenus'!$F:$F,"Encaissements non identifiés",'Détail Revenus'!$E:$E)</f>
        <v>0</v>
      </c>
    </row>
    <row r="37" customFormat="false" ht="15" hidden="false" customHeight="true" outlineLevel="0" collapsed="false">
      <c r="A37" s="26" t="s">
        <v>77</v>
      </c>
      <c r="B37" s="26" t="s">
        <v>79</v>
      </c>
    </row>
    <row r="38" customFormat="false" ht="15" hidden="false" customHeight="true" outlineLevel="0" collapsed="false">
      <c r="A38" s="24" t="s">
        <v>63</v>
      </c>
      <c r="B38" s="24" t="s">
        <v>64</v>
      </c>
    </row>
    <row r="39" customFormat="false" ht="15" hidden="false" customHeight="true" outlineLevel="0" collapsed="false">
      <c r="A39" s="8" t="s">
        <v>65</v>
      </c>
      <c r="B39" s="25" t="n">
        <f aca="false">SUMIFS('Détail Revenus'!$E:$E,'Détail Revenus'!$F:$F,"Encaissements non identifiés",'Détail Revenus'!$A:$A,"&gt;="&amp;DATE(2025,1,1),'Détail Revenus'!$A:$A,"&lt;"&amp;EDATE(DATE(2025,1,1),1))</f>
        <v>0</v>
      </c>
    </row>
    <row r="40" customFormat="false" ht="15" hidden="false" customHeight="true" outlineLevel="0" collapsed="false">
      <c r="A40" s="8" t="s">
        <v>66</v>
      </c>
      <c r="B40" s="25" t="n">
        <f aca="false">SUMIFS('Détail Revenus'!$E:$E,'Détail Revenus'!$F:$F,"Encaissements non identifiés",'Détail Revenus'!$A:$A,"&gt;="&amp;DATE(2025,2,1),'Détail Revenus'!$A:$A,"&lt;"&amp;EDATE(DATE(2025,2,1),1))</f>
        <v>0</v>
      </c>
    </row>
    <row r="41" customFormat="false" ht="15" hidden="false" customHeight="true" outlineLevel="0" collapsed="false">
      <c r="A41" s="8" t="s">
        <v>67</v>
      </c>
      <c r="B41" s="25" t="n">
        <f aca="false">SUMIFS('Détail Revenus'!$E:$E,'Détail Revenus'!$F:$F,"Encaissements non identifiés",'Détail Revenus'!$A:$A,"&gt;="&amp;DATE(2025,3,1),'Détail Revenus'!$A:$A,"&lt;"&amp;EDATE(DATE(2025,3,1),1))</f>
        <v>0</v>
      </c>
    </row>
    <row r="42" customFormat="false" ht="15" hidden="false" customHeight="true" outlineLevel="0" collapsed="false">
      <c r="A42" s="8" t="s">
        <v>68</v>
      </c>
      <c r="B42" s="25" t="n">
        <f aca="false">SUMIFS('Détail Revenus'!$E:$E,'Détail Revenus'!$F:$F,"Encaissements non identifiés",'Détail Revenus'!$A:$A,"&gt;="&amp;DATE(2025,4,1),'Détail Revenus'!$A:$A,"&lt;"&amp;EDATE(DATE(2025,4,1),1))</f>
        <v>0</v>
      </c>
    </row>
    <row r="43" customFormat="false" ht="15" hidden="false" customHeight="true" outlineLevel="0" collapsed="false">
      <c r="A43" s="8" t="s">
        <v>69</v>
      </c>
      <c r="B43" s="25" t="n">
        <f aca="false">SUMIFS('Détail Revenus'!$E:$E,'Détail Revenus'!$F:$F,"Encaissements non identifiés",'Détail Revenus'!$A:$A,"&gt;="&amp;DATE(2025,5,1),'Détail Revenus'!$A:$A,"&lt;"&amp;EDATE(DATE(2025,5,1),1))</f>
        <v>0</v>
      </c>
    </row>
    <row r="44" customFormat="false" ht="15" hidden="false" customHeight="true" outlineLevel="0" collapsed="false">
      <c r="A44" s="8" t="s">
        <v>70</v>
      </c>
      <c r="B44" s="25" t="n">
        <f aca="false">SUMIFS('Détail Revenus'!$E:$E,'Détail Revenus'!$F:$F,"Encaissements non identifiés",'Détail Revenus'!$A:$A,"&gt;="&amp;DATE(2025,6,1),'Détail Revenus'!$A:$A,"&lt;"&amp;EDATE(DATE(2025,6,1),1))</f>
        <v>0</v>
      </c>
    </row>
    <row r="45" customFormat="false" ht="15" hidden="false" customHeight="true" outlineLevel="0" collapsed="false">
      <c r="A45" s="8" t="s">
        <v>71</v>
      </c>
      <c r="B45" s="25" t="n">
        <f aca="false">SUMIFS('Détail Revenus'!$E:$E,'Détail Revenus'!$F:$F,"Encaissements non identifiés",'Détail Revenus'!$A:$A,"&gt;="&amp;DATE(2025,7,1),'Détail Revenus'!$A:$A,"&lt;"&amp;EDATE(DATE(2025,7,1),1))</f>
        <v>0</v>
      </c>
    </row>
    <row r="46" customFormat="false" ht="15" hidden="false" customHeight="true" outlineLevel="0" collapsed="false">
      <c r="A46" s="8" t="s">
        <v>72</v>
      </c>
      <c r="B46" s="25" t="n">
        <f aca="false">SUMIFS('Détail Revenus'!$E:$E,'Détail Revenus'!$F:$F,"Encaissements non identifiés",'Détail Revenus'!$A:$A,"&gt;="&amp;DATE(2025,8,1),'Détail Revenus'!$A:$A,"&lt;"&amp;EDATE(DATE(2025,8,1),1))</f>
        <v>0</v>
      </c>
    </row>
    <row r="47" customFormat="false" ht="15" hidden="false" customHeight="true" outlineLevel="0" collapsed="false">
      <c r="A47" s="8" t="s">
        <v>73</v>
      </c>
      <c r="B47" s="25" t="n">
        <f aca="false">SUMIFS('Détail Revenus'!$E:$E,'Détail Revenus'!$F:$F,"Encaissements non identifiés",'Détail Revenus'!$A:$A,"&gt;="&amp;DATE(2025,9,1),'Détail Revenus'!$A:$A,"&lt;"&amp;EDATE(DATE(2025,9,1),1))</f>
        <v>0</v>
      </c>
    </row>
    <row r="48" customFormat="false" ht="15" hidden="false" customHeight="true" outlineLevel="0" collapsed="false">
      <c r="A48" s="8" t="s">
        <v>74</v>
      </c>
      <c r="B48" s="25" t="n">
        <f aca="false">SUMIFS('Détail Revenus'!$E:$E,'Détail Revenus'!$F:$F,"Encaissements non identifiés",'Détail Revenus'!$A:$A,"&gt;="&amp;DATE(2025,10,1),'Détail Revenus'!$A:$A,"&lt;"&amp;EDATE(DATE(2025,10,1),1))</f>
        <v>0</v>
      </c>
    </row>
    <row r="49" customFormat="false" ht="15" hidden="false" customHeight="true" outlineLevel="0" collapsed="false">
      <c r="A49" s="8" t="s">
        <v>75</v>
      </c>
      <c r="B49" s="25" t="n">
        <f aca="false">SUMIFS('Détail Revenus'!$E:$E,'Détail Revenus'!$F:$F,"Encaissements non identifiés",'Détail Revenus'!$A:$A,"&gt;="&amp;DATE(2025,11,1),'Détail Revenus'!$A:$A,"&lt;"&amp;EDATE(DATE(2025,11,1),1))</f>
        <v>0</v>
      </c>
    </row>
    <row r="50" customFormat="false" ht="15" hidden="false" customHeight="true" outlineLevel="0" collapsed="false">
      <c r="A50" s="8" t="s">
        <v>76</v>
      </c>
      <c r="B50" s="25" t="n">
        <f aca="false">SUMIFS('Détail Revenus'!$E:$E,'Détail Revenus'!$F:$F,"Encaissements non identifiés",'Détail Revenus'!$A:$A,"&gt;="&amp;DATE(2025,12,1),'Détail Revenus'!$A:$A,"&lt;"&amp;EDATE(DATE(2025,12,1),1))</f>
        <v>0</v>
      </c>
    </row>
    <row r="53" customFormat="false" ht="15" hidden="false" customHeight="true" outlineLevel="0" collapsed="false">
      <c r="A53" s="22" t="s">
        <v>43</v>
      </c>
      <c r="B53" s="22"/>
      <c r="C53" s="23" t="n">
        <f aca="false">SUMIF('Détail Revenus'!$F:$F,"Arzum Group Mmc",'Détail Revenus'!$E:$E)</f>
        <v>88829</v>
      </c>
    </row>
    <row r="54" customFormat="false" ht="15" hidden="false" customHeight="true" outlineLevel="0" collapsed="false">
      <c r="A54" s="26" t="s">
        <v>77</v>
      </c>
      <c r="B54" s="26" t="s">
        <v>80</v>
      </c>
    </row>
    <row r="55" customFormat="false" ht="15" hidden="false" customHeight="true" outlineLevel="0" collapsed="false">
      <c r="A55" s="24" t="s">
        <v>63</v>
      </c>
      <c r="B55" s="24" t="s">
        <v>64</v>
      </c>
    </row>
    <row r="56" customFormat="false" ht="15" hidden="false" customHeight="true" outlineLevel="0" collapsed="false">
      <c r="A56" s="8" t="s">
        <v>65</v>
      </c>
      <c r="B56" s="25" t="n">
        <f aca="false">SUMIFS('Détail Revenus'!$E:$E,'Détail Revenus'!$F:$F,"Arzum Group Mmc",'Détail Revenus'!$A:$A,"&gt;="&amp;DATE(2025,1,1),'Détail Revenus'!$A:$A,"&lt;"&amp;EDATE(DATE(2025,1,1),1))</f>
        <v>23001</v>
      </c>
    </row>
    <row r="57" customFormat="false" ht="15" hidden="false" customHeight="true" outlineLevel="0" collapsed="false">
      <c r="A57" s="8" t="s">
        <v>66</v>
      </c>
      <c r="B57" s="25" t="n">
        <f aca="false">SUMIFS('Détail Revenus'!$E:$E,'Détail Revenus'!$F:$F,"Arzum Group Mmc",'Détail Revenus'!$A:$A,"&gt;="&amp;DATE(2025,2,1),'Détail Revenus'!$A:$A,"&lt;"&amp;EDATE(DATE(2025,2,1),1))</f>
        <v>0</v>
      </c>
    </row>
    <row r="58" customFormat="false" ht="15" hidden="false" customHeight="true" outlineLevel="0" collapsed="false">
      <c r="A58" s="8" t="s">
        <v>67</v>
      </c>
      <c r="B58" s="25" t="n">
        <f aca="false">SUMIFS('Détail Revenus'!$E:$E,'Détail Revenus'!$F:$F,"Arzum Group Mmc",'Détail Revenus'!$A:$A,"&gt;="&amp;DATE(2025,3,1),'Détail Revenus'!$A:$A,"&lt;"&amp;EDATE(DATE(2025,3,1),1))</f>
        <v>20590</v>
      </c>
    </row>
    <row r="59" customFormat="false" ht="15" hidden="false" customHeight="true" outlineLevel="0" collapsed="false">
      <c r="A59" s="8" t="s">
        <v>68</v>
      </c>
      <c r="B59" s="25" t="n">
        <f aca="false">SUMIFS('Détail Revenus'!$E:$E,'Détail Revenus'!$F:$F,"Arzum Group Mmc",'Détail Revenus'!$A:$A,"&gt;="&amp;DATE(2025,4,1),'Détail Revenus'!$A:$A,"&lt;"&amp;EDATE(DATE(2025,4,1),1))</f>
        <v>0</v>
      </c>
    </row>
    <row r="60" customFormat="false" ht="15" hidden="false" customHeight="true" outlineLevel="0" collapsed="false">
      <c r="A60" s="8" t="s">
        <v>69</v>
      </c>
      <c r="B60" s="25" t="n">
        <f aca="false">SUMIFS('Détail Revenus'!$E:$E,'Détail Revenus'!$F:$F,"Arzum Group Mmc",'Détail Revenus'!$A:$A,"&gt;="&amp;DATE(2025,5,1),'Détail Revenus'!$A:$A,"&lt;"&amp;EDATE(DATE(2025,5,1),1))</f>
        <v>0</v>
      </c>
    </row>
    <row r="61" customFormat="false" ht="15" hidden="false" customHeight="true" outlineLevel="0" collapsed="false">
      <c r="A61" s="8" t="s">
        <v>70</v>
      </c>
      <c r="B61" s="25" t="n">
        <f aca="false">SUMIFS('Détail Revenus'!$E:$E,'Détail Revenus'!$F:$F,"Arzum Group Mmc",'Détail Revenus'!$A:$A,"&gt;="&amp;DATE(2025,6,1),'Détail Revenus'!$A:$A,"&lt;"&amp;EDATE(DATE(2025,6,1),1))</f>
        <v>0</v>
      </c>
    </row>
    <row r="62" customFormat="false" ht="15" hidden="false" customHeight="true" outlineLevel="0" collapsed="false">
      <c r="A62" s="8" t="s">
        <v>71</v>
      </c>
      <c r="B62" s="25" t="n">
        <f aca="false">SUMIFS('Détail Revenus'!$E:$E,'Détail Revenus'!$F:$F,"Arzum Group Mmc",'Détail Revenus'!$A:$A,"&gt;="&amp;DATE(2025,7,1),'Détail Revenus'!$A:$A,"&lt;"&amp;EDATE(DATE(2025,7,1),1))</f>
        <v>15303</v>
      </c>
    </row>
    <row r="63" customFormat="false" ht="15" hidden="false" customHeight="true" outlineLevel="0" collapsed="false">
      <c r="A63" s="8" t="s">
        <v>72</v>
      </c>
      <c r="B63" s="25" t="n">
        <f aca="false">SUMIFS('Détail Revenus'!$E:$E,'Détail Revenus'!$F:$F,"Arzum Group Mmc",'Détail Revenus'!$A:$A,"&gt;="&amp;DATE(2025,8,1),'Détail Revenus'!$A:$A,"&lt;"&amp;EDATE(DATE(2025,8,1),1))</f>
        <v>0</v>
      </c>
    </row>
    <row r="64" customFormat="false" ht="15" hidden="false" customHeight="true" outlineLevel="0" collapsed="false">
      <c r="A64" s="8" t="s">
        <v>73</v>
      </c>
      <c r="B64" s="25" t="n">
        <f aca="false">SUMIFS('Détail Revenus'!$E:$E,'Détail Revenus'!$F:$F,"Arzum Group Mmc",'Détail Revenus'!$A:$A,"&gt;="&amp;DATE(2025,9,1),'Détail Revenus'!$A:$A,"&lt;"&amp;EDATE(DATE(2025,9,1),1))</f>
        <v>0</v>
      </c>
    </row>
    <row r="65" customFormat="false" ht="15" hidden="false" customHeight="true" outlineLevel="0" collapsed="false">
      <c r="A65" s="8" t="s">
        <v>74</v>
      </c>
      <c r="B65" s="25" t="n">
        <f aca="false">SUMIFS('Détail Revenus'!$E:$E,'Détail Revenus'!$F:$F,"Arzum Group Mmc",'Détail Revenus'!$A:$A,"&gt;="&amp;DATE(2025,10,1),'Détail Revenus'!$A:$A,"&lt;"&amp;EDATE(DATE(2025,10,1),1))</f>
        <v>0</v>
      </c>
    </row>
    <row r="66" customFormat="false" ht="15" hidden="false" customHeight="true" outlineLevel="0" collapsed="false">
      <c r="A66" s="8" t="s">
        <v>75</v>
      </c>
      <c r="B66" s="25" t="n">
        <f aca="false">SUMIFS('Détail Revenus'!$E:$E,'Détail Revenus'!$F:$F,"Arzum Group Mmc",'Détail Revenus'!$A:$A,"&gt;="&amp;DATE(2025,11,1),'Détail Revenus'!$A:$A,"&lt;"&amp;EDATE(DATE(2025,11,1),1))</f>
        <v>10000</v>
      </c>
    </row>
    <row r="67" customFormat="false" ht="15" hidden="false" customHeight="true" outlineLevel="0" collapsed="false">
      <c r="A67" s="8" t="s">
        <v>76</v>
      </c>
      <c r="B67" s="25" t="n">
        <f aca="false">SUMIFS('Détail Revenus'!$E:$E,'Détail Revenus'!$F:$F,"Arzum Group Mmc",'Détail Revenus'!$A:$A,"&gt;="&amp;DATE(2025,12,1),'Détail Revenus'!$A:$A,"&lt;"&amp;EDATE(DATE(2025,12,1),1))</f>
        <v>19935</v>
      </c>
    </row>
    <row r="70" customFormat="false" ht="15" hidden="false" customHeight="true" outlineLevel="0" collapsed="false">
      <c r="A70" s="22" t="s">
        <v>44</v>
      </c>
      <c r="B70" s="22"/>
      <c r="C70" s="23" t="n">
        <f aca="false">SUMIF('Détail Revenus'!$F:$F,"Al Muftah",'Détail Revenus'!$E:$E)</f>
        <v>67324.2</v>
      </c>
    </row>
    <row r="71" customFormat="false" ht="15" hidden="false" customHeight="true" outlineLevel="0" collapsed="false">
      <c r="A71" s="26" t="s">
        <v>77</v>
      </c>
      <c r="B71" s="26" t="s">
        <v>81</v>
      </c>
    </row>
    <row r="72" customFormat="false" ht="15" hidden="false" customHeight="true" outlineLevel="0" collapsed="false">
      <c r="A72" s="24" t="s">
        <v>63</v>
      </c>
      <c r="B72" s="24" t="s">
        <v>64</v>
      </c>
    </row>
    <row r="73" customFormat="false" ht="15" hidden="false" customHeight="true" outlineLevel="0" collapsed="false">
      <c r="A73" s="8" t="s">
        <v>65</v>
      </c>
      <c r="B73" s="25" t="n">
        <f aca="false">SUMIFS('Détail Revenus'!$E:$E,'Détail Revenus'!$F:$F,"Al Muftah",'Détail Revenus'!$A:$A,"&gt;="&amp;DATE(2025,1,1),'Détail Revenus'!$A:$A,"&lt;"&amp;EDATE(DATE(2025,1,1),1))</f>
        <v>0</v>
      </c>
    </row>
    <row r="74" customFormat="false" ht="15" hidden="false" customHeight="true" outlineLevel="0" collapsed="false">
      <c r="A74" s="8" t="s">
        <v>66</v>
      </c>
      <c r="B74" s="25" t="n">
        <f aca="false">SUMIFS('Détail Revenus'!$E:$E,'Détail Revenus'!$F:$F,"Al Muftah",'Détail Revenus'!$A:$A,"&gt;="&amp;DATE(2025,2,1),'Détail Revenus'!$A:$A,"&lt;"&amp;EDATE(DATE(2025,2,1),1))</f>
        <v>0</v>
      </c>
    </row>
    <row r="75" customFormat="false" ht="15" hidden="false" customHeight="true" outlineLevel="0" collapsed="false">
      <c r="A75" s="8" t="s">
        <v>67</v>
      </c>
      <c r="B75" s="25" t="n">
        <f aca="false">SUMIFS('Détail Revenus'!$E:$E,'Détail Revenus'!$F:$F,"Al Muftah",'Détail Revenus'!$A:$A,"&gt;="&amp;DATE(2025,3,1),'Détail Revenus'!$A:$A,"&lt;"&amp;EDATE(DATE(2025,3,1),1))</f>
        <v>19024.3</v>
      </c>
    </row>
    <row r="76" customFormat="false" ht="15" hidden="false" customHeight="true" outlineLevel="0" collapsed="false">
      <c r="A76" s="8" t="s">
        <v>68</v>
      </c>
      <c r="B76" s="25" t="n">
        <f aca="false">SUMIFS('Détail Revenus'!$E:$E,'Détail Revenus'!$F:$F,"Al Muftah",'Détail Revenus'!$A:$A,"&gt;="&amp;DATE(2025,4,1),'Détail Revenus'!$A:$A,"&lt;"&amp;EDATE(DATE(2025,4,1),1))</f>
        <v>0</v>
      </c>
    </row>
    <row r="77" customFormat="false" ht="15" hidden="false" customHeight="true" outlineLevel="0" collapsed="false">
      <c r="A77" s="8" t="s">
        <v>69</v>
      </c>
      <c r="B77" s="25" t="n">
        <f aca="false">SUMIFS('Détail Revenus'!$E:$E,'Détail Revenus'!$F:$F,"Al Muftah",'Détail Revenus'!$A:$A,"&gt;="&amp;DATE(2025,5,1),'Détail Revenus'!$A:$A,"&lt;"&amp;EDATE(DATE(2025,5,1),1))</f>
        <v>0</v>
      </c>
    </row>
    <row r="78" customFormat="false" ht="15" hidden="false" customHeight="true" outlineLevel="0" collapsed="false">
      <c r="A78" s="8" t="s">
        <v>70</v>
      </c>
      <c r="B78" s="25" t="n">
        <f aca="false">SUMIFS('Détail Revenus'!$E:$E,'Détail Revenus'!$F:$F,"Al Muftah",'Détail Revenus'!$A:$A,"&gt;="&amp;DATE(2025,6,1),'Détail Revenus'!$A:$A,"&lt;"&amp;EDATE(DATE(2025,6,1),1))</f>
        <v>25918.15</v>
      </c>
    </row>
    <row r="79" customFormat="false" ht="15" hidden="false" customHeight="true" outlineLevel="0" collapsed="false">
      <c r="A79" s="8" t="s">
        <v>71</v>
      </c>
      <c r="B79" s="25" t="n">
        <f aca="false">SUMIFS('Détail Revenus'!$E:$E,'Détail Revenus'!$F:$F,"Al Muftah",'Détail Revenus'!$A:$A,"&gt;="&amp;DATE(2025,7,1),'Détail Revenus'!$A:$A,"&lt;"&amp;EDATE(DATE(2025,7,1),1))</f>
        <v>0</v>
      </c>
    </row>
    <row r="80" customFormat="false" ht="15" hidden="false" customHeight="true" outlineLevel="0" collapsed="false">
      <c r="A80" s="8" t="s">
        <v>72</v>
      </c>
      <c r="B80" s="25" t="n">
        <f aca="false">SUMIFS('Détail Revenus'!$E:$E,'Détail Revenus'!$F:$F,"Al Muftah",'Détail Revenus'!$A:$A,"&gt;="&amp;DATE(2025,8,1),'Détail Revenus'!$A:$A,"&lt;"&amp;EDATE(DATE(2025,8,1),1))</f>
        <v>0</v>
      </c>
    </row>
    <row r="81" customFormat="false" ht="15" hidden="false" customHeight="true" outlineLevel="0" collapsed="false">
      <c r="A81" s="8" t="s">
        <v>73</v>
      </c>
      <c r="B81" s="25" t="n">
        <f aca="false">SUMIFS('Détail Revenus'!$E:$E,'Détail Revenus'!$F:$F,"Al Muftah",'Détail Revenus'!$A:$A,"&gt;="&amp;DATE(2025,9,1),'Détail Revenus'!$A:$A,"&lt;"&amp;EDATE(DATE(2025,9,1),1))</f>
        <v>22381.75</v>
      </c>
    </row>
    <row r="82" customFormat="false" ht="15" hidden="false" customHeight="true" outlineLevel="0" collapsed="false">
      <c r="A82" s="8" t="s">
        <v>74</v>
      </c>
      <c r="B82" s="25" t="n">
        <f aca="false">SUMIFS('Détail Revenus'!$E:$E,'Détail Revenus'!$F:$F,"Al Muftah",'Détail Revenus'!$A:$A,"&gt;="&amp;DATE(2025,10,1),'Détail Revenus'!$A:$A,"&lt;"&amp;EDATE(DATE(2025,10,1),1))</f>
        <v>0</v>
      </c>
    </row>
    <row r="83" customFormat="false" ht="15" hidden="false" customHeight="true" outlineLevel="0" collapsed="false">
      <c r="A83" s="8" t="s">
        <v>75</v>
      </c>
      <c r="B83" s="25" t="n">
        <f aca="false">SUMIFS('Détail Revenus'!$E:$E,'Détail Revenus'!$F:$F,"Al Muftah",'Détail Revenus'!$A:$A,"&gt;="&amp;DATE(2025,11,1),'Détail Revenus'!$A:$A,"&lt;"&amp;EDATE(DATE(2025,11,1),1))</f>
        <v>0</v>
      </c>
    </row>
    <row r="84" customFormat="false" ht="15" hidden="false" customHeight="true" outlineLevel="0" collapsed="false">
      <c r="A84" s="8" t="s">
        <v>76</v>
      </c>
      <c r="B84" s="25" t="n">
        <f aca="false">SUMIFS('Détail Revenus'!$E:$E,'Détail Revenus'!$F:$F,"Al Muftah",'Détail Revenus'!$A:$A,"&gt;="&amp;DATE(2025,12,1),'Détail Revenus'!$A:$A,"&lt;"&amp;EDATE(DATE(2025,12,1),1))</f>
        <v>0</v>
      </c>
    </row>
    <row r="87" customFormat="false" ht="15" hidden="false" customHeight="true" outlineLevel="0" collapsed="false">
      <c r="A87" s="22" t="s">
        <v>45</v>
      </c>
      <c r="B87" s="22"/>
      <c r="C87" s="23" t="n">
        <f aca="false">SUMIF('Détail Revenus'!$F:$F,"Al Fawanis Company",'Détail Revenus'!$E:$E)</f>
        <v>45195.4</v>
      </c>
    </row>
    <row r="88" customFormat="false" ht="15" hidden="false" customHeight="true" outlineLevel="0" collapsed="false">
      <c r="A88" s="24" t="s">
        <v>63</v>
      </c>
      <c r="B88" s="24" t="s">
        <v>64</v>
      </c>
    </row>
    <row r="89" customFormat="false" ht="15" hidden="false" customHeight="true" outlineLevel="0" collapsed="false">
      <c r="A89" s="8" t="s">
        <v>65</v>
      </c>
      <c r="B89" s="25" t="n">
        <f aca="false">SUMIFS('Détail Revenus'!$E:$E,'Détail Revenus'!$F:$F,"Al Fawanis Company",'Détail Revenus'!$A:$A,"&gt;="&amp;DATE(2025,1,1),'Détail Revenus'!$A:$A,"&lt;"&amp;EDATE(DATE(2025,1,1),1))</f>
        <v>0</v>
      </c>
    </row>
    <row r="90" customFormat="false" ht="15" hidden="false" customHeight="true" outlineLevel="0" collapsed="false">
      <c r="A90" s="8" t="s">
        <v>66</v>
      </c>
      <c r="B90" s="25" t="n">
        <f aca="false">SUMIFS('Détail Revenus'!$E:$E,'Détail Revenus'!$F:$F,"Al Fawanis Company",'Détail Revenus'!$A:$A,"&gt;="&amp;DATE(2025,2,1),'Détail Revenus'!$A:$A,"&lt;"&amp;EDATE(DATE(2025,2,1),1))</f>
        <v>0</v>
      </c>
    </row>
    <row r="91" customFormat="false" ht="15" hidden="false" customHeight="true" outlineLevel="0" collapsed="false">
      <c r="A91" s="8" t="s">
        <v>67</v>
      </c>
      <c r="B91" s="25" t="n">
        <f aca="false">SUMIFS('Détail Revenus'!$E:$E,'Détail Revenus'!$F:$F,"Al Fawanis Company",'Détail Revenus'!$A:$A,"&gt;="&amp;DATE(2025,3,1),'Détail Revenus'!$A:$A,"&lt;"&amp;EDATE(DATE(2025,3,1),1))</f>
        <v>0</v>
      </c>
    </row>
    <row r="92" customFormat="false" ht="15" hidden="false" customHeight="true" outlineLevel="0" collapsed="false">
      <c r="A92" s="8" t="s">
        <v>68</v>
      </c>
      <c r="B92" s="25" t="n">
        <f aca="false">SUMIFS('Détail Revenus'!$E:$E,'Détail Revenus'!$F:$F,"Al Fawanis Company",'Détail Revenus'!$A:$A,"&gt;="&amp;DATE(2025,4,1),'Détail Revenus'!$A:$A,"&lt;"&amp;EDATE(DATE(2025,4,1),1))</f>
        <v>0</v>
      </c>
    </row>
    <row r="93" customFormat="false" ht="15" hidden="false" customHeight="true" outlineLevel="0" collapsed="false">
      <c r="A93" s="8" t="s">
        <v>69</v>
      </c>
      <c r="B93" s="25" t="n">
        <f aca="false">SUMIFS('Détail Revenus'!$E:$E,'Détail Revenus'!$F:$F,"Al Fawanis Company",'Détail Revenus'!$A:$A,"&gt;="&amp;DATE(2025,5,1),'Détail Revenus'!$A:$A,"&lt;"&amp;EDATE(DATE(2025,5,1),1))</f>
        <v>0</v>
      </c>
    </row>
    <row r="94" customFormat="false" ht="15" hidden="false" customHeight="true" outlineLevel="0" collapsed="false">
      <c r="A94" s="8" t="s">
        <v>70</v>
      </c>
      <c r="B94" s="25" t="n">
        <f aca="false">SUMIFS('Détail Revenus'!$E:$E,'Détail Revenus'!$F:$F,"Al Fawanis Company",'Détail Revenus'!$A:$A,"&gt;="&amp;DATE(2025,6,1),'Détail Revenus'!$A:$A,"&lt;"&amp;EDATE(DATE(2025,6,1),1))</f>
        <v>0</v>
      </c>
    </row>
    <row r="95" customFormat="false" ht="15" hidden="false" customHeight="true" outlineLevel="0" collapsed="false">
      <c r="A95" s="8" t="s">
        <v>71</v>
      </c>
      <c r="B95" s="25" t="n">
        <f aca="false">SUMIFS('Détail Revenus'!$E:$E,'Détail Revenus'!$F:$F,"Al Fawanis Company",'Détail Revenus'!$A:$A,"&gt;="&amp;DATE(2025,7,1),'Détail Revenus'!$A:$A,"&lt;"&amp;EDATE(DATE(2025,7,1),1))</f>
        <v>0</v>
      </c>
    </row>
    <row r="96" customFormat="false" ht="15" hidden="false" customHeight="true" outlineLevel="0" collapsed="false">
      <c r="A96" s="8" t="s">
        <v>72</v>
      </c>
      <c r="B96" s="25" t="n">
        <f aca="false">SUMIFS('Détail Revenus'!$E:$E,'Détail Revenus'!$F:$F,"Al Fawanis Company",'Détail Revenus'!$A:$A,"&gt;="&amp;DATE(2025,8,1),'Détail Revenus'!$A:$A,"&lt;"&amp;EDATE(DATE(2025,8,1),1))</f>
        <v>0</v>
      </c>
    </row>
    <row r="97" customFormat="false" ht="15" hidden="false" customHeight="true" outlineLevel="0" collapsed="false">
      <c r="A97" s="8" t="s">
        <v>73</v>
      </c>
      <c r="B97" s="25" t="n">
        <f aca="false">SUMIFS('Détail Revenus'!$E:$E,'Détail Revenus'!$F:$F,"Al Fawanis Company",'Détail Revenus'!$A:$A,"&gt;="&amp;DATE(2025,9,1),'Détail Revenus'!$A:$A,"&lt;"&amp;EDATE(DATE(2025,9,1),1))</f>
        <v>22991</v>
      </c>
    </row>
    <row r="98" customFormat="false" ht="15" hidden="false" customHeight="true" outlineLevel="0" collapsed="false">
      <c r="A98" s="8" t="s">
        <v>74</v>
      </c>
      <c r="B98" s="25" t="n">
        <f aca="false">SUMIFS('Détail Revenus'!$E:$E,'Détail Revenus'!$F:$F,"Al Fawanis Company",'Détail Revenus'!$A:$A,"&gt;="&amp;DATE(2025,10,1),'Détail Revenus'!$A:$A,"&lt;"&amp;EDATE(DATE(2025,10,1),1))</f>
        <v>22204.4</v>
      </c>
    </row>
    <row r="99" customFormat="false" ht="15" hidden="false" customHeight="true" outlineLevel="0" collapsed="false">
      <c r="A99" s="8" t="s">
        <v>75</v>
      </c>
      <c r="B99" s="25" t="n">
        <f aca="false">SUMIFS('Détail Revenus'!$E:$E,'Détail Revenus'!$F:$F,"Al Fawanis Company",'Détail Revenus'!$A:$A,"&gt;="&amp;DATE(2025,11,1),'Détail Revenus'!$A:$A,"&lt;"&amp;EDATE(DATE(2025,11,1),1))</f>
        <v>0</v>
      </c>
    </row>
    <row r="100" customFormat="false" ht="15" hidden="false" customHeight="true" outlineLevel="0" collapsed="false">
      <c r="A100" s="8" t="s">
        <v>76</v>
      </c>
      <c r="B100" s="25" t="n">
        <f aca="false">SUMIFS('Détail Revenus'!$E:$E,'Détail Revenus'!$F:$F,"Al Fawanis Company",'Détail Revenus'!$A:$A,"&gt;="&amp;DATE(2025,12,1),'Détail Revenus'!$A:$A,"&lt;"&amp;EDATE(DATE(2025,12,1),1))</f>
        <v>0</v>
      </c>
    </row>
    <row r="103" customFormat="false" ht="15" hidden="false" customHeight="true" outlineLevel="0" collapsed="false">
      <c r="A103" s="22" t="s">
        <v>46</v>
      </c>
      <c r="B103" s="22"/>
      <c r="C103" s="23" t="n">
        <f aca="false">SUMIF('Détail Revenus'!$F:$F,"Chaloub Trading",'Détail Revenus'!$E:$E)</f>
        <v>21372</v>
      </c>
    </row>
    <row r="104" customFormat="false" ht="15" hidden="false" customHeight="true" outlineLevel="0" collapsed="false">
      <c r="A104" s="26" t="s">
        <v>77</v>
      </c>
      <c r="B104" s="26" t="s">
        <v>82</v>
      </c>
    </row>
    <row r="105" customFormat="false" ht="15" hidden="false" customHeight="true" outlineLevel="0" collapsed="false">
      <c r="A105" s="24" t="s">
        <v>63</v>
      </c>
      <c r="B105" s="24" t="s">
        <v>64</v>
      </c>
    </row>
    <row r="106" customFormat="false" ht="15" hidden="false" customHeight="true" outlineLevel="0" collapsed="false">
      <c r="A106" s="8" t="s">
        <v>65</v>
      </c>
      <c r="B106" s="25" t="n">
        <f aca="false">SUMIFS('Détail Revenus'!$E:$E,'Détail Revenus'!$F:$F,"Chaloub Trading",'Détail Revenus'!$A:$A,"&gt;="&amp;DATE(2025,1,1),'Détail Revenus'!$A:$A,"&lt;"&amp;EDATE(DATE(2025,1,1),1))</f>
        <v>0</v>
      </c>
    </row>
    <row r="107" customFormat="false" ht="15" hidden="false" customHeight="true" outlineLevel="0" collapsed="false">
      <c r="A107" s="8" t="s">
        <v>66</v>
      </c>
      <c r="B107" s="25" t="n">
        <f aca="false">SUMIFS('Détail Revenus'!$E:$E,'Détail Revenus'!$F:$F,"Chaloub Trading",'Détail Revenus'!$A:$A,"&gt;="&amp;DATE(2025,2,1),'Détail Revenus'!$A:$A,"&lt;"&amp;EDATE(DATE(2025,2,1),1))</f>
        <v>0</v>
      </c>
    </row>
    <row r="108" customFormat="false" ht="15" hidden="false" customHeight="true" outlineLevel="0" collapsed="false">
      <c r="A108" s="8" t="s">
        <v>67</v>
      </c>
      <c r="B108" s="25" t="n">
        <f aca="false">SUMIFS('Détail Revenus'!$E:$E,'Détail Revenus'!$F:$F,"Chaloub Trading",'Détail Revenus'!$A:$A,"&gt;="&amp;DATE(2025,3,1),'Détail Revenus'!$A:$A,"&lt;"&amp;EDATE(DATE(2025,3,1),1))</f>
        <v>5918</v>
      </c>
    </row>
    <row r="109" customFormat="false" ht="15" hidden="false" customHeight="true" outlineLevel="0" collapsed="false">
      <c r="A109" s="8" t="s">
        <v>68</v>
      </c>
      <c r="B109" s="25" t="n">
        <f aca="false">SUMIFS('Détail Revenus'!$E:$E,'Détail Revenus'!$F:$F,"Chaloub Trading",'Détail Revenus'!$A:$A,"&gt;="&amp;DATE(2025,4,1),'Détail Revenus'!$A:$A,"&lt;"&amp;EDATE(DATE(2025,4,1),1))</f>
        <v>0</v>
      </c>
    </row>
    <row r="110" customFormat="false" ht="15" hidden="false" customHeight="true" outlineLevel="0" collapsed="false">
      <c r="A110" s="8" t="s">
        <v>69</v>
      </c>
      <c r="B110" s="25" t="n">
        <f aca="false">SUMIFS('Détail Revenus'!$E:$E,'Détail Revenus'!$F:$F,"Chaloub Trading",'Détail Revenus'!$A:$A,"&gt;="&amp;DATE(2025,5,1),'Détail Revenus'!$A:$A,"&lt;"&amp;EDATE(DATE(2025,5,1),1))</f>
        <v>0</v>
      </c>
    </row>
    <row r="111" customFormat="false" ht="15" hidden="false" customHeight="true" outlineLevel="0" collapsed="false">
      <c r="A111" s="8" t="s">
        <v>70</v>
      </c>
      <c r="B111" s="25" t="n">
        <f aca="false">SUMIFS('Détail Revenus'!$E:$E,'Détail Revenus'!$F:$F,"Chaloub Trading",'Détail Revenus'!$A:$A,"&gt;="&amp;DATE(2025,6,1),'Détail Revenus'!$A:$A,"&lt;"&amp;EDATE(DATE(2025,6,1),1))</f>
        <v>0</v>
      </c>
    </row>
    <row r="112" customFormat="false" ht="15" hidden="false" customHeight="true" outlineLevel="0" collapsed="false">
      <c r="A112" s="8" t="s">
        <v>71</v>
      </c>
      <c r="B112" s="25" t="n">
        <f aca="false">SUMIFS('Détail Revenus'!$E:$E,'Détail Revenus'!$F:$F,"Chaloub Trading",'Détail Revenus'!$A:$A,"&gt;="&amp;DATE(2025,7,1),'Détail Revenus'!$A:$A,"&lt;"&amp;EDATE(DATE(2025,7,1),1))</f>
        <v>9022</v>
      </c>
    </row>
    <row r="113" customFormat="false" ht="15" hidden="false" customHeight="true" outlineLevel="0" collapsed="false">
      <c r="A113" s="8" t="s">
        <v>72</v>
      </c>
      <c r="B113" s="25" t="n">
        <f aca="false">SUMIFS('Détail Revenus'!$E:$E,'Détail Revenus'!$F:$F,"Chaloub Trading",'Détail Revenus'!$A:$A,"&gt;="&amp;DATE(2025,8,1),'Détail Revenus'!$A:$A,"&lt;"&amp;EDATE(DATE(2025,8,1),1))</f>
        <v>2558</v>
      </c>
    </row>
    <row r="114" customFormat="false" ht="15" hidden="false" customHeight="true" outlineLevel="0" collapsed="false">
      <c r="A114" s="8" t="s">
        <v>73</v>
      </c>
      <c r="B114" s="25" t="n">
        <f aca="false">SUMIFS('Détail Revenus'!$E:$E,'Détail Revenus'!$F:$F,"Chaloub Trading",'Détail Revenus'!$A:$A,"&gt;="&amp;DATE(2025,9,1),'Détail Revenus'!$A:$A,"&lt;"&amp;EDATE(DATE(2025,9,1),1))</f>
        <v>0</v>
      </c>
    </row>
    <row r="115" customFormat="false" ht="15" hidden="false" customHeight="true" outlineLevel="0" collapsed="false">
      <c r="A115" s="8" t="s">
        <v>74</v>
      </c>
      <c r="B115" s="25" t="n">
        <f aca="false">SUMIFS('Détail Revenus'!$E:$E,'Détail Revenus'!$F:$F,"Chaloub Trading",'Détail Revenus'!$A:$A,"&gt;="&amp;DATE(2025,10,1),'Détail Revenus'!$A:$A,"&lt;"&amp;EDATE(DATE(2025,10,1),1))</f>
        <v>0</v>
      </c>
    </row>
    <row r="116" customFormat="false" ht="15" hidden="false" customHeight="true" outlineLevel="0" collapsed="false">
      <c r="A116" s="8" t="s">
        <v>75</v>
      </c>
      <c r="B116" s="25" t="n">
        <f aca="false">SUMIFS('Détail Revenus'!$E:$E,'Détail Revenus'!$F:$F,"Chaloub Trading",'Détail Revenus'!$A:$A,"&gt;="&amp;DATE(2025,11,1),'Détail Revenus'!$A:$A,"&lt;"&amp;EDATE(DATE(2025,11,1),1))</f>
        <v>0</v>
      </c>
    </row>
    <row r="117" customFormat="false" ht="15" hidden="false" customHeight="true" outlineLevel="0" collapsed="false">
      <c r="A117" s="8" t="s">
        <v>76</v>
      </c>
      <c r="B117" s="25" t="n">
        <f aca="false">SUMIFS('Détail Revenus'!$E:$E,'Détail Revenus'!$F:$F,"Chaloub Trading",'Détail Revenus'!$A:$A,"&gt;="&amp;DATE(2025,12,1),'Détail Revenus'!$A:$A,"&lt;"&amp;EDATE(DATE(2025,12,1),1))</f>
        <v>3874</v>
      </c>
    </row>
    <row r="120" customFormat="false" ht="15" hidden="false" customHeight="true" outlineLevel="0" collapsed="false">
      <c r="A120" s="22" t="s">
        <v>47</v>
      </c>
      <c r="B120" s="22"/>
      <c r="C120" s="23" t="n">
        <f aca="false">SUMIF('Détail Revenus'!$F:$F,"Dv Menswear",'Détail Revenus'!$E:$E)</f>
        <v>14076.41</v>
      </c>
    </row>
    <row r="121" customFormat="false" ht="15" hidden="false" customHeight="true" outlineLevel="0" collapsed="false">
      <c r="A121" s="24" t="s">
        <v>63</v>
      </c>
      <c r="B121" s="24" t="s">
        <v>64</v>
      </c>
    </row>
    <row r="122" customFormat="false" ht="15" hidden="false" customHeight="true" outlineLevel="0" collapsed="false">
      <c r="A122" s="8" t="s">
        <v>65</v>
      </c>
      <c r="B122" s="25" t="n">
        <f aca="false">SUMIFS('Détail Revenus'!$E:$E,'Détail Revenus'!$F:$F,"Dv Menswear",'Détail Revenus'!$A:$A,"&gt;="&amp;DATE(2025,1,1),'Détail Revenus'!$A:$A,"&lt;"&amp;EDATE(DATE(2025,1,1),1))</f>
        <v>0</v>
      </c>
    </row>
    <row r="123" customFormat="false" ht="15" hidden="false" customHeight="true" outlineLevel="0" collapsed="false">
      <c r="A123" s="8" t="s">
        <v>66</v>
      </c>
      <c r="B123" s="25" t="n">
        <f aca="false">SUMIFS('Détail Revenus'!$E:$E,'Détail Revenus'!$F:$F,"Dv Menswear",'Détail Revenus'!$A:$A,"&gt;="&amp;DATE(2025,2,1),'Détail Revenus'!$A:$A,"&lt;"&amp;EDATE(DATE(2025,2,1),1))</f>
        <v>0</v>
      </c>
    </row>
    <row r="124" customFormat="false" ht="15" hidden="false" customHeight="true" outlineLevel="0" collapsed="false">
      <c r="A124" s="8" t="s">
        <v>67</v>
      </c>
      <c r="B124" s="25" t="n">
        <f aca="false">SUMIFS('Détail Revenus'!$E:$E,'Détail Revenus'!$F:$F,"Dv Menswear",'Détail Revenus'!$A:$A,"&gt;="&amp;DATE(2025,3,1),'Détail Revenus'!$A:$A,"&lt;"&amp;EDATE(DATE(2025,3,1),1))</f>
        <v>14076.41</v>
      </c>
    </row>
    <row r="125" customFormat="false" ht="15" hidden="false" customHeight="true" outlineLevel="0" collapsed="false">
      <c r="A125" s="8" t="s">
        <v>68</v>
      </c>
      <c r="B125" s="25" t="n">
        <f aca="false">SUMIFS('Détail Revenus'!$E:$E,'Détail Revenus'!$F:$F,"Dv Menswear",'Détail Revenus'!$A:$A,"&gt;="&amp;DATE(2025,4,1),'Détail Revenus'!$A:$A,"&lt;"&amp;EDATE(DATE(2025,4,1),1))</f>
        <v>0</v>
      </c>
    </row>
    <row r="126" customFormat="false" ht="15" hidden="false" customHeight="true" outlineLevel="0" collapsed="false">
      <c r="A126" s="8" t="s">
        <v>69</v>
      </c>
      <c r="B126" s="25" t="n">
        <f aca="false">SUMIFS('Détail Revenus'!$E:$E,'Détail Revenus'!$F:$F,"Dv Menswear",'Détail Revenus'!$A:$A,"&gt;="&amp;DATE(2025,5,1),'Détail Revenus'!$A:$A,"&lt;"&amp;EDATE(DATE(2025,5,1),1))</f>
        <v>0</v>
      </c>
    </row>
    <row r="127" customFormat="false" ht="15" hidden="false" customHeight="true" outlineLevel="0" collapsed="false">
      <c r="A127" s="8" t="s">
        <v>70</v>
      </c>
      <c r="B127" s="25" t="n">
        <f aca="false">SUMIFS('Détail Revenus'!$E:$E,'Détail Revenus'!$F:$F,"Dv Menswear",'Détail Revenus'!$A:$A,"&gt;="&amp;DATE(2025,6,1),'Détail Revenus'!$A:$A,"&lt;"&amp;EDATE(DATE(2025,6,1),1))</f>
        <v>0</v>
      </c>
    </row>
    <row r="128" customFormat="false" ht="15" hidden="false" customHeight="true" outlineLevel="0" collapsed="false">
      <c r="A128" s="8" t="s">
        <v>71</v>
      </c>
      <c r="B128" s="25" t="n">
        <f aca="false">SUMIFS('Détail Revenus'!$E:$E,'Détail Revenus'!$F:$F,"Dv Menswear",'Détail Revenus'!$A:$A,"&gt;="&amp;DATE(2025,7,1),'Détail Revenus'!$A:$A,"&lt;"&amp;EDATE(DATE(2025,7,1),1))</f>
        <v>0</v>
      </c>
    </row>
    <row r="129" customFormat="false" ht="15" hidden="false" customHeight="true" outlineLevel="0" collapsed="false">
      <c r="A129" s="8" t="s">
        <v>72</v>
      </c>
      <c r="B129" s="25" t="n">
        <f aca="false">SUMIFS('Détail Revenus'!$E:$E,'Détail Revenus'!$F:$F,"Dv Menswear",'Détail Revenus'!$A:$A,"&gt;="&amp;DATE(2025,8,1),'Détail Revenus'!$A:$A,"&lt;"&amp;EDATE(DATE(2025,8,1),1))</f>
        <v>0</v>
      </c>
    </row>
    <row r="130" customFormat="false" ht="15" hidden="false" customHeight="true" outlineLevel="0" collapsed="false">
      <c r="A130" s="8" t="s">
        <v>73</v>
      </c>
      <c r="B130" s="25" t="n">
        <f aca="false">SUMIFS('Détail Revenus'!$E:$E,'Détail Revenus'!$F:$F,"Dv Menswear",'Détail Revenus'!$A:$A,"&gt;="&amp;DATE(2025,9,1),'Détail Revenus'!$A:$A,"&lt;"&amp;EDATE(DATE(2025,9,1),1))</f>
        <v>0</v>
      </c>
    </row>
    <row r="131" customFormat="false" ht="15" hidden="false" customHeight="true" outlineLevel="0" collapsed="false">
      <c r="A131" s="8" t="s">
        <v>74</v>
      </c>
      <c r="B131" s="25" t="n">
        <f aca="false">SUMIFS('Détail Revenus'!$E:$E,'Détail Revenus'!$F:$F,"Dv Menswear",'Détail Revenus'!$A:$A,"&gt;="&amp;DATE(2025,10,1),'Détail Revenus'!$A:$A,"&lt;"&amp;EDATE(DATE(2025,10,1),1))</f>
        <v>0</v>
      </c>
    </row>
    <row r="132" customFormat="false" ht="15" hidden="false" customHeight="true" outlineLevel="0" collapsed="false">
      <c r="A132" s="8" t="s">
        <v>75</v>
      </c>
      <c r="B132" s="25" t="n">
        <f aca="false">SUMIFS('Détail Revenus'!$E:$E,'Détail Revenus'!$F:$F,"Dv Menswear",'Détail Revenus'!$A:$A,"&gt;="&amp;DATE(2025,11,1),'Détail Revenus'!$A:$A,"&lt;"&amp;EDATE(DATE(2025,11,1),1))</f>
        <v>0</v>
      </c>
    </row>
    <row r="133" customFormat="false" ht="15" hidden="false" customHeight="true" outlineLevel="0" collapsed="false">
      <c r="A133" s="8" t="s">
        <v>76</v>
      </c>
      <c r="B133" s="25" t="n">
        <f aca="false">SUMIFS('Détail Revenus'!$E:$E,'Détail Revenus'!$F:$F,"Dv Menswear",'Détail Revenus'!$A:$A,"&gt;="&amp;DATE(2025,12,1),'Détail Revenus'!$A:$A,"&lt;"&amp;EDATE(DATE(2025,12,1),1))</f>
        <v>0</v>
      </c>
    </row>
    <row r="136" customFormat="false" ht="15" hidden="false" customHeight="true" outlineLevel="0" collapsed="false">
      <c r="A136" s="22" t="s">
        <v>48</v>
      </c>
      <c r="B136" s="22"/>
      <c r="C136" s="23" t="n">
        <f aca="false">SUMIF('Détail Revenus'!$F:$F,"Khiyat Cospara",'Détail Revenus'!$E:$E)</f>
        <v>6460.8</v>
      </c>
    </row>
    <row r="137" customFormat="false" ht="15" hidden="false" customHeight="true" outlineLevel="0" collapsed="false">
      <c r="A137" s="24" t="s">
        <v>63</v>
      </c>
      <c r="B137" s="24" t="s">
        <v>64</v>
      </c>
    </row>
    <row r="138" customFormat="false" ht="15" hidden="false" customHeight="true" outlineLevel="0" collapsed="false">
      <c r="A138" s="8" t="s">
        <v>65</v>
      </c>
      <c r="B138" s="25" t="n">
        <f aca="false">SUMIFS('Détail Revenus'!$E:$E,'Détail Revenus'!$F:$F,"Khiyat Cospara",'Détail Revenus'!$A:$A,"&gt;="&amp;DATE(2025,1,1),'Détail Revenus'!$A:$A,"&lt;"&amp;EDATE(DATE(2025,1,1),1))</f>
        <v>0</v>
      </c>
    </row>
    <row r="139" customFormat="false" ht="15" hidden="false" customHeight="true" outlineLevel="0" collapsed="false">
      <c r="A139" s="8" t="s">
        <v>66</v>
      </c>
      <c r="B139" s="25" t="n">
        <f aca="false">SUMIFS('Détail Revenus'!$E:$E,'Détail Revenus'!$F:$F,"Khiyat Cospara",'Détail Revenus'!$A:$A,"&gt;="&amp;DATE(2025,2,1),'Détail Revenus'!$A:$A,"&lt;"&amp;EDATE(DATE(2025,2,1),1))</f>
        <v>0</v>
      </c>
    </row>
    <row r="140" customFormat="false" ht="15" hidden="false" customHeight="true" outlineLevel="0" collapsed="false">
      <c r="A140" s="8" t="s">
        <v>67</v>
      </c>
      <c r="B140" s="25" t="n">
        <f aca="false">SUMIFS('Détail Revenus'!$E:$E,'Détail Revenus'!$F:$F,"Khiyat Cospara",'Détail Revenus'!$A:$A,"&gt;="&amp;DATE(2025,3,1),'Détail Revenus'!$A:$A,"&lt;"&amp;EDATE(DATE(2025,3,1),1))</f>
        <v>0</v>
      </c>
    </row>
    <row r="141" customFormat="false" ht="15" hidden="false" customHeight="true" outlineLevel="0" collapsed="false">
      <c r="A141" s="8" t="s">
        <v>68</v>
      </c>
      <c r="B141" s="25" t="n">
        <f aca="false">SUMIFS('Détail Revenus'!$E:$E,'Détail Revenus'!$F:$F,"Khiyat Cospara",'Détail Revenus'!$A:$A,"&gt;="&amp;DATE(2025,4,1),'Détail Revenus'!$A:$A,"&lt;"&amp;EDATE(DATE(2025,4,1),1))</f>
        <v>0</v>
      </c>
    </row>
    <row r="142" customFormat="false" ht="15" hidden="false" customHeight="true" outlineLevel="0" collapsed="false">
      <c r="A142" s="8" t="s">
        <v>69</v>
      </c>
      <c r="B142" s="25" t="n">
        <f aca="false">SUMIFS('Détail Revenus'!$E:$E,'Détail Revenus'!$F:$F,"Khiyat Cospara",'Détail Revenus'!$A:$A,"&gt;="&amp;DATE(2025,5,1),'Détail Revenus'!$A:$A,"&lt;"&amp;EDATE(DATE(2025,5,1),1))</f>
        <v>0</v>
      </c>
    </row>
    <row r="143" customFormat="false" ht="15" hidden="false" customHeight="true" outlineLevel="0" collapsed="false">
      <c r="A143" s="8" t="s">
        <v>70</v>
      </c>
      <c r="B143" s="25" t="n">
        <f aca="false">SUMIFS('Détail Revenus'!$E:$E,'Détail Revenus'!$F:$F,"Khiyat Cospara",'Détail Revenus'!$A:$A,"&gt;="&amp;DATE(2025,6,1),'Détail Revenus'!$A:$A,"&lt;"&amp;EDATE(DATE(2025,6,1),1))</f>
        <v>6460.8</v>
      </c>
    </row>
    <row r="144" customFormat="false" ht="15" hidden="false" customHeight="true" outlineLevel="0" collapsed="false">
      <c r="A144" s="8" t="s">
        <v>71</v>
      </c>
      <c r="B144" s="25" t="n">
        <f aca="false">SUMIFS('Détail Revenus'!$E:$E,'Détail Revenus'!$F:$F,"Khiyat Cospara",'Détail Revenus'!$A:$A,"&gt;="&amp;DATE(2025,7,1),'Détail Revenus'!$A:$A,"&lt;"&amp;EDATE(DATE(2025,7,1),1))</f>
        <v>0</v>
      </c>
    </row>
    <row r="145" customFormat="false" ht="15" hidden="false" customHeight="true" outlineLevel="0" collapsed="false">
      <c r="A145" s="8" t="s">
        <v>72</v>
      </c>
      <c r="B145" s="25" t="n">
        <f aca="false">SUMIFS('Détail Revenus'!$E:$E,'Détail Revenus'!$F:$F,"Khiyat Cospara",'Détail Revenus'!$A:$A,"&gt;="&amp;DATE(2025,8,1),'Détail Revenus'!$A:$A,"&lt;"&amp;EDATE(DATE(2025,8,1),1))</f>
        <v>0</v>
      </c>
    </row>
    <row r="146" customFormat="false" ht="15" hidden="false" customHeight="true" outlineLevel="0" collapsed="false">
      <c r="A146" s="8" t="s">
        <v>73</v>
      </c>
      <c r="B146" s="25" t="n">
        <f aca="false">SUMIFS('Détail Revenus'!$E:$E,'Détail Revenus'!$F:$F,"Khiyat Cospara",'Détail Revenus'!$A:$A,"&gt;="&amp;DATE(2025,9,1),'Détail Revenus'!$A:$A,"&lt;"&amp;EDATE(DATE(2025,9,1),1))</f>
        <v>0</v>
      </c>
    </row>
    <row r="147" customFormat="false" ht="15" hidden="false" customHeight="true" outlineLevel="0" collapsed="false">
      <c r="A147" s="8" t="s">
        <v>74</v>
      </c>
      <c r="B147" s="25" t="n">
        <f aca="false">SUMIFS('Détail Revenus'!$E:$E,'Détail Revenus'!$F:$F,"Khiyat Cospara",'Détail Revenus'!$A:$A,"&gt;="&amp;DATE(2025,10,1),'Détail Revenus'!$A:$A,"&lt;"&amp;EDATE(DATE(2025,10,1),1))</f>
        <v>0</v>
      </c>
    </row>
    <row r="148" customFormat="false" ht="15" hidden="false" customHeight="true" outlineLevel="0" collapsed="false">
      <c r="A148" s="8" t="s">
        <v>75</v>
      </c>
      <c r="B148" s="25" t="n">
        <f aca="false">SUMIFS('Détail Revenus'!$E:$E,'Détail Revenus'!$F:$F,"Khiyat Cospara",'Détail Revenus'!$A:$A,"&gt;="&amp;DATE(2025,11,1),'Détail Revenus'!$A:$A,"&lt;"&amp;EDATE(DATE(2025,11,1),1))</f>
        <v>0</v>
      </c>
    </row>
    <row r="149" customFormat="false" ht="15" hidden="false" customHeight="true" outlineLevel="0" collapsed="false">
      <c r="A149" s="8" t="s">
        <v>76</v>
      </c>
      <c r="B149" s="25" t="n">
        <f aca="false">SUMIFS('Détail Revenus'!$E:$E,'Détail Revenus'!$F:$F,"Khiyat Cospara",'Détail Revenus'!$A:$A,"&gt;="&amp;DATE(2025,12,1),'Détail Revenus'!$A:$A,"&lt;"&amp;EDATE(DATE(2025,12,1),1))</f>
        <v>0</v>
      </c>
    </row>
    <row r="152" customFormat="false" ht="15" hidden="false" customHeight="true" outlineLevel="0" collapsed="false">
      <c r="A152" s="22" t="s">
        <v>49</v>
      </c>
      <c r="B152" s="22"/>
      <c r="C152" s="23" t="n">
        <f aca="false">SUMIF('Détail Revenus'!$F:$F,"Cielomed",'Détail Revenus'!$E:$E)</f>
        <v>6254</v>
      </c>
    </row>
    <row r="153" customFormat="false" ht="15" hidden="false" customHeight="true" outlineLevel="0" collapsed="false">
      <c r="A153" s="24" t="s">
        <v>63</v>
      </c>
      <c r="B153" s="24" t="s">
        <v>64</v>
      </c>
    </row>
    <row r="154" customFormat="false" ht="15" hidden="false" customHeight="true" outlineLevel="0" collapsed="false">
      <c r="A154" s="8" t="s">
        <v>65</v>
      </c>
      <c r="B154" s="25" t="n">
        <f aca="false">SUMIFS('Détail Revenus'!$E:$E,'Détail Revenus'!$F:$F,"Cielomed",'Détail Revenus'!$A:$A,"&gt;="&amp;DATE(2025,1,1),'Détail Revenus'!$A:$A,"&lt;"&amp;EDATE(DATE(2025,1,1),1))</f>
        <v>0</v>
      </c>
    </row>
    <row r="155" customFormat="false" ht="15" hidden="false" customHeight="true" outlineLevel="0" collapsed="false">
      <c r="A155" s="8" t="s">
        <v>66</v>
      </c>
      <c r="B155" s="25" t="n">
        <f aca="false">SUMIFS('Détail Revenus'!$E:$E,'Détail Revenus'!$F:$F,"Cielomed",'Détail Revenus'!$A:$A,"&gt;="&amp;DATE(2025,2,1),'Détail Revenus'!$A:$A,"&lt;"&amp;EDATE(DATE(2025,2,1),1))</f>
        <v>0</v>
      </c>
    </row>
    <row r="156" customFormat="false" ht="15" hidden="false" customHeight="true" outlineLevel="0" collapsed="false">
      <c r="A156" s="8" t="s">
        <v>67</v>
      </c>
      <c r="B156" s="25" t="n">
        <f aca="false">SUMIFS('Détail Revenus'!$E:$E,'Détail Revenus'!$F:$F,"Cielomed",'Détail Revenus'!$A:$A,"&gt;="&amp;DATE(2025,3,1),'Détail Revenus'!$A:$A,"&lt;"&amp;EDATE(DATE(2025,3,1),1))</f>
        <v>0</v>
      </c>
    </row>
    <row r="157" customFormat="false" ht="15" hidden="false" customHeight="true" outlineLevel="0" collapsed="false">
      <c r="A157" s="8" t="s">
        <v>68</v>
      </c>
      <c r="B157" s="25" t="n">
        <f aca="false">SUMIFS('Détail Revenus'!$E:$E,'Détail Revenus'!$F:$F,"Cielomed",'Détail Revenus'!$A:$A,"&gt;="&amp;DATE(2025,4,1),'Détail Revenus'!$A:$A,"&lt;"&amp;EDATE(DATE(2025,4,1),1))</f>
        <v>0</v>
      </c>
    </row>
    <row r="158" customFormat="false" ht="15" hidden="false" customHeight="true" outlineLevel="0" collapsed="false">
      <c r="A158" s="8" t="s">
        <v>69</v>
      </c>
      <c r="B158" s="25" t="n">
        <f aca="false">SUMIFS('Détail Revenus'!$E:$E,'Détail Revenus'!$F:$F,"Cielomed",'Détail Revenus'!$A:$A,"&gt;="&amp;DATE(2025,5,1),'Détail Revenus'!$A:$A,"&lt;"&amp;EDATE(DATE(2025,5,1),1))</f>
        <v>0</v>
      </c>
    </row>
    <row r="159" customFormat="false" ht="15" hidden="false" customHeight="true" outlineLevel="0" collapsed="false">
      <c r="A159" s="8" t="s">
        <v>70</v>
      </c>
      <c r="B159" s="25" t="n">
        <f aca="false">SUMIFS('Détail Revenus'!$E:$E,'Détail Revenus'!$F:$F,"Cielomed",'Détail Revenus'!$A:$A,"&gt;="&amp;DATE(2025,6,1),'Détail Revenus'!$A:$A,"&lt;"&amp;EDATE(DATE(2025,6,1),1))</f>
        <v>0</v>
      </c>
    </row>
    <row r="160" customFormat="false" ht="15" hidden="false" customHeight="true" outlineLevel="0" collapsed="false">
      <c r="A160" s="8" t="s">
        <v>71</v>
      </c>
      <c r="B160" s="25" t="n">
        <f aca="false">SUMIFS('Détail Revenus'!$E:$E,'Détail Revenus'!$F:$F,"Cielomed",'Détail Revenus'!$A:$A,"&gt;="&amp;DATE(2025,7,1),'Détail Revenus'!$A:$A,"&lt;"&amp;EDATE(DATE(2025,7,1),1))</f>
        <v>0</v>
      </c>
    </row>
    <row r="161" customFormat="false" ht="15" hidden="false" customHeight="true" outlineLevel="0" collapsed="false">
      <c r="A161" s="8" t="s">
        <v>72</v>
      </c>
      <c r="B161" s="25" t="n">
        <f aca="false">SUMIFS('Détail Revenus'!$E:$E,'Détail Revenus'!$F:$F,"Cielomed",'Détail Revenus'!$A:$A,"&gt;="&amp;DATE(2025,8,1),'Détail Revenus'!$A:$A,"&lt;"&amp;EDATE(DATE(2025,8,1),1))</f>
        <v>0</v>
      </c>
    </row>
    <row r="162" customFormat="false" ht="15" hidden="false" customHeight="true" outlineLevel="0" collapsed="false">
      <c r="A162" s="8" t="s">
        <v>73</v>
      </c>
      <c r="B162" s="25" t="n">
        <f aca="false">SUMIFS('Détail Revenus'!$E:$E,'Détail Revenus'!$F:$F,"Cielomed",'Détail Revenus'!$A:$A,"&gt;="&amp;DATE(2025,9,1),'Détail Revenus'!$A:$A,"&lt;"&amp;EDATE(DATE(2025,9,1),1))</f>
        <v>6254</v>
      </c>
    </row>
    <row r="163" customFormat="false" ht="15" hidden="false" customHeight="true" outlineLevel="0" collapsed="false">
      <c r="A163" s="8" t="s">
        <v>74</v>
      </c>
      <c r="B163" s="25" t="n">
        <f aca="false">SUMIFS('Détail Revenus'!$E:$E,'Détail Revenus'!$F:$F,"Cielomed",'Détail Revenus'!$A:$A,"&gt;="&amp;DATE(2025,10,1),'Détail Revenus'!$A:$A,"&lt;"&amp;EDATE(DATE(2025,10,1),1))</f>
        <v>0</v>
      </c>
    </row>
    <row r="164" customFormat="false" ht="15" hidden="false" customHeight="true" outlineLevel="0" collapsed="false">
      <c r="A164" s="8" t="s">
        <v>75</v>
      </c>
      <c r="B164" s="25" t="n">
        <f aca="false">SUMIFS('Détail Revenus'!$E:$E,'Détail Revenus'!$F:$F,"Cielomed",'Détail Revenus'!$A:$A,"&gt;="&amp;DATE(2025,11,1),'Détail Revenus'!$A:$A,"&lt;"&amp;EDATE(DATE(2025,11,1),1))</f>
        <v>0</v>
      </c>
    </row>
    <row r="165" customFormat="false" ht="15" hidden="false" customHeight="true" outlineLevel="0" collapsed="false">
      <c r="A165" s="8" t="s">
        <v>76</v>
      </c>
      <c r="B165" s="25" t="n">
        <f aca="false">SUMIFS('Détail Revenus'!$E:$E,'Détail Revenus'!$F:$F,"Cielomed",'Détail Revenus'!$A:$A,"&gt;="&amp;DATE(2025,12,1),'Détail Revenus'!$A:$A,"&lt;"&amp;EDATE(DATE(2025,12,1),1))</f>
        <v>0</v>
      </c>
    </row>
    <row r="168" customFormat="false" ht="15" hidden="false" customHeight="true" outlineLevel="0" collapsed="false">
      <c r="A168" s="22" t="s">
        <v>50</v>
      </c>
      <c r="B168" s="22"/>
      <c r="C168" s="23" t="n">
        <f aca="false">SUMIF('Détail Revenus'!$F:$F,"Passion Parfum",'Détail Revenus'!$E:$E)</f>
        <v>6224</v>
      </c>
    </row>
    <row r="169" customFormat="false" ht="15" hidden="false" customHeight="true" outlineLevel="0" collapsed="false">
      <c r="A169" s="26" t="s">
        <v>77</v>
      </c>
      <c r="B169" s="26" t="s">
        <v>83</v>
      </c>
    </row>
    <row r="170" customFormat="false" ht="15" hidden="false" customHeight="true" outlineLevel="0" collapsed="false">
      <c r="A170" s="24" t="s">
        <v>63</v>
      </c>
      <c r="B170" s="24" t="s">
        <v>64</v>
      </c>
    </row>
    <row r="171" customFormat="false" ht="15" hidden="false" customHeight="true" outlineLevel="0" collapsed="false">
      <c r="A171" s="8" t="s">
        <v>65</v>
      </c>
      <c r="B171" s="25" t="n">
        <f aca="false">SUMIFS('Détail Revenus'!$E:$E,'Détail Revenus'!$F:$F,"Passion Parfum",'Détail Revenus'!$A:$A,"&gt;="&amp;DATE(2025,1,1),'Détail Revenus'!$A:$A,"&lt;"&amp;EDATE(DATE(2025,1,1),1))</f>
        <v>2268</v>
      </c>
    </row>
    <row r="172" customFormat="false" ht="15" hidden="false" customHeight="true" outlineLevel="0" collapsed="false">
      <c r="A172" s="8" t="s">
        <v>66</v>
      </c>
      <c r="B172" s="25" t="n">
        <f aca="false">SUMIFS('Détail Revenus'!$E:$E,'Détail Revenus'!$F:$F,"Passion Parfum",'Détail Revenus'!$A:$A,"&gt;="&amp;DATE(2025,2,1),'Détail Revenus'!$A:$A,"&lt;"&amp;EDATE(DATE(2025,2,1),1))</f>
        <v>0</v>
      </c>
    </row>
    <row r="173" customFormat="false" ht="15" hidden="false" customHeight="true" outlineLevel="0" collapsed="false">
      <c r="A173" s="8" t="s">
        <v>67</v>
      </c>
      <c r="B173" s="25" t="n">
        <f aca="false">SUMIFS('Détail Revenus'!$E:$E,'Détail Revenus'!$F:$F,"Passion Parfum",'Détail Revenus'!$A:$A,"&gt;="&amp;DATE(2025,3,1),'Détail Revenus'!$A:$A,"&lt;"&amp;EDATE(DATE(2025,3,1),1))</f>
        <v>0</v>
      </c>
    </row>
    <row r="174" customFormat="false" ht="15" hidden="false" customHeight="true" outlineLevel="0" collapsed="false">
      <c r="A174" s="8" t="s">
        <v>68</v>
      </c>
      <c r="B174" s="25" t="n">
        <f aca="false">SUMIFS('Détail Revenus'!$E:$E,'Détail Revenus'!$F:$F,"Passion Parfum",'Détail Revenus'!$A:$A,"&gt;="&amp;DATE(2025,4,1),'Détail Revenus'!$A:$A,"&lt;"&amp;EDATE(DATE(2025,4,1),1))</f>
        <v>3956</v>
      </c>
    </row>
    <row r="175" customFormat="false" ht="15" hidden="false" customHeight="true" outlineLevel="0" collapsed="false">
      <c r="A175" s="8" t="s">
        <v>69</v>
      </c>
      <c r="B175" s="25" t="n">
        <f aca="false">SUMIFS('Détail Revenus'!$E:$E,'Détail Revenus'!$F:$F,"Passion Parfum",'Détail Revenus'!$A:$A,"&gt;="&amp;DATE(2025,5,1),'Détail Revenus'!$A:$A,"&lt;"&amp;EDATE(DATE(2025,5,1),1))</f>
        <v>0</v>
      </c>
    </row>
    <row r="176" customFormat="false" ht="15" hidden="false" customHeight="true" outlineLevel="0" collapsed="false">
      <c r="A176" s="8" t="s">
        <v>70</v>
      </c>
      <c r="B176" s="25" t="n">
        <f aca="false">SUMIFS('Détail Revenus'!$E:$E,'Détail Revenus'!$F:$F,"Passion Parfum",'Détail Revenus'!$A:$A,"&gt;="&amp;DATE(2025,6,1),'Détail Revenus'!$A:$A,"&lt;"&amp;EDATE(DATE(2025,6,1),1))</f>
        <v>0</v>
      </c>
    </row>
    <row r="177" customFormat="false" ht="15" hidden="false" customHeight="true" outlineLevel="0" collapsed="false">
      <c r="A177" s="8" t="s">
        <v>71</v>
      </c>
      <c r="B177" s="25" t="n">
        <f aca="false">SUMIFS('Détail Revenus'!$E:$E,'Détail Revenus'!$F:$F,"Passion Parfum",'Détail Revenus'!$A:$A,"&gt;="&amp;DATE(2025,7,1),'Détail Revenus'!$A:$A,"&lt;"&amp;EDATE(DATE(2025,7,1),1))</f>
        <v>0</v>
      </c>
    </row>
    <row r="178" customFormat="false" ht="15" hidden="false" customHeight="true" outlineLevel="0" collapsed="false">
      <c r="A178" s="8" t="s">
        <v>72</v>
      </c>
      <c r="B178" s="25" t="n">
        <f aca="false">SUMIFS('Détail Revenus'!$E:$E,'Détail Revenus'!$F:$F,"Passion Parfum",'Détail Revenus'!$A:$A,"&gt;="&amp;DATE(2025,8,1),'Détail Revenus'!$A:$A,"&lt;"&amp;EDATE(DATE(2025,8,1),1))</f>
        <v>0</v>
      </c>
    </row>
    <row r="179" customFormat="false" ht="15" hidden="false" customHeight="true" outlineLevel="0" collapsed="false">
      <c r="A179" s="8" t="s">
        <v>73</v>
      </c>
      <c r="B179" s="25" t="n">
        <f aca="false">SUMIFS('Détail Revenus'!$E:$E,'Détail Revenus'!$F:$F,"Passion Parfum",'Détail Revenus'!$A:$A,"&gt;="&amp;DATE(2025,9,1),'Détail Revenus'!$A:$A,"&lt;"&amp;EDATE(DATE(2025,9,1),1))</f>
        <v>0</v>
      </c>
    </row>
    <row r="180" customFormat="false" ht="15" hidden="false" customHeight="true" outlineLevel="0" collapsed="false">
      <c r="A180" s="8" t="s">
        <v>74</v>
      </c>
      <c r="B180" s="25" t="n">
        <f aca="false">SUMIFS('Détail Revenus'!$E:$E,'Détail Revenus'!$F:$F,"Passion Parfum",'Détail Revenus'!$A:$A,"&gt;="&amp;DATE(2025,10,1),'Détail Revenus'!$A:$A,"&lt;"&amp;EDATE(DATE(2025,10,1),1))</f>
        <v>0</v>
      </c>
    </row>
    <row r="181" customFormat="false" ht="15" hidden="false" customHeight="true" outlineLevel="0" collapsed="false">
      <c r="A181" s="8" t="s">
        <v>75</v>
      </c>
      <c r="B181" s="25" t="n">
        <f aca="false">SUMIFS('Détail Revenus'!$E:$E,'Détail Revenus'!$F:$F,"Passion Parfum",'Détail Revenus'!$A:$A,"&gt;="&amp;DATE(2025,11,1),'Détail Revenus'!$A:$A,"&lt;"&amp;EDATE(DATE(2025,11,1),1))</f>
        <v>0</v>
      </c>
    </row>
    <row r="182" customFormat="false" ht="15" hidden="false" customHeight="true" outlineLevel="0" collapsed="false">
      <c r="A182" s="8" t="s">
        <v>76</v>
      </c>
      <c r="B182" s="25" t="n">
        <f aca="false">SUMIFS('Détail Revenus'!$E:$E,'Détail Revenus'!$F:$F,"Passion Parfum",'Détail Revenus'!$A:$A,"&gt;="&amp;DATE(2025,12,1),'Détail Revenus'!$A:$A,"&lt;"&amp;EDATE(DATE(2025,12,1),1))</f>
        <v>0</v>
      </c>
    </row>
    <row r="185" customFormat="false" ht="15" hidden="false" customHeight="true" outlineLevel="0" collapsed="false">
      <c r="A185" s="22" t="s">
        <v>51</v>
      </c>
      <c r="B185" s="22"/>
      <c r="C185" s="23" t="n">
        <f aca="false">SUMIF('Détail Revenus'!$F:$F,"Davidson Distributors Llc",'Détail Revenus'!$E:$E)</f>
        <v>3943</v>
      </c>
    </row>
    <row r="186" customFormat="false" ht="15" hidden="false" customHeight="true" outlineLevel="0" collapsed="false">
      <c r="A186" s="24" t="s">
        <v>63</v>
      </c>
      <c r="B186" s="24" t="s">
        <v>64</v>
      </c>
    </row>
    <row r="187" customFormat="false" ht="15" hidden="false" customHeight="true" outlineLevel="0" collapsed="false">
      <c r="A187" s="8" t="s">
        <v>65</v>
      </c>
      <c r="B187" s="25" t="n">
        <f aca="false">SUMIFS('Détail Revenus'!$E:$E,'Détail Revenus'!$F:$F,"Davidson Distributors Llc",'Détail Revenus'!$A:$A,"&gt;="&amp;DATE(2025,1,1),'Détail Revenus'!$A:$A,"&lt;"&amp;EDATE(DATE(2025,1,1),1))</f>
        <v>0</v>
      </c>
    </row>
    <row r="188" customFormat="false" ht="15" hidden="false" customHeight="true" outlineLevel="0" collapsed="false">
      <c r="A188" s="8" t="s">
        <v>66</v>
      </c>
      <c r="B188" s="25" t="n">
        <f aca="false">SUMIFS('Détail Revenus'!$E:$E,'Détail Revenus'!$F:$F,"Davidson Distributors Llc",'Détail Revenus'!$A:$A,"&gt;="&amp;DATE(2025,2,1),'Détail Revenus'!$A:$A,"&lt;"&amp;EDATE(DATE(2025,2,1),1))</f>
        <v>0</v>
      </c>
    </row>
    <row r="189" customFormat="false" ht="15" hidden="false" customHeight="true" outlineLevel="0" collapsed="false">
      <c r="A189" s="8" t="s">
        <v>67</v>
      </c>
      <c r="B189" s="25" t="n">
        <f aca="false">SUMIFS('Détail Revenus'!$E:$E,'Détail Revenus'!$F:$F,"Davidson Distributors Llc",'Détail Revenus'!$A:$A,"&gt;="&amp;DATE(2025,3,1),'Détail Revenus'!$A:$A,"&lt;"&amp;EDATE(DATE(2025,3,1),1))</f>
        <v>0</v>
      </c>
    </row>
    <row r="190" customFormat="false" ht="15" hidden="false" customHeight="true" outlineLevel="0" collapsed="false">
      <c r="A190" s="8" t="s">
        <v>68</v>
      </c>
      <c r="B190" s="25" t="n">
        <f aca="false">SUMIFS('Détail Revenus'!$E:$E,'Détail Revenus'!$F:$F,"Davidson Distributors Llc",'Détail Revenus'!$A:$A,"&gt;="&amp;DATE(2025,4,1),'Détail Revenus'!$A:$A,"&lt;"&amp;EDATE(DATE(2025,4,1),1))</f>
        <v>0</v>
      </c>
    </row>
    <row r="191" customFormat="false" ht="15" hidden="false" customHeight="true" outlineLevel="0" collapsed="false">
      <c r="A191" s="8" t="s">
        <v>69</v>
      </c>
      <c r="B191" s="25" t="n">
        <f aca="false">SUMIFS('Détail Revenus'!$E:$E,'Détail Revenus'!$F:$F,"Davidson Distributors Llc",'Détail Revenus'!$A:$A,"&gt;="&amp;DATE(2025,5,1),'Détail Revenus'!$A:$A,"&lt;"&amp;EDATE(DATE(2025,5,1),1))</f>
        <v>0</v>
      </c>
    </row>
    <row r="192" customFormat="false" ht="15" hidden="false" customHeight="true" outlineLevel="0" collapsed="false">
      <c r="A192" s="8" t="s">
        <v>70</v>
      </c>
      <c r="B192" s="25" t="n">
        <f aca="false">SUMIFS('Détail Revenus'!$E:$E,'Détail Revenus'!$F:$F,"Davidson Distributors Llc",'Détail Revenus'!$A:$A,"&gt;="&amp;DATE(2025,6,1),'Détail Revenus'!$A:$A,"&lt;"&amp;EDATE(DATE(2025,6,1),1))</f>
        <v>0</v>
      </c>
    </row>
    <row r="193" customFormat="false" ht="15" hidden="false" customHeight="true" outlineLevel="0" collapsed="false">
      <c r="A193" s="8" t="s">
        <v>71</v>
      </c>
      <c r="B193" s="25" t="n">
        <f aca="false">SUMIFS('Détail Revenus'!$E:$E,'Détail Revenus'!$F:$F,"Davidson Distributors Llc",'Détail Revenus'!$A:$A,"&gt;="&amp;DATE(2025,7,1),'Détail Revenus'!$A:$A,"&lt;"&amp;EDATE(DATE(2025,7,1),1))</f>
        <v>0</v>
      </c>
    </row>
    <row r="194" customFormat="false" ht="15" hidden="false" customHeight="true" outlineLevel="0" collapsed="false">
      <c r="A194" s="8" t="s">
        <v>72</v>
      </c>
      <c r="B194" s="25" t="n">
        <f aca="false">SUMIFS('Détail Revenus'!$E:$E,'Détail Revenus'!$F:$F,"Davidson Distributors Llc",'Détail Revenus'!$A:$A,"&gt;="&amp;DATE(2025,8,1),'Détail Revenus'!$A:$A,"&lt;"&amp;EDATE(DATE(2025,8,1),1))</f>
        <v>0</v>
      </c>
    </row>
    <row r="195" customFormat="false" ht="15" hidden="false" customHeight="true" outlineLevel="0" collapsed="false">
      <c r="A195" s="8" t="s">
        <v>73</v>
      </c>
      <c r="B195" s="25" t="n">
        <f aca="false">SUMIFS('Détail Revenus'!$E:$E,'Détail Revenus'!$F:$F,"Davidson Distributors Llc",'Détail Revenus'!$A:$A,"&gt;="&amp;DATE(2025,9,1),'Détail Revenus'!$A:$A,"&lt;"&amp;EDATE(DATE(2025,9,1),1))</f>
        <v>0</v>
      </c>
    </row>
    <row r="196" customFormat="false" ht="15" hidden="false" customHeight="true" outlineLevel="0" collapsed="false">
      <c r="A196" s="8" t="s">
        <v>74</v>
      </c>
      <c r="B196" s="25" t="n">
        <f aca="false">SUMIFS('Détail Revenus'!$E:$E,'Détail Revenus'!$F:$F,"Davidson Distributors Llc",'Détail Revenus'!$A:$A,"&gt;="&amp;DATE(2025,10,1),'Détail Revenus'!$A:$A,"&lt;"&amp;EDATE(DATE(2025,10,1),1))</f>
        <v>0</v>
      </c>
    </row>
    <row r="197" customFormat="false" ht="15" hidden="false" customHeight="true" outlineLevel="0" collapsed="false">
      <c r="A197" s="8" t="s">
        <v>75</v>
      </c>
      <c r="B197" s="25" t="n">
        <f aca="false">SUMIFS('Détail Revenus'!$E:$E,'Détail Revenus'!$F:$F,"Davidson Distributors Llc",'Détail Revenus'!$A:$A,"&gt;="&amp;DATE(2025,11,1),'Détail Revenus'!$A:$A,"&lt;"&amp;EDATE(DATE(2025,11,1),1))</f>
        <v>3943</v>
      </c>
    </row>
    <row r="198" customFormat="false" ht="15" hidden="false" customHeight="true" outlineLevel="0" collapsed="false">
      <c r="A198" s="8" t="s">
        <v>76</v>
      </c>
      <c r="B198" s="25" t="n">
        <f aca="false">SUMIFS('Détail Revenus'!$E:$E,'Détail Revenus'!$F:$F,"Davidson Distributors Llc",'Détail Revenus'!$A:$A,"&gt;="&amp;DATE(2025,12,1),'Détail Revenus'!$A:$A,"&lt;"&amp;EDATE(DATE(2025,12,1),1))</f>
        <v>0</v>
      </c>
    </row>
    <row r="201" customFormat="false" ht="15" hidden="false" customHeight="true" outlineLevel="0" collapsed="false">
      <c r="A201" s="22" t="s">
        <v>52</v>
      </c>
      <c r="B201" s="22"/>
      <c r="C201" s="23" t="n">
        <f aca="false">SUMIF('Détail Revenus'!$F:$F,"Ventes en ligne (boutique Shopify)",'Détail Revenus'!$E:$E)</f>
        <v>3837.23</v>
      </c>
    </row>
    <row r="202" customFormat="false" ht="15" hidden="false" customHeight="true" outlineLevel="0" collapsed="false">
      <c r="A202" s="26" t="s">
        <v>77</v>
      </c>
      <c r="B202" s="26" t="s">
        <v>84</v>
      </c>
    </row>
    <row r="203" customFormat="false" ht="15" hidden="false" customHeight="true" outlineLevel="0" collapsed="false">
      <c r="A203" s="24" t="s">
        <v>63</v>
      </c>
      <c r="B203" s="24" t="s">
        <v>64</v>
      </c>
    </row>
    <row r="204" customFormat="false" ht="15" hidden="false" customHeight="true" outlineLevel="0" collapsed="false">
      <c r="A204" s="8" t="s">
        <v>65</v>
      </c>
      <c r="B204" s="25" t="n">
        <f aca="false">SUMIFS('Détail Revenus'!$E:$E,'Détail Revenus'!$F:$F,"Ventes en ligne (boutique Shopify)",'Détail Revenus'!$A:$A,"&gt;="&amp;DATE(2025,1,1),'Détail Revenus'!$A:$A,"&lt;"&amp;EDATE(DATE(2025,1,1),1))</f>
        <v>60.72</v>
      </c>
    </row>
    <row r="205" customFormat="false" ht="15" hidden="false" customHeight="true" outlineLevel="0" collapsed="false">
      <c r="A205" s="8" t="s">
        <v>66</v>
      </c>
      <c r="B205" s="25" t="n">
        <f aca="false">SUMIFS('Détail Revenus'!$E:$E,'Détail Revenus'!$F:$F,"Ventes en ligne (boutique Shopify)",'Détail Revenus'!$A:$A,"&gt;="&amp;DATE(2025,2,1),'Détail Revenus'!$A:$A,"&lt;"&amp;EDATE(DATE(2025,2,1),1))</f>
        <v>0</v>
      </c>
    </row>
    <row r="206" customFormat="false" ht="15" hidden="false" customHeight="true" outlineLevel="0" collapsed="false">
      <c r="A206" s="8" t="s">
        <v>67</v>
      </c>
      <c r="B206" s="25" t="n">
        <f aca="false">SUMIFS('Détail Revenus'!$E:$E,'Détail Revenus'!$F:$F,"Ventes en ligne (boutique Shopify)",'Détail Revenus'!$A:$A,"&gt;="&amp;DATE(2025,3,1),'Détail Revenus'!$A:$A,"&lt;"&amp;EDATE(DATE(2025,3,1),1))</f>
        <v>253.22</v>
      </c>
    </row>
    <row r="207" customFormat="false" ht="15" hidden="false" customHeight="true" outlineLevel="0" collapsed="false">
      <c r="A207" s="8" t="s">
        <v>68</v>
      </c>
      <c r="B207" s="25" t="n">
        <f aca="false">SUMIFS('Détail Revenus'!$E:$E,'Détail Revenus'!$F:$F,"Ventes en ligne (boutique Shopify)",'Détail Revenus'!$A:$A,"&gt;="&amp;DATE(2025,4,1),'Détail Revenus'!$A:$A,"&lt;"&amp;EDATE(DATE(2025,4,1),1))</f>
        <v>397.12</v>
      </c>
    </row>
    <row r="208" customFormat="false" ht="15" hidden="false" customHeight="true" outlineLevel="0" collapsed="false">
      <c r="A208" s="8" t="s">
        <v>69</v>
      </c>
      <c r="B208" s="25" t="n">
        <f aca="false">SUMIFS('Détail Revenus'!$E:$E,'Détail Revenus'!$F:$F,"Ventes en ligne (boutique Shopify)",'Détail Revenus'!$A:$A,"&gt;="&amp;DATE(2025,5,1),'Détail Revenus'!$A:$A,"&lt;"&amp;EDATE(DATE(2025,5,1),1))</f>
        <v>126.61</v>
      </c>
    </row>
    <row r="209" customFormat="false" ht="15" hidden="false" customHeight="true" outlineLevel="0" collapsed="false">
      <c r="A209" s="8" t="s">
        <v>70</v>
      </c>
      <c r="B209" s="25" t="n">
        <f aca="false">SUMIFS('Détail Revenus'!$E:$E,'Détail Revenus'!$F:$F,"Ventes en ligne (boutique Shopify)",'Détail Revenus'!$A:$A,"&gt;="&amp;DATE(2025,6,1),'Détail Revenus'!$A:$A,"&lt;"&amp;EDATE(DATE(2025,6,1),1))</f>
        <v>411.31</v>
      </c>
    </row>
    <row r="210" customFormat="false" ht="15" hidden="false" customHeight="true" outlineLevel="0" collapsed="false">
      <c r="A210" s="8" t="s">
        <v>71</v>
      </c>
      <c r="B210" s="25" t="n">
        <f aca="false">SUMIFS('Détail Revenus'!$E:$E,'Détail Revenus'!$F:$F,"Ventes en ligne (boutique Shopify)",'Détail Revenus'!$A:$A,"&gt;="&amp;DATE(2025,7,1),'Détail Revenus'!$A:$A,"&lt;"&amp;EDATE(DATE(2025,7,1),1))</f>
        <v>0</v>
      </c>
    </row>
    <row r="211" customFormat="false" ht="15" hidden="false" customHeight="true" outlineLevel="0" collapsed="false">
      <c r="A211" s="8" t="s">
        <v>72</v>
      </c>
      <c r="B211" s="25" t="n">
        <f aca="false">SUMIFS('Détail Revenus'!$E:$E,'Détail Revenus'!$F:$F,"Ventes en ligne (boutique Shopify)",'Détail Revenus'!$A:$A,"&gt;="&amp;DATE(2025,8,1),'Détail Revenus'!$A:$A,"&lt;"&amp;EDATE(DATE(2025,8,1),1))</f>
        <v>406.5</v>
      </c>
    </row>
    <row r="212" customFormat="false" ht="15" hidden="false" customHeight="true" outlineLevel="0" collapsed="false">
      <c r="A212" s="8" t="s">
        <v>73</v>
      </c>
      <c r="B212" s="25" t="n">
        <f aca="false">SUMIFS('Détail Revenus'!$E:$E,'Détail Revenus'!$F:$F,"Ventes en ligne (boutique Shopify)",'Détail Revenus'!$A:$A,"&gt;="&amp;DATE(2025,9,1),'Détail Revenus'!$A:$A,"&lt;"&amp;EDATE(DATE(2025,9,1),1))</f>
        <v>428.56</v>
      </c>
    </row>
    <row r="213" customFormat="false" ht="15" hidden="false" customHeight="true" outlineLevel="0" collapsed="false">
      <c r="A213" s="8" t="s">
        <v>74</v>
      </c>
      <c r="B213" s="25" t="n">
        <f aca="false">SUMIFS('Détail Revenus'!$E:$E,'Détail Revenus'!$F:$F,"Ventes en ligne (boutique Shopify)",'Détail Revenus'!$A:$A,"&gt;="&amp;DATE(2025,10,1),'Détail Revenus'!$A:$A,"&lt;"&amp;EDATE(DATE(2025,10,1),1))</f>
        <v>386.6</v>
      </c>
    </row>
    <row r="214" customFormat="false" ht="15" hidden="false" customHeight="true" outlineLevel="0" collapsed="false">
      <c r="A214" s="8" t="s">
        <v>75</v>
      </c>
      <c r="B214" s="25" t="n">
        <f aca="false">SUMIFS('Détail Revenus'!$E:$E,'Détail Revenus'!$F:$F,"Ventes en ligne (boutique Shopify)",'Détail Revenus'!$A:$A,"&gt;="&amp;DATE(2025,11,1),'Détail Revenus'!$A:$A,"&lt;"&amp;EDATE(DATE(2025,11,1),1))</f>
        <v>244.41</v>
      </c>
    </row>
    <row r="215" customFormat="false" ht="15" hidden="false" customHeight="true" outlineLevel="0" collapsed="false">
      <c r="A215" s="8" t="s">
        <v>76</v>
      </c>
      <c r="B215" s="25" t="n">
        <f aca="false">SUMIFS('Détail Revenus'!$E:$E,'Détail Revenus'!$F:$F,"Ventes en ligne (boutique Shopify)",'Détail Revenus'!$A:$A,"&gt;="&amp;DATE(2025,12,1),'Détail Revenus'!$A:$A,"&lt;"&amp;EDATE(DATE(2025,12,1),1))</f>
        <v>1122.18</v>
      </c>
    </row>
    <row r="218" customFormat="false" ht="15" hidden="false" customHeight="true" outlineLevel="0" collapsed="false">
      <c r="A218" s="22" t="s">
        <v>53</v>
      </c>
      <c r="B218" s="22"/>
      <c r="C218" s="23" t="n">
        <f aca="false">SUMIF('Détail Revenus'!$F:$F,"Mb Tressoria",'Détail Revenus'!$E:$E)</f>
        <v>1202</v>
      </c>
    </row>
    <row r="219" customFormat="false" ht="15" hidden="false" customHeight="true" outlineLevel="0" collapsed="false">
      <c r="A219" s="24" t="s">
        <v>63</v>
      </c>
      <c r="B219" s="24" t="s">
        <v>64</v>
      </c>
    </row>
    <row r="220" customFormat="false" ht="15" hidden="false" customHeight="true" outlineLevel="0" collapsed="false">
      <c r="A220" s="8" t="s">
        <v>65</v>
      </c>
      <c r="B220" s="25" t="n">
        <f aca="false">SUMIFS('Détail Revenus'!$E:$E,'Détail Revenus'!$F:$F,"Mb Tressoria",'Détail Revenus'!$A:$A,"&gt;="&amp;DATE(2025,1,1),'Détail Revenus'!$A:$A,"&lt;"&amp;EDATE(DATE(2025,1,1),1))</f>
        <v>0</v>
      </c>
    </row>
    <row r="221" customFormat="false" ht="15" hidden="false" customHeight="true" outlineLevel="0" collapsed="false">
      <c r="A221" s="8" t="s">
        <v>66</v>
      </c>
      <c r="B221" s="25" t="n">
        <f aca="false">SUMIFS('Détail Revenus'!$E:$E,'Détail Revenus'!$F:$F,"Mb Tressoria",'Détail Revenus'!$A:$A,"&gt;="&amp;DATE(2025,2,1),'Détail Revenus'!$A:$A,"&lt;"&amp;EDATE(DATE(2025,2,1),1))</f>
        <v>0</v>
      </c>
    </row>
    <row r="222" customFormat="false" ht="15" hidden="false" customHeight="true" outlineLevel="0" collapsed="false">
      <c r="A222" s="8" t="s">
        <v>67</v>
      </c>
      <c r="B222" s="25" t="n">
        <f aca="false">SUMIFS('Détail Revenus'!$E:$E,'Détail Revenus'!$F:$F,"Mb Tressoria",'Détail Revenus'!$A:$A,"&gt;="&amp;DATE(2025,3,1),'Détail Revenus'!$A:$A,"&lt;"&amp;EDATE(DATE(2025,3,1),1))</f>
        <v>0</v>
      </c>
    </row>
    <row r="223" customFormat="false" ht="15" hidden="false" customHeight="true" outlineLevel="0" collapsed="false">
      <c r="A223" s="8" t="s">
        <v>68</v>
      </c>
      <c r="B223" s="25" t="n">
        <f aca="false">SUMIFS('Détail Revenus'!$E:$E,'Détail Revenus'!$F:$F,"Mb Tressoria",'Détail Revenus'!$A:$A,"&gt;="&amp;DATE(2025,4,1),'Détail Revenus'!$A:$A,"&lt;"&amp;EDATE(DATE(2025,4,1),1))</f>
        <v>0</v>
      </c>
    </row>
    <row r="224" customFormat="false" ht="15" hidden="false" customHeight="true" outlineLevel="0" collapsed="false">
      <c r="A224" s="8" t="s">
        <v>69</v>
      </c>
      <c r="B224" s="25" t="n">
        <f aca="false">SUMIFS('Détail Revenus'!$E:$E,'Détail Revenus'!$F:$F,"Mb Tressoria",'Détail Revenus'!$A:$A,"&gt;="&amp;DATE(2025,5,1),'Détail Revenus'!$A:$A,"&lt;"&amp;EDATE(DATE(2025,5,1),1))</f>
        <v>0</v>
      </c>
    </row>
    <row r="225" customFormat="false" ht="15" hidden="false" customHeight="true" outlineLevel="0" collapsed="false">
      <c r="A225" s="8" t="s">
        <v>70</v>
      </c>
      <c r="B225" s="25" t="n">
        <f aca="false">SUMIFS('Détail Revenus'!$E:$E,'Détail Revenus'!$F:$F,"Mb Tressoria",'Détail Revenus'!$A:$A,"&gt;="&amp;DATE(2025,6,1),'Détail Revenus'!$A:$A,"&lt;"&amp;EDATE(DATE(2025,6,1),1))</f>
        <v>0</v>
      </c>
    </row>
    <row r="226" customFormat="false" ht="15" hidden="false" customHeight="true" outlineLevel="0" collapsed="false">
      <c r="A226" s="8" t="s">
        <v>71</v>
      </c>
      <c r="B226" s="25" t="n">
        <f aca="false">SUMIFS('Détail Revenus'!$E:$E,'Détail Revenus'!$F:$F,"Mb Tressoria",'Détail Revenus'!$A:$A,"&gt;="&amp;DATE(2025,7,1),'Détail Revenus'!$A:$A,"&lt;"&amp;EDATE(DATE(2025,7,1),1))</f>
        <v>0</v>
      </c>
    </row>
    <row r="227" customFormat="false" ht="15" hidden="false" customHeight="true" outlineLevel="0" collapsed="false">
      <c r="A227" s="8" t="s">
        <v>72</v>
      </c>
      <c r="B227" s="25" t="n">
        <f aca="false">SUMIFS('Détail Revenus'!$E:$E,'Détail Revenus'!$F:$F,"Mb Tressoria",'Détail Revenus'!$A:$A,"&gt;="&amp;DATE(2025,8,1),'Détail Revenus'!$A:$A,"&lt;"&amp;EDATE(DATE(2025,8,1),1))</f>
        <v>0</v>
      </c>
    </row>
    <row r="228" customFormat="false" ht="15" hidden="false" customHeight="true" outlineLevel="0" collapsed="false">
      <c r="A228" s="8" t="s">
        <v>73</v>
      </c>
      <c r="B228" s="25" t="n">
        <f aca="false">SUMIFS('Détail Revenus'!$E:$E,'Détail Revenus'!$F:$F,"Mb Tressoria",'Détail Revenus'!$A:$A,"&gt;="&amp;DATE(2025,9,1),'Détail Revenus'!$A:$A,"&lt;"&amp;EDATE(DATE(2025,9,1),1))</f>
        <v>0</v>
      </c>
    </row>
    <row r="229" customFormat="false" ht="15" hidden="false" customHeight="true" outlineLevel="0" collapsed="false">
      <c r="A229" s="8" t="s">
        <v>74</v>
      </c>
      <c r="B229" s="25" t="n">
        <f aca="false">SUMIFS('Détail Revenus'!$E:$E,'Détail Revenus'!$F:$F,"Mb Tressoria",'Détail Revenus'!$A:$A,"&gt;="&amp;DATE(2025,10,1),'Détail Revenus'!$A:$A,"&lt;"&amp;EDATE(DATE(2025,10,1),1))</f>
        <v>0</v>
      </c>
    </row>
    <row r="230" customFormat="false" ht="15" hidden="false" customHeight="true" outlineLevel="0" collapsed="false">
      <c r="A230" s="8" t="s">
        <v>75</v>
      </c>
      <c r="B230" s="25" t="n">
        <f aca="false">SUMIFS('Détail Revenus'!$E:$E,'Détail Revenus'!$F:$F,"Mb Tressoria",'Détail Revenus'!$A:$A,"&gt;="&amp;DATE(2025,11,1),'Détail Revenus'!$A:$A,"&lt;"&amp;EDATE(DATE(2025,11,1),1))</f>
        <v>1202</v>
      </c>
    </row>
    <row r="231" customFormat="false" ht="15" hidden="false" customHeight="true" outlineLevel="0" collapsed="false">
      <c r="A231" s="8" t="s">
        <v>76</v>
      </c>
      <c r="B231" s="25" t="n">
        <f aca="false">SUMIFS('Détail Revenus'!$E:$E,'Détail Revenus'!$F:$F,"Mb Tressoria",'Détail Revenus'!$A:$A,"&gt;="&amp;DATE(2025,12,1),'Détail Revenus'!$A:$A,"&lt;"&amp;EDATE(DATE(2025,12,1),1))</f>
        <v>0</v>
      </c>
    </row>
    <row r="234" customFormat="false" ht="15" hidden="false" customHeight="true" outlineLevel="0" collapsed="false">
      <c r="A234" s="22" t="s">
        <v>54</v>
      </c>
      <c r="B234" s="22"/>
      <c r="C234" s="23" t="n">
        <f aca="false">SUMIF('Détail Revenus'!$F:$F,"Npj Trading Limited",'Détail Revenus'!$E:$E)</f>
        <v>874</v>
      </c>
    </row>
    <row r="235" customFormat="false" ht="15" hidden="false" customHeight="true" outlineLevel="0" collapsed="false">
      <c r="A235" s="24" t="s">
        <v>63</v>
      </c>
      <c r="B235" s="24" t="s">
        <v>64</v>
      </c>
    </row>
    <row r="236" customFormat="false" ht="15" hidden="false" customHeight="true" outlineLevel="0" collapsed="false">
      <c r="A236" s="8" t="s">
        <v>65</v>
      </c>
      <c r="B236" s="25" t="n">
        <f aca="false">SUMIFS('Détail Revenus'!$E:$E,'Détail Revenus'!$F:$F,"Npj Trading Limited",'Détail Revenus'!$A:$A,"&gt;="&amp;DATE(2025,1,1),'Détail Revenus'!$A:$A,"&lt;"&amp;EDATE(DATE(2025,1,1),1))</f>
        <v>874</v>
      </c>
    </row>
    <row r="237" customFormat="false" ht="15" hidden="false" customHeight="true" outlineLevel="0" collapsed="false">
      <c r="A237" s="8" t="s">
        <v>66</v>
      </c>
      <c r="B237" s="25" t="n">
        <f aca="false">SUMIFS('Détail Revenus'!$E:$E,'Détail Revenus'!$F:$F,"Npj Trading Limited",'Détail Revenus'!$A:$A,"&gt;="&amp;DATE(2025,2,1),'Détail Revenus'!$A:$A,"&lt;"&amp;EDATE(DATE(2025,2,1),1))</f>
        <v>0</v>
      </c>
    </row>
    <row r="238" customFormat="false" ht="15" hidden="false" customHeight="true" outlineLevel="0" collapsed="false">
      <c r="A238" s="8" t="s">
        <v>67</v>
      </c>
      <c r="B238" s="25" t="n">
        <f aca="false">SUMIFS('Détail Revenus'!$E:$E,'Détail Revenus'!$F:$F,"Npj Trading Limited",'Détail Revenus'!$A:$A,"&gt;="&amp;DATE(2025,3,1),'Détail Revenus'!$A:$A,"&lt;"&amp;EDATE(DATE(2025,3,1),1))</f>
        <v>0</v>
      </c>
    </row>
    <row r="239" customFormat="false" ht="15" hidden="false" customHeight="true" outlineLevel="0" collapsed="false">
      <c r="A239" s="8" t="s">
        <v>68</v>
      </c>
      <c r="B239" s="25" t="n">
        <f aca="false">SUMIFS('Détail Revenus'!$E:$E,'Détail Revenus'!$F:$F,"Npj Trading Limited",'Détail Revenus'!$A:$A,"&gt;="&amp;DATE(2025,4,1),'Détail Revenus'!$A:$A,"&lt;"&amp;EDATE(DATE(2025,4,1),1))</f>
        <v>0</v>
      </c>
    </row>
    <row r="240" customFormat="false" ht="15" hidden="false" customHeight="true" outlineLevel="0" collapsed="false">
      <c r="A240" s="8" t="s">
        <v>69</v>
      </c>
      <c r="B240" s="25" t="n">
        <f aca="false">SUMIFS('Détail Revenus'!$E:$E,'Détail Revenus'!$F:$F,"Npj Trading Limited",'Détail Revenus'!$A:$A,"&gt;="&amp;DATE(2025,5,1),'Détail Revenus'!$A:$A,"&lt;"&amp;EDATE(DATE(2025,5,1),1))</f>
        <v>0</v>
      </c>
    </row>
    <row r="241" customFormat="false" ht="15" hidden="false" customHeight="true" outlineLevel="0" collapsed="false">
      <c r="A241" s="8" t="s">
        <v>70</v>
      </c>
      <c r="B241" s="25" t="n">
        <f aca="false">SUMIFS('Détail Revenus'!$E:$E,'Détail Revenus'!$F:$F,"Npj Trading Limited",'Détail Revenus'!$A:$A,"&gt;="&amp;DATE(2025,6,1),'Détail Revenus'!$A:$A,"&lt;"&amp;EDATE(DATE(2025,6,1),1))</f>
        <v>0</v>
      </c>
    </row>
    <row r="242" customFormat="false" ht="15" hidden="false" customHeight="true" outlineLevel="0" collapsed="false">
      <c r="A242" s="8" t="s">
        <v>71</v>
      </c>
      <c r="B242" s="25" t="n">
        <f aca="false">SUMIFS('Détail Revenus'!$E:$E,'Détail Revenus'!$F:$F,"Npj Trading Limited",'Détail Revenus'!$A:$A,"&gt;="&amp;DATE(2025,7,1),'Détail Revenus'!$A:$A,"&lt;"&amp;EDATE(DATE(2025,7,1),1))</f>
        <v>0</v>
      </c>
    </row>
    <row r="243" customFormat="false" ht="15" hidden="false" customHeight="true" outlineLevel="0" collapsed="false">
      <c r="A243" s="8" t="s">
        <v>72</v>
      </c>
      <c r="B243" s="25" t="n">
        <f aca="false">SUMIFS('Détail Revenus'!$E:$E,'Détail Revenus'!$F:$F,"Npj Trading Limited",'Détail Revenus'!$A:$A,"&gt;="&amp;DATE(2025,8,1),'Détail Revenus'!$A:$A,"&lt;"&amp;EDATE(DATE(2025,8,1),1))</f>
        <v>0</v>
      </c>
    </row>
    <row r="244" customFormat="false" ht="15" hidden="false" customHeight="true" outlineLevel="0" collapsed="false">
      <c r="A244" s="8" t="s">
        <v>73</v>
      </c>
      <c r="B244" s="25" t="n">
        <f aca="false">SUMIFS('Détail Revenus'!$E:$E,'Détail Revenus'!$F:$F,"Npj Trading Limited",'Détail Revenus'!$A:$A,"&gt;="&amp;DATE(2025,9,1),'Détail Revenus'!$A:$A,"&lt;"&amp;EDATE(DATE(2025,9,1),1))</f>
        <v>0</v>
      </c>
    </row>
    <row r="245" customFormat="false" ht="15" hidden="false" customHeight="true" outlineLevel="0" collapsed="false">
      <c r="A245" s="8" t="s">
        <v>74</v>
      </c>
      <c r="B245" s="25" t="n">
        <f aca="false">SUMIFS('Détail Revenus'!$E:$E,'Détail Revenus'!$F:$F,"Npj Trading Limited",'Détail Revenus'!$A:$A,"&gt;="&amp;DATE(2025,10,1),'Détail Revenus'!$A:$A,"&lt;"&amp;EDATE(DATE(2025,10,1),1))</f>
        <v>0</v>
      </c>
    </row>
    <row r="246" customFormat="false" ht="15" hidden="false" customHeight="true" outlineLevel="0" collapsed="false">
      <c r="A246" s="8" t="s">
        <v>75</v>
      </c>
      <c r="B246" s="25" t="n">
        <f aca="false">SUMIFS('Détail Revenus'!$E:$E,'Détail Revenus'!$F:$F,"Npj Trading Limited",'Détail Revenus'!$A:$A,"&gt;="&amp;DATE(2025,11,1),'Détail Revenus'!$A:$A,"&lt;"&amp;EDATE(DATE(2025,11,1),1))</f>
        <v>0</v>
      </c>
    </row>
    <row r="247" customFormat="false" ht="15" hidden="false" customHeight="true" outlineLevel="0" collapsed="false">
      <c r="A247" s="8" t="s">
        <v>76</v>
      </c>
      <c r="B247" s="25" t="n">
        <f aca="false">SUMIFS('Détail Revenus'!$E:$E,'Détail Revenus'!$F:$F,"Npj Trading Limited",'Détail Revenus'!$A:$A,"&gt;="&amp;DATE(2025,12,1),'Détail Revenus'!$A:$A,"&lt;"&amp;EDATE(DATE(2025,12,1),1))</f>
        <v>0</v>
      </c>
    </row>
    <row r="250" customFormat="false" ht="15" hidden="false" customHeight="true" outlineLevel="0" collapsed="false">
      <c r="A250" s="27" t="s">
        <v>55</v>
      </c>
      <c r="C250" s="23" t="n">
        <f aca="false">SUMIF('Détail Revenus'!$F:$F,"Remboursement TVA",'Détail Revenus'!$E:E)</f>
        <v>3000</v>
      </c>
    </row>
    <row r="251" customFormat="false" ht="15" hidden="false" customHeight="true" outlineLevel="0" collapsed="false">
      <c r="A251" s="24" t="s">
        <v>63</v>
      </c>
      <c r="B251" s="24" t="s">
        <v>64</v>
      </c>
    </row>
    <row r="252" customFormat="false" ht="15" hidden="false" customHeight="true" outlineLevel="0" collapsed="false">
      <c r="A252" s="8" t="s">
        <v>65</v>
      </c>
      <c r="B252" s="25" t="n">
        <f aca="false">SUMIFS('Détail Revenus'!$E:$E,'Détail Revenus'!$F:$F,"Remboursement TVA",'Détail Revenus'!$A:$A,"&gt;="&amp;DATE(2025,1,1),'Détail Revenus'!$A:$A,"&lt;"&amp;EDATE(DATE(2025,1,1),1))</f>
        <v>3000</v>
      </c>
    </row>
    <row r="253" customFormat="false" ht="15" hidden="false" customHeight="true" outlineLevel="0" collapsed="false">
      <c r="A253" s="8" t="s">
        <v>66</v>
      </c>
      <c r="B253" s="25" t="n">
        <f aca="false">SUMIFS('Détail Revenus'!$E:$E,'Détail Revenus'!$F:$F,"Remboursement TVA",'Détail Revenus'!$A:$A,"&gt;="&amp;DATE(2025,2,1),'Détail Revenus'!$A:$A,"&lt;"&amp;EDATE(DATE(2025,2,1),1))</f>
        <v>0</v>
      </c>
    </row>
    <row r="254" customFormat="false" ht="15" hidden="false" customHeight="true" outlineLevel="0" collapsed="false">
      <c r="A254" s="8" t="s">
        <v>67</v>
      </c>
      <c r="B254" s="25" t="n">
        <f aca="false">SUMIFS('Détail Revenus'!$E:$E,'Détail Revenus'!$F:$F,"Remboursement TVA",'Détail Revenus'!$A:$A,"&gt;="&amp;DATE(2025,3,1),'Détail Revenus'!$A:$A,"&lt;"&amp;EDATE(DATE(2025,3,1),1))</f>
        <v>0</v>
      </c>
    </row>
    <row r="255" customFormat="false" ht="15" hidden="false" customHeight="true" outlineLevel="0" collapsed="false">
      <c r="A255" s="8" t="s">
        <v>68</v>
      </c>
      <c r="B255" s="25" t="n">
        <f aca="false">SUMIFS('Détail Revenus'!$E:$E,'Détail Revenus'!$F:$F,"Remboursement TVA",'Détail Revenus'!$A:$A,"&gt;="&amp;DATE(2025,4,1),'Détail Revenus'!$A:$A,"&lt;"&amp;EDATE(DATE(2025,4,1),1))</f>
        <v>0</v>
      </c>
    </row>
    <row r="256" customFormat="false" ht="15" hidden="false" customHeight="true" outlineLevel="0" collapsed="false">
      <c r="A256" s="8" t="s">
        <v>69</v>
      </c>
      <c r="B256" s="25" t="n">
        <f aca="false">SUMIFS('Détail Revenus'!$E:$E,'Détail Revenus'!$F:$F,"Remboursement TVA",'Détail Revenus'!$A:$A,"&gt;="&amp;DATE(2025,5,1),'Détail Revenus'!$A:$A,"&lt;"&amp;EDATE(DATE(2025,5,1),1))</f>
        <v>0</v>
      </c>
    </row>
    <row r="257" customFormat="false" ht="15" hidden="false" customHeight="true" outlineLevel="0" collapsed="false">
      <c r="A257" s="8" t="s">
        <v>70</v>
      </c>
      <c r="B257" s="25" t="n">
        <f aca="false">SUMIFS('Détail Revenus'!$E:$E,'Détail Revenus'!$F:$F,"Remboursement TVA",'Détail Revenus'!$A:$A,"&gt;="&amp;DATE(2025,6,1),'Détail Revenus'!$A:$A,"&lt;"&amp;EDATE(DATE(2025,6,1),1))</f>
        <v>0</v>
      </c>
    </row>
    <row r="258" customFormat="false" ht="15" hidden="false" customHeight="true" outlineLevel="0" collapsed="false">
      <c r="A258" s="8" t="s">
        <v>71</v>
      </c>
      <c r="B258" s="25" t="n">
        <f aca="false">SUMIFS('Détail Revenus'!$E:$E,'Détail Revenus'!$F:$F,"Remboursement TVA",'Détail Revenus'!$A:$A,"&gt;="&amp;DATE(2025,7,1),'Détail Revenus'!$A:$A,"&lt;"&amp;EDATE(DATE(2025,7,1),1))</f>
        <v>0</v>
      </c>
    </row>
    <row r="259" customFormat="false" ht="15" hidden="false" customHeight="true" outlineLevel="0" collapsed="false">
      <c r="A259" s="8" t="s">
        <v>72</v>
      </c>
      <c r="B259" s="25" t="n">
        <f aca="false">SUMIFS('Détail Revenus'!$E:$E,'Détail Revenus'!$F:$F,"Remboursement TVA",'Détail Revenus'!$A:$A,"&gt;="&amp;DATE(2025,8,1),'Détail Revenus'!$A:$A,"&lt;"&amp;EDATE(DATE(2025,8,1),1))</f>
        <v>0</v>
      </c>
    </row>
    <row r="260" customFormat="false" ht="15" hidden="false" customHeight="true" outlineLevel="0" collapsed="false">
      <c r="A260" s="8" t="s">
        <v>73</v>
      </c>
      <c r="B260" s="25" t="n">
        <f aca="false">SUMIFS('Détail Revenus'!$E:$E,'Détail Revenus'!$F:$F,"Remboursement TVA",'Détail Revenus'!$A:$A,"&gt;="&amp;DATE(2025,9,1),'Détail Revenus'!$A:$A,"&lt;"&amp;EDATE(DATE(2025,9,1),1))</f>
        <v>0</v>
      </c>
    </row>
    <row r="261" customFormat="false" ht="15" hidden="false" customHeight="true" outlineLevel="0" collapsed="false">
      <c r="A261" s="8" t="s">
        <v>74</v>
      </c>
      <c r="B261" s="25" t="n">
        <f aca="false">SUMIFS('Détail Revenus'!$E:$E,'Détail Revenus'!$F:$F,"Remboursement TVA",'Détail Revenus'!$A:$A,"&gt;="&amp;DATE(2025,10,1),'Détail Revenus'!$A:$A,"&lt;"&amp;EDATE(DATE(2025,10,1),1))</f>
        <v>0</v>
      </c>
    </row>
    <row r="262" customFormat="false" ht="15" hidden="false" customHeight="true" outlineLevel="0" collapsed="false">
      <c r="A262" s="8" t="s">
        <v>75</v>
      </c>
      <c r="B262" s="25" t="n">
        <f aca="false">SUMIFS('Détail Revenus'!$E:$E,'Détail Revenus'!$F:$F,"Remboursement TVA",'Détail Revenus'!$A:$A,"&gt;="&amp;DATE(2025,11,1),'Détail Revenus'!$A:$A,"&lt;"&amp;EDATE(DATE(2025,11,1),1))</f>
        <v>0</v>
      </c>
    </row>
    <row r="263" customFormat="false" ht="15" hidden="false" customHeight="true" outlineLevel="0" collapsed="false">
      <c r="A263" s="8" t="s">
        <v>76</v>
      </c>
      <c r="B263" s="25" t="n">
        <f aca="false">SUMIFS('Détail Revenus'!$E:$E,'Détail Revenus'!$F:$F,"Remboursement TVA",'Détail Revenus'!$A:$A,"&gt;="&amp;DATE(2025,12,1),'Détail Revenus'!$A:$A,"&lt;"&amp;EDATE(DATE(2025,12,1),1))</f>
        <v>0</v>
      </c>
    </row>
    <row r="266" customFormat="false" ht="15" hidden="false" customHeight="true" outlineLevel="0" collapsed="false">
      <c r="A266" s="27" t="s">
        <v>56</v>
      </c>
      <c r="C266" s="23" t="n">
        <f aca="false">SUMIF('Détail Revenus'!$F:$F,"Perfumeparadise Aps",'Détail Revenus'!$E:E)</f>
        <v>1511</v>
      </c>
    </row>
    <row r="267" customFormat="false" ht="15" hidden="false" customHeight="true" outlineLevel="0" collapsed="false">
      <c r="A267" s="24" t="s">
        <v>63</v>
      </c>
      <c r="B267" s="24" t="s">
        <v>64</v>
      </c>
    </row>
    <row r="268" customFormat="false" ht="15" hidden="false" customHeight="true" outlineLevel="0" collapsed="false">
      <c r="A268" s="8" t="s">
        <v>65</v>
      </c>
      <c r="B268" s="25" t="n">
        <f aca="false">SUMIFS('Détail Revenus'!$E:$E,'Détail Revenus'!$F:$F,"Perfumeparadise Aps",'Détail Revenus'!$A:$A,"&gt;="&amp;DATE(2025,1,1),'Détail Revenus'!$A:$A,"&lt;"&amp;EDATE(DATE(2025,1,1),1))</f>
        <v>0</v>
      </c>
    </row>
    <row r="269" customFormat="false" ht="15" hidden="false" customHeight="true" outlineLevel="0" collapsed="false">
      <c r="A269" s="8" t="s">
        <v>66</v>
      </c>
      <c r="B269" s="25" t="n">
        <f aca="false">SUMIFS('Détail Revenus'!$E:$E,'Détail Revenus'!$F:$F,"Perfumeparadise Aps",'Détail Revenus'!$A:$A,"&gt;="&amp;DATE(2025,2,1),'Détail Revenus'!$A:$A,"&lt;"&amp;EDATE(DATE(2025,2,1),1))</f>
        <v>0</v>
      </c>
    </row>
    <row r="270" customFormat="false" ht="15" hidden="false" customHeight="true" outlineLevel="0" collapsed="false">
      <c r="A270" s="8" t="s">
        <v>67</v>
      </c>
      <c r="B270" s="25" t="n">
        <f aca="false">SUMIFS('Détail Revenus'!$E:$E,'Détail Revenus'!$F:$F,"Perfumeparadise Aps",'Détail Revenus'!$A:$A,"&gt;="&amp;DATE(2025,3,1),'Détail Revenus'!$A:$A,"&lt;"&amp;EDATE(DATE(2025,3,1),1))</f>
        <v>1511</v>
      </c>
    </row>
    <row r="271" customFormat="false" ht="15" hidden="false" customHeight="true" outlineLevel="0" collapsed="false">
      <c r="A271" s="8" t="s">
        <v>68</v>
      </c>
      <c r="B271" s="25" t="n">
        <f aca="false">SUMIFS('Détail Revenus'!$E:$E,'Détail Revenus'!$F:$F,"Perfumeparadise Aps",'Détail Revenus'!$A:$A,"&gt;="&amp;DATE(2025,4,1),'Détail Revenus'!$A:$A,"&lt;"&amp;EDATE(DATE(2025,4,1),1))</f>
        <v>0</v>
      </c>
    </row>
    <row r="272" customFormat="false" ht="15" hidden="false" customHeight="true" outlineLevel="0" collapsed="false">
      <c r="A272" s="8" t="s">
        <v>69</v>
      </c>
      <c r="B272" s="25" t="n">
        <f aca="false">SUMIFS('Détail Revenus'!$E:$E,'Détail Revenus'!$F:$F,"Perfumeparadise Aps",'Détail Revenus'!$A:$A,"&gt;="&amp;DATE(2025,5,1),'Détail Revenus'!$A:$A,"&lt;"&amp;EDATE(DATE(2025,5,1),1))</f>
        <v>0</v>
      </c>
    </row>
    <row r="273" customFormat="false" ht="15" hidden="false" customHeight="true" outlineLevel="0" collapsed="false">
      <c r="A273" s="8" t="s">
        <v>70</v>
      </c>
      <c r="B273" s="25" t="n">
        <f aca="false">SUMIFS('Détail Revenus'!$E:$E,'Détail Revenus'!$F:$F,"Perfumeparadise Aps",'Détail Revenus'!$A:$A,"&gt;="&amp;DATE(2025,6,1),'Détail Revenus'!$A:$A,"&lt;"&amp;EDATE(DATE(2025,6,1),1))</f>
        <v>0</v>
      </c>
    </row>
    <row r="274" customFormat="false" ht="15" hidden="false" customHeight="true" outlineLevel="0" collapsed="false">
      <c r="A274" s="8" t="s">
        <v>71</v>
      </c>
      <c r="B274" s="25" t="n">
        <f aca="false">SUMIFS('Détail Revenus'!$E:$E,'Détail Revenus'!$F:$F,"Perfumeparadise Aps",'Détail Revenus'!$A:$A,"&gt;="&amp;DATE(2025,7,1),'Détail Revenus'!$A:$A,"&lt;"&amp;EDATE(DATE(2025,7,1),1))</f>
        <v>0</v>
      </c>
    </row>
    <row r="275" customFormat="false" ht="15" hidden="false" customHeight="true" outlineLevel="0" collapsed="false">
      <c r="A275" s="8" t="s">
        <v>72</v>
      </c>
      <c r="B275" s="25" t="n">
        <f aca="false">SUMIFS('Détail Revenus'!$E:$E,'Détail Revenus'!$F:$F,"Perfumeparadise Aps",'Détail Revenus'!$A:$A,"&gt;="&amp;DATE(2025,8,1),'Détail Revenus'!$A:$A,"&lt;"&amp;EDATE(DATE(2025,8,1),1))</f>
        <v>0</v>
      </c>
    </row>
    <row r="276" customFormat="false" ht="15" hidden="false" customHeight="true" outlineLevel="0" collapsed="false">
      <c r="A276" s="8" t="s">
        <v>73</v>
      </c>
      <c r="B276" s="25" t="n">
        <f aca="false">SUMIFS('Détail Revenus'!$E:$E,'Détail Revenus'!$F:$F,"Perfumeparadise Aps",'Détail Revenus'!$A:$A,"&gt;="&amp;DATE(2025,9,1),'Détail Revenus'!$A:$A,"&lt;"&amp;EDATE(DATE(2025,9,1),1))</f>
        <v>0</v>
      </c>
    </row>
    <row r="277" customFormat="false" ht="15" hidden="false" customHeight="true" outlineLevel="0" collapsed="false">
      <c r="A277" s="8" t="s">
        <v>74</v>
      </c>
      <c r="B277" s="25" t="n">
        <f aca="false">SUMIFS('Détail Revenus'!$E:$E,'Détail Revenus'!$F:$F,"Perfumeparadise Aps",'Détail Revenus'!$A:$A,"&gt;="&amp;DATE(2025,10,1),'Détail Revenus'!$A:$A,"&lt;"&amp;EDATE(DATE(2025,10,1),1))</f>
        <v>0</v>
      </c>
    </row>
    <row r="278" customFormat="false" ht="15" hidden="false" customHeight="true" outlineLevel="0" collapsed="false">
      <c r="A278" s="8" t="s">
        <v>75</v>
      </c>
      <c r="B278" s="25" t="n">
        <f aca="false">SUMIFS('Détail Revenus'!$E:$E,'Détail Revenus'!$F:$F,"Perfumeparadise Aps",'Détail Revenus'!$A:$A,"&gt;="&amp;DATE(2025,11,1),'Détail Revenus'!$A:$A,"&lt;"&amp;EDATE(DATE(2025,11,1),1))</f>
        <v>0</v>
      </c>
    </row>
    <row r="279" customFormat="false" ht="15" hidden="false" customHeight="true" outlineLevel="0" collapsed="false">
      <c r="A279" s="8" t="s">
        <v>76</v>
      </c>
      <c r="B279" s="25" t="n">
        <f aca="false">SUMIFS('Détail Revenus'!$E:$E,'Détail Revenus'!$F:$F,"Perfumeparadise Aps",'Détail Revenus'!$A:$A,"&gt;="&amp;DATE(2025,12,1),'Détail Revenus'!$A:$A,"&lt;"&amp;EDATE(DATE(2025,12,1),1))</f>
        <v>0</v>
      </c>
    </row>
    <row r="282" customFormat="false" ht="15" hidden="false" customHeight="true" outlineLevel="0" collapsed="false">
      <c r="A282" s="27" t="s">
        <v>57</v>
      </c>
      <c r="C282" s="23" t="n">
        <f aca="false">SUMIF('Détail Revenus'!$F:$F,"Akkona Sp. Z O.O.",'Détail Revenus'!$E:E)</f>
        <v>3600</v>
      </c>
    </row>
    <row r="283" customFormat="false" ht="15" hidden="false" customHeight="true" outlineLevel="0" collapsed="false">
      <c r="A283" s="24" t="s">
        <v>63</v>
      </c>
      <c r="B283" s="24" t="s">
        <v>64</v>
      </c>
    </row>
    <row r="284" customFormat="false" ht="15" hidden="false" customHeight="true" outlineLevel="0" collapsed="false">
      <c r="A284" s="8" t="s">
        <v>65</v>
      </c>
      <c r="B284" s="25" t="n">
        <f aca="false">SUMIFS('Détail Revenus'!$E:$E,'Détail Revenus'!$F:$F,"Akkona Sp. Z O.O.",'Détail Revenus'!$A:$A,"&gt;="&amp;DATE(2025,1,1),'Détail Revenus'!$A:$A,"&lt;"&amp;EDATE(DATE(2025,1,1),1))</f>
        <v>0</v>
      </c>
    </row>
    <row r="285" customFormat="false" ht="15" hidden="false" customHeight="true" outlineLevel="0" collapsed="false">
      <c r="A285" s="8" t="s">
        <v>66</v>
      </c>
      <c r="B285" s="25" t="n">
        <f aca="false">SUMIFS('Détail Revenus'!$E:$E,'Détail Revenus'!$F:$F,"Akkona Sp. Z O.O.",'Détail Revenus'!$A:$A,"&gt;="&amp;DATE(2025,2,1),'Détail Revenus'!$A:$A,"&lt;"&amp;EDATE(DATE(2025,2,1),1))</f>
        <v>0</v>
      </c>
    </row>
    <row r="286" customFormat="false" ht="15" hidden="false" customHeight="true" outlineLevel="0" collapsed="false">
      <c r="A286" s="8" t="s">
        <v>67</v>
      </c>
      <c r="B286" s="25" t="n">
        <f aca="false">SUMIFS('Détail Revenus'!$E:$E,'Détail Revenus'!$F:$F,"Akkona Sp. Z O.O.",'Détail Revenus'!$A:$A,"&gt;="&amp;DATE(2025,3,1),'Détail Revenus'!$A:$A,"&lt;"&amp;EDATE(DATE(2025,3,1),1))</f>
        <v>0</v>
      </c>
    </row>
    <row r="287" customFormat="false" ht="15" hidden="false" customHeight="true" outlineLevel="0" collapsed="false">
      <c r="A287" s="8" t="s">
        <v>68</v>
      </c>
      <c r="B287" s="25" t="n">
        <f aca="false">SUMIFS('Détail Revenus'!$E:$E,'Détail Revenus'!$F:$F,"Akkona Sp. Z O.O.",'Détail Revenus'!$A:$A,"&gt;="&amp;DATE(2025,4,1),'Détail Revenus'!$A:$A,"&lt;"&amp;EDATE(DATE(2025,4,1),1))</f>
        <v>0</v>
      </c>
    </row>
    <row r="288" customFormat="false" ht="15" hidden="false" customHeight="true" outlineLevel="0" collapsed="false">
      <c r="A288" s="8" t="s">
        <v>69</v>
      </c>
      <c r="B288" s="25" t="n">
        <f aca="false">SUMIFS('Détail Revenus'!$E:$E,'Détail Revenus'!$F:$F,"Akkona Sp. Z O.O.",'Détail Revenus'!$A:$A,"&gt;="&amp;DATE(2025,5,1),'Détail Revenus'!$A:$A,"&lt;"&amp;EDATE(DATE(2025,5,1),1))</f>
        <v>0</v>
      </c>
    </row>
    <row r="289" customFormat="false" ht="15" hidden="false" customHeight="true" outlineLevel="0" collapsed="false">
      <c r="A289" s="8" t="s">
        <v>70</v>
      </c>
      <c r="B289" s="25" t="n">
        <f aca="false">SUMIFS('Détail Revenus'!$E:$E,'Détail Revenus'!$F:$F,"Akkona Sp. Z O.O.",'Détail Revenus'!$A:$A,"&gt;="&amp;DATE(2025,6,1),'Détail Revenus'!$A:$A,"&lt;"&amp;EDATE(DATE(2025,6,1),1))</f>
        <v>0</v>
      </c>
    </row>
    <row r="290" customFormat="false" ht="15" hidden="false" customHeight="true" outlineLevel="0" collapsed="false">
      <c r="A290" s="8" t="s">
        <v>71</v>
      </c>
      <c r="B290" s="25" t="n">
        <f aca="false">SUMIFS('Détail Revenus'!$E:$E,'Détail Revenus'!$F:$F,"Akkona Sp. Z O.O.",'Détail Revenus'!$A:$A,"&gt;="&amp;DATE(2025,7,1),'Détail Revenus'!$A:$A,"&lt;"&amp;EDATE(DATE(2025,7,1),1))</f>
        <v>3600</v>
      </c>
    </row>
    <row r="291" customFormat="false" ht="15" hidden="false" customHeight="true" outlineLevel="0" collapsed="false">
      <c r="A291" s="8" t="s">
        <v>72</v>
      </c>
      <c r="B291" s="25" t="n">
        <f aca="false">SUMIFS('Détail Revenus'!$E:$E,'Détail Revenus'!$F:$F,"Akkona Sp. Z O.O.",'Détail Revenus'!$A:$A,"&gt;="&amp;DATE(2025,8,1),'Détail Revenus'!$A:$A,"&lt;"&amp;EDATE(DATE(2025,8,1),1))</f>
        <v>0</v>
      </c>
    </row>
    <row r="292" customFormat="false" ht="15" hidden="false" customHeight="true" outlineLevel="0" collapsed="false">
      <c r="A292" s="8" t="s">
        <v>73</v>
      </c>
      <c r="B292" s="25" t="n">
        <f aca="false">SUMIFS('Détail Revenus'!$E:$E,'Détail Revenus'!$F:$F,"Akkona Sp. Z O.O.",'Détail Revenus'!$A:$A,"&gt;="&amp;DATE(2025,9,1),'Détail Revenus'!$A:$A,"&lt;"&amp;EDATE(DATE(2025,9,1),1))</f>
        <v>0</v>
      </c>
    </row>
    <row r="293" customFormat="false" ht="15" hidden="false" customHeight="true" outlineLevel="0" collapsed="false">
      <c r="A293" s="8" t="s">
        <v>74</v>
      </c>
      <c r="B293" s="25" t="n">
        <f aca="false">SUMIFS('Détail Revenus'!$E:$E,'Détail Revenus'!$F:$F,"Akkona Sp. Z O.O.",'Détail Revenus'!$A:$A,"&gt;="&amp;DATE(2025,10,1),'Détail Revenus'!$A:$A,"&lt;"&amp;EDATE(DATE(2025,10,1),1))</f>
        <v>0</v>
      </c>
    </row>
    <row r="294" customFormat="false" ht="15" hidden="false" customHeight="true" outlineLevel="0" collapsed="false">
      <c r="A294" s="8" t="s">
        <v>75</v>
      </c>
      <c r="B294" s="25" t="n">
        <f aca="false">SUMIFS('Détail Revenus'!$E:$E,'Détail Revenus'!$F:$F,"Akkona Sp. Z O.O.",'Détail Revenus'!$A:$A,"&gt;="&amp;DATE(2025,11,1),'Détail Revenus'!$A:$A,"&lt;"&amp;EDATE(DATE(2025,11,1),1))</f>
        <v>0</v>
      </c>
    </row>
    <row r="295" customFormat="false" ht="15" hidden="false" customHeight="true" outlineLevel="0" collapsed="false">
      <c r="A295" s="8" t="s">
        <v>76</v>
      </c>
      <c r="B295" s="25" t="n">
        <f aca="false">SUMIFS('Détail Revenus'!$E:$E,'Détail Revenus'!$F:$F,"Akkona Sp. Z O.O.",'Détail Revenus'!$A:$A,"&gt;="&amp;DATE(2025,12,1),'Détail Revenus'!$A:$A,"&lt;"&amp;EDATE(DATE(2025,12,1),1))</f>
        <v>0</v>
      </c>
    </row>
    <row r="298" customFormat="false" ht="15" hidden="false" customHeight="true" outlineLevel="0" collapsed="false">
      <c r="A298" s="27" t="s">
        <v>58</v>
      </c>
      <c r="C298" s="23" t="n">
        <f aca="false">SUMIF('Détail Revenus'!$F:$F,"Smart Uk Brands Ltd",'Détail Revenus'!$E:E)</f>
        <v>52385.1</v>
      </c>
    </row>
    <row r="299" customFormat="false" ht="15" hidden="false" customHeight="true" outlineLevel="0" collapsed="false">
      <c r="A299" s="24" t="s">
        <v>63</v>
      </c>
      <c r="B299" s="24" t="s">
        <v>64</v>
      </c>
    </row>
    <row r="300" customFormat="false" ht="15" hidden="false" customHeight="true" outlineLevel="0" collapsed="false">
      <c r="A300" s="8" t="s">
        <v>65</v>
      </c>
      <c r="B300" s="25" t="n">
        <f aca="false">SUMIFS('Détail Revenus'!$E:$E,'Détail Revenus'!$F:$F,"Smart Uk Brands Ltd",'Détail Revenus'!$A:$A,"&gt;="&amp;DATE(2025,1,1),'Détail Revenus'!$A:$A,"&lt;"&amp;EDATE(DATE(2025,1,1),1))</f>
        <v>0</v>
      </c>
    </row>
    <row r="301" customFormat="false" ht="15" hidden="false" customHeight="true" outlineLevel="0" collapsed="false">
      <c r="A301" s="8" t="s">
        <v>66</v>
      </c>
      <c r="B301" s="25" t="n">
        <f aca="false">SUMIFS('Détail Revenus'!$E:$E,'Détail Revenus'!$F:$F,"Smart Uk Brands Ltd",'Détail Revenus'!$A:$A,"&gt;="&amp;DATE(2025,2,1),'Détail Revenus'!$A:$A,"&lt;"&amp;EDATE(DATE(2025,2,1),1))</f>
        <v>0</v>
      </c>
    </row>
    <row r="302" customFormat="false" ht="15" hidden="false" customHeight="true" outlineLevel="0" collapsed="false">
      <c r="A302" s="8" t="s">
        <v>67</v>
      </c>
      <c r="B302" s="25" t="n">
        <f aca="false">SUMIFS('Détail Revenus'!$E:$E,'Détail Revenus'!$F:$F,"Smart Uk Brands Ltd",'Détail Revenus'!$A:$A,"&gt;="&amp;DATE(2025,3,1),'Détail Revenus'!$A:$A,"&lt;"&amp;EDATE(DATE(2025,3,1),1))</f>
        <v>0</v>
      </c>
    </row>
    <row r="303" customFormat="false" ht="15" hidden="false" customHeight="true" outlineLevel="0" collapsed="false">
      <c r="A303" s="8" t="s">
        <v>68</v>
      </c>
      <c r="B303" s="25" t="n">
        <f aca="false">SUMIFS('Détail Revenus'!$E:$E,'Détail Revenus'!$F:$F,"Smart Uk Brands Ltd",'Détail Revenus'!$A:$A,"&gt;="&amp;DATE(2025,4,1),'Détail Revenus'!$A:$A,"&lt;"&amp;EDATE(DATE(2025,4,1),1))</f>
        <v>0</v>
      </c>
    </row>
    <row r="304" customFormat="false" ht="15" hidden="false" customHeight="true" outlineLevel="0" collapsed="false">
      <c r="A304" s="8" t="s">
        <v>69</v>
      </c>
      <c r="B304" s="25" t="n">
        <f aca="false">SUMIFS('Détail Revenus'!$E:$E,'Détail Revenus'!$F:$F,"Smart Uk Brands Ltd",'Détail Revenus'!$A:$A,"&gt;="&amp;DATE(2025,5,1),'Détail Revenus'!$A:$A,"&lt;"&amp;EDATE(DATE(2025,5,1),1))</f>
        <v>0</v>
      </c>
    </row>
    <row r="305" customFormat="false" ht="15" hidden="false" customHeight="true" outlineLevel="0" collapsed="false">
      <c r="A305" s="8" t="s">
        <v>70</v>
      </c>
      <c r="B305" s="25" t="n">
        <f aca="false">SUMIFS('Détail Revenus'!$E:$E,'Détail Revenus'!$F:$F,"Smart Uk Brands Ltd",'Détail Revenus'!$A:$A,"&gt;="&amp;DATE(2025,6,1),'Détail Revenus'!$A:$A,"&lt;"&amp;EDATE(DATE(2025,6,1),1))</f>
        <v>0</v>
      </c>
    </row>
    <row r="306" customFormat="false" ht="15" hidden="false" customHeight="true" outlineLevel="0" collapsed="false">
      <c r="A306" s="8" t="s">
        <v>71</v>
      </c>
      <c r="B306" s="25" t="n">
        <f aca="false">SUMIFS('Détail Revenus'!$E:$E,'Détail Revenus'!$F:$F,"Smart Uk Brands Ltd",'Détail Revenus'!$A:$A,"&gt;="&amp;DATE(2025,7,1),'Détail Revenus'!$A:$A,"&lt;"&amp;EDATE(DATE(2025,7,1),1))</f>
        <v>52385.1</v>
      </c>
    </row>
    <row r="307" customFormat="false" ht="15" hidden="false" customHeight="true" outlineLevel="0" collapsed="false">
      <c r="A307" s="8" t="s">
        <v>72</v>
      </c>
      <c r="B307" s="25" t="n">
        <f aca="false">SUMIFS('Détail Revenus'!$E:$E,'Détail Revenus'!$F:$F,"Smart Uk Brands Ltd",'Détail Revenus'!$A:$A,"&gt;="&amp;DATE(2025,8,1),'Détail Revenus'!$A:$A,"&lt;"&amp;EDATE(DATE(2025,8,1),1))</f>
        <v>0</v>
      </c>
    </row>
    <row r="308" customFormat="false" ht="15" hidden="false" customHeight="true" outlineLevel="0" collapsed="false">
      <c r="A308" s="8" t="s">
        <v>73</v>
      </c>
      <c r="B308" s="25" t="n">
        <f aca="false">SUMIFS('Détail Revenus'!$E:$E,'Détail Revenus'!$F:$F,"Smart Uk Brands Ltd",'Détail Revenus'!$A:$A,"&gt;="&amp;DATE(2025,9,1),'Détail Revenus'!$A:$A,"&lt;"&amp;EDATE(DATE(2025,9,1),1))</f>
        <v>0</v>
      </c>
    </row>
    <row r="309" customFormat="false" ht="15" hidden="false" customHeight="true" outlineLevel="0" collapsed="false">
      <c r="A309" s="8" t="s">
        <v>74</v>
      </c>
      <c r="B309" s="25" t="n">
        <f aca="false">SUMIFS('Détail Revenus'!$E:$E,'Détail Revenus'!$F:$F,"Smart Uk Brands Ltd",'Détail Revenus'!$A:$A,"&gt;="&amp;DATE(2025,10,1),'Détail Revenus'!$A:$A,"&lt;"&amp;EDATE(DATE(2025,10,1),1))</f>
        <v>0</v>
      </c>
    </row>
    <row r="310" customFormat="false" ht="15" hidden="false" customHeight="true" outlineLevel="0" collapsed="false">
      <c r="A310" s="8" t="s">
        <v>75</v>
      </c>
      <c r="B310" s="25" t="n">
        <f aca="false">SUMIFS('Détail Revenus'!$E:$E,'Détail Revenus'!$F:$F,"Smart Uk Brands Ltd",'Détail Revenus'!$A:$A,"&gt;="&amp;DATE(2025,11,1),'Détail Revenus'!$A:$A,"&lt;"&amp;EDATE(DATE(2025,11,1),1))</f>
        <v>0</v>
      </c>
    </row>
    <row r="311" customFormat="false" ht="15" hidden="false" customHeight="true" outlineLevel="0" collapsed="false">
      <c r="A311" s="8" t="s">
        <v>76</v>
      </c>
      <c r="B311" s="25" t="n">
        <f aca="false">SUMIFS('Détail Revenus'!$E:$E,'Détail Revenus'!$F:$F,"Smart Uk Brands Ltd",'Détail Revenus'!$A:$A,"&gt;="&amp;DATE(2025,12,1),'Détail Revenus'!$A:$A,"&lt;"&amp;EDATE(DATE(2025,12,1),1))</f>
        <v>0</v>
      </c>
    </row>
    <row r="314" customFormat="false" ht="15" hidden="false" customHeight="true" outlineLevel="0" collapsed="false">
      <c r="A314" s="27" t="s">
        <v>59</v>
      </c>
      <c r="C314" s="23" t="n">
        <f aca="false">SUMIF('Détail Revenus'!$F:$F,"Ras Transport",'Détail Revenus'!$E:E)</f>
        <v>5000</v>
      </c>
    </row>
    <row r="315" customFormat="false" ht="15" hidden="false" customHeight="true" outlineLevel="0" collapsed="false">
      <c r="A315" s="24" t="s">
        <v>63</v>
      </c>
      <c r="B315" s="24" t="s">
        <v>64</v>
      </c>
    </row>
    <row r="316" customFormat="false" ht="15" hidden="false" customHeight="true" outlineLevel="0" collapsed="false">
      <c r="A316" s="8" t="s">
        <v>65</v>
      </c>
      <c r="B316" s="25" t="n">
        <f aca="false">SUMIFS('Détail Revenus'!$E:$E,'Détail Revenus'!$F:$F,"Ras Transport",'Détail Revenus'!$A:$A,"&gt;="&amp;DATE(2025,1,1),'Détail Revenus'!$A:$A,"&lt;"&amp;EDATE(DATE(2025,1,1),1))</f>
        <v>0</v>
      </c>
    </row>
    <row r="317" customFormat="false" ht="15" hidden="false" customHeight="true" outlineLevel="0" collapsed="false">
      <c r="A317" s="8" t="s">
        <v>66</v>
      </c>
      <c r="B317" s="25" t="n">
        <f aca="false">SUMIFS('Détail Revenus'!$E:$E,'Détail Revenus'!$F:$F,"Ras Transport",'Détail Revenus'!$A:$A,"&gt;="&amp;DATE(2025,2,1),'Détail Revenus'!$A:$A,"&lt;"&amp;EDATE(DATE(2025,2,1),1))</f>
        <v>0</v>
      </c>
    </row>
    <row r="318" customFormat="false" ht="15" hidden="false" customHeight="true" outlineLevel="0" collapsed="false">
      <c r="A318" s="8" t="s">
        <v>67</v>
      </c>
      <c r="B318" s="25" t="n">
        <f aca="false">SUMIFS('Détail Revenus'!$E:$E,'Détail Revenus'!$F:$F,"Ras Transport",'Détail Revenus'!$A:$A,"&gt;="&amp;DATE(2025,3,1),'Détail Revenus'!$A:$A,"&lt;"&amp;EDATE(DATE(2025,3,1),1))</f>
        <v>0</v>
      </c>
    </row>
    <row r="319" customFormat="false" ht="15" hidden="false" customHeight="true" outlineLevel="0" collapsed="false">
      <c r="A319" s="8" t="s">
        <v>68</v>
      </c>
      <c r="B319" s="25" t="n">
        <f aca="false">SUMIFS('Détail Revenus'!$E:$E,'Détail Revenus'!$F:$F,"Ras Transport",'Détail Revenus'!$A:$A,"&gt;="&amp;DATE(2025,4,1),'Détail Revenus'!$A:$A,"&lt;"&amp;EDATE(DATE(2025,4,1),1))</f>
        <v>0</v>
      </c>
    </row>
    <row r="320" customFormat="false" ht="15" hidden="false" customHeight="true" outlineLevel="0" collapsed="false">
      <c r="A320" s="8" t="s">
        <v>69</v>
      </c>
      <c r="B320" s="25" t="n">
        <f aca="false">SUMIFS('Détail Revenus'!$E:$E,'Détail Revenus'!$F:$F,"Ras Transport",'Détail Revenus'!$A:$A,"&gt;="&amp;DATE(2025,5,1),'Détail Revenus'!$A:$A,"&lt;"&amp;EDATE(DATE(2025,5,1),1))</f>
        <v>0</v>
      </c>
    </row>
    <row r="321" customFormat="false" ht="15" hidden="false" customHeight="true" outlineLevel="0" collapsed="false">
      <c r="A321" s="8" t="s">
        <v>70</v>
      </c>
      <c r="B321" s="25" t="n">
        <f aca="false">SUMIFS('Détail Revenus'!$E:$E,'Détail Revenus'!$F:$F,"Ras Transport",'Détail Revenus'!$A:$A,"&gt;="&amp;DATE(2025,6,1),'Détail Revenus'!$A:$A,"&lt;"&amp;EDATE(DATE(2025,6,1),1))</f>
        <v>0</v>
      </c>
    </row>
    <row r="322" customFormat="false" ht="15" hidden="false" customHeight="true" outlineLevel="0" collapsed="false">
      <c r="A322" s="8" t="s">
        <v>71</v>
      </c>
      <c r="B322" s="25" t="n">
        <f aca="false">SUMIFS('Détail Revenus'!$E:$E,'Détail Revenus'!$F:$F,"Ras Transport",'Détail Revenus'!$A:$A,"&gt;="&amp;DATE(2025,7,1),'Détail Revenus'!$A:$A,"&lt;"&amp;EDATE(DATE(2025,7,1),1))</f>
        <v>0</v>
      </c>
    </row>
    <row r="323" customFormat="false" ht="15" hidden="false" customHeight="true" outlineLevel="0" collapsed="false">
      <c r="A323" s="8" t="s">
        <v>72</v>
      </c>
      <c r="B323" s="25" t="n">
        <f aca="false">SUMIFS('Détail Revenus'!$E:$E,'Détail Revenus'!$F:$F,"Ras Transport",'Détail Revenus'!$A:$A,"&gt;="&amp;DATE(2025,8,1),'Détail Revenus'!$A:$A,"&lt;"&amp;EDATE(DATE(2025,8,1),1))</f>
        <v>0</v>
      </c>
    </row>
    <row r="324" customFormat="false" ht="15" hidden="false" customHeight="true" outlineLevel="0" collapsed="false">
      <c r="A324" s="8" t="s">
        <v>73</v>
      </c>
      <c r="B324" s="25" t="n">
        <f aca="false">SUMIFS('Détail Revenus'!$E:$E,'Détail Revenus'!$F:$F,"Ras Transport",'Détail Revenus'!$A:$A,"&gt;="&amp;DATE(2025,9,1),'Détail Revenus'!$A:$A,"&lt;"&amp;EDATE(DATE(2025,9,1),1))</f>
        <v>0</v>
      </c>
    </row>
    <row r="325" customFormat="false" ht="15" hidden="false" customHeight="true" outlineLevel="0" collapsed="false">
      <c r="A325" s="8" t="s">
        <v>74</v>
      </c>
      <c r="B325" s="25" t="n">
        <f aca="false">SUMIFS('Détail Revenus'!$E:$E,'Détail Revenus'!$F:$F,"Ras Transport",'Détail Revenus'!$A:$A,"&gt;="&amp;DATE(2025,10,1),'Détail Revenus'!$A:$A,"&lt;"&amp;EDATE(DATE(2025,10,1),1))</f>
        <v>0</v>
      </c>
    </row>
    <row r="326" customFormat="false" ht="15" hidden="false" customHeight="true" outlineLevel="0" collapsed="false">
      <c r="A326" s="8" t="s">
        <v>75</v>
      </c>
      <c r="B326" s="25" t="n">
        <f aca="false">SUMIFS('Détail Revenus'!$E:$E,'Détail Revenus'!$F:$F,"Ras Transport",'Détail Revenus'!$A:$A,"&gt;="&amp;DATE(2025,11,1),'Détail Revenus'!$A:$A,"&lt;"&amp;EDATE(DATE(2025,11,1),1))</f>
        <v>0</v>
      </c>
    </row>
    <row r="327" customFormat="false" ht="15" hidden="false" customHeight="true" outlineLevel="0" collapsed="false">
      <c r="A327" s="8" t="s">
        <v>76</v>
      </c>
      <c r="B327" s="25" t="n">
        <f aca="false">SUMIFS('Détail Revenus'!$E:$E,'Détail Revenus'!$F:$F,"Ras Transport",'Détail Revenus'!$A:$A,"&gt;="&amp;DATE(2025,12,1),'Détail Revenus'!$A:$A,"&lt;"&amp;EDATE(DATE(2025,12,1),1))</f>
        <v>5000</v>
      </c>
    </row>
    <row r="330" customFormat="false" ht="15" hidden="false" customHeight="false" outlineLevel="0" collapsed="false">
      <c r="A330" s="27" t="s">
        <v>60</v>
      </c>
      <c r="C330" s="23" t="n">
        <f aca="false">SUMIF('Détail Revenus'!$F:$F,"Créance 2024 encaissée en 2025 (Usine Algérie)",'Détail Revenus'!$E:E)</f>
        <v>95044</v>
      </c>
    </row>
    <row r="331" customFormat="false" ht="15" hidden="false" customHeight="false" outlineLevel="0" collapsed="false">
      <c r="A331" s="24" t="s">
        <v>63</v>
      </c>
      <c r="B331" s="24" t="s">
        <v>64</v>
      </c>
    </row>
    <row r="332" customFormat="false" ht="15" hidden="false" customHeight="false" outlineLevel="0" collapsed="false">
      <c r="A332" s="8" t="s">
        <v>65</v>
      </c>
      <c r="B332" s="25" t="n">
        <f aca="false">SUMIFS('Détail Revenus'!$E:$E,'Détail Revenus'!$F:$F,"Créance 2024 encaissée en 2025 (Usine Algérie)",'Détail Revenus'!$A:$A,"&gt;="&amp;DATE(2025,1,1),'Détail Revenus'!$A:$A,"&lt;"&amp;EDATE(DATE(2025,1,1),1))</f>
        <v>0</v>
      </c>
    </row>
    <row r="333" customFormat="false" ht="15" hidden="false" customHeight="false" outlineLevel="0" collapsed="false">
      <c r="A333" s="8" t="s">
        <v>66</v>
      </c>
      <c r="B333" s="25" t="n">
        <f aca="false">SUMIFS('Détail Revenus'!$E:$E,'Détail Revenus'!$F:$F,"Créance 2024 encaissée en 2025 (Usine Algérie)",'Détail Revenus'!$A:$A,"&gt;="&amp;DATE(2025,2,1),'Détail Revenus'!$A:$A,"&lt;"&amp;EDATE(DATE(2025,2,1),1))</f>
        <v>95044</v>
      </c>
    </row>
    <row r="334" customFormat="false" ht="15" hidden="false" customHeight="false" outlineLevel="0" collapsed="false">
      <c r="A334" s="8" t="s">
        <v>67</v>
      </c>
      <c r="B334" s="25" t="n">
        <f aca="false">SUMIFS('Détail Revenus'!$E:$E,'Détail Revenus'!$F:$F,"Créance 2024 encaissée en 2025 (Usine Algérie)",'Détail Revenus'!$A:$A,"&gt;="&amp;DATE(2025,3,1),'Détail Revenus'!$A:$A,"&lt;"&amp;EDATE(DATE(2025,3,1),1))</f>
        <v>0</v>
      </c>
    </row>
    <row r="335" customFormat="false" ht="15" hidden="false" customHeight="false" outlineLevel="0" collapsed="false">
      <c r="A335" s="8" t="s">
        <v>68</v>
      </c>
      <c r="B335" s="25" t="n">
        <f aca="false">SUMIFS('Détail Revenus'!$E:$E,'Détail Revenus'!$F:$F,"Créance 2024 encaissée en 2025 (Usine Algérie)",'Détail Revenus'!$A:$A,"&gt;="&amp;DATE(2025,4,1),'Détail Revenus'!$A:$A,"&lt;"&amp;EDATE(DATE(2025,4,1),1))</f>
        <v>0</v>
      </c>
    </row>
    <row r="336" customFormat="false" ht="15" hidden="false" customHeight="false" outlineLevel="0" collapsed="false">
      <c r="A336" s="8" t="s">
        <v>69</v>
      </c>
      <c r="B336" s="25" t="n">
        <f aca="false">SUMIFS('Détail Revenus'!$E:$E,'Détail Revenus'!$F:$F,"Créance 2024 encaissée en 2025 (Usine Algérie)",'Détail Revenus'!$A:$A,"&gt;="&amp;DATE(2025,5,1),'Détail Revenus'!$A:$A,"&lt;"&amp;EDATE(DATE(2025,5,1),1))</f>
        <v>0</v>
      </c>
    </row>
    <row r="337" customFormat="false" ht="15" hidden="false" customHeight="false" outlineLevel="0" collapsed="false">
      <c r="A337" s="8" t="s">
        <v>70</v>
      </c>
      <c r="B337" s="25" t="n">
        <f aca="false">SUMIFS('Détail Revenus'!$E:$E,'Détail Revenus'!$F:$F,"Créance 2024 encaissée en 2025 (Usine Algérie)",'Détail Revenus'!$A:$A,"&gt;="&amp;DATE(2025,6,1),'Détail Revenus'!$A:$A,"&lt;"&amp;EDATE(DATE(2025,6,1),1))</f>
        <v>0</v>
      </c>
    </row>
    <row r="338" customFormat="false" ht="15" hidden="false" customHeight="false" outlineLevel="0" collapsed="false">
      <c r="A338" s="8" t="s">
        <v>71</v>
      </c>
      <c r="B338" s="25" t="n">
        <f aca="false">SUMIFS('Détail Revenus'!$E:$E,'Détail Revenus'!$F:$F,"Créance 2024 encaissée en 2025 (Usine Algérie)",'Détail Revenus'!$A:$A,"&gt;="&amp;DATE(2025,7,1),'Détail Revenus'!$A:$A,"&lt;"&amp;EDATE(DATE(2025,7,1),1))</f>
        <v>0</v>
      </c>
    </row>
    <row r="339" customFormat="false" ht="15" hidden="false" customHeight="false" outlineLevel="0" collapsed="false">
      <c r="A339" s="8" t="s">
        <v>72</v>
      </c>
      <c r="B339" s="25" t="n">
        <f aca="false">SUMIFS('Détail Revenus'!$E:$E,'Détail Revenus'!$F:$F,"Créance 2024 encaissée en 2025 (Usine Algérie)",'Détail Revenus'!$A:$A,"&gt;="&amp;DATE(2025,8,1),'Détail Revenus'!$A:$A,"&lt;"&amp;EDATE(DATE(2025,8,1),1))</f>
        <v>0</v>
      </c>
    </row>
    <row r="340" customFormat="false" ht="15" hidden="false" customHeight="false" outlineLevel="0" collapsed="false">
      <c r="A340" s="8" t="s">
        <v>73</v>
      </c>
      <c r="B340" s="25" t="n">
        <f aca="false">SUMIFS('Détail Revenus'!$E:$E,'Détail Revenus'!$F:$F,"Créance 2024 encaissée en 2025 (Usine Algérie)",'Détail Revenus'!$A:$A,"&gt;="&amp;DATE(2025,9,1),'Détail Revenus'!$A:$A,"&lt;"&amp;EDATE(DATE(2025,9,1),1))</f>
        <v>0</v>
      </c>
    </row>
    <row r="341" customFormat="false" ht="15" hidden="false" customHeight="false" outlineLevel="0" collapsed="false">
      <c r="A341" s="8" t="s">
        <v>74</v>
      </c>
      <c r="B341" s="25" t="n">
        <f aca="false">SUMIFS('Détail Revenus'!$E:$E,'Détail Revenus'!$F:$F,"Créance 2024 encaissée en 2025 (Usine Algérie)",'Détail Revenus'!$A:$A,"&gt;="&amp;DATE(2025,10,1),'Détail Revenus'!$A:$A,"&lt;"&amp;EDATE(DATE(2025,10,1),1))</f>
        <v>0</v>
      </c>
    </row>
    <row r="342" customFormat="false" ht="15" hidden="false" customHeight="false" outlineLevel="0" collapsed="false">
      <c r="A342" s="8" t="s">
        <v>75</v>
      </c>
      <c r="B342" s="25" t="n">
        <f aca="false">SUMIFS('Détail Revenus'!$E:$E,'Détail Revenus'!$F:$F,"Créance 2024 encaissée en 2025 (Usine Algérie)",'Détail Revenus'!$A:$A,"&gt;="&amp;DATE(2025,11,1),'Détail Revenus'!$A:$A,"&lt;"&amp;EDATE(DATE(2025,11,1),1))</f>
        <v>0</v>
      </c>
    </row>
    <row r="343" customFormat="false" ht="15" hidden="false" customHeight="false" outlineLevel="0" collapsed="false">
      <c r="A343" s="8" t="s">
        <v>76</v>
      </c>
      <c r="B343" s="25" t="n">
        <f aca="false">SUMIFS('Détail Revenus'!$E:$E,'Détail Revenus'!$F:$F,"Créance 2024 encaissée en 2025 (Usine Algérie)",'Détail Revenus'!$A:$A,"&gt;="&amp;DATE(2025,12,1),'Détail Revenus'!$A:$A,"&lt;"&amp;EDATE(DATE(2025,12,1),1))</f>
        <v>0</v>
      </c>
    </row>
  </sheetData>
  <mergeCells count="15">
    <mergeCell ref="A3:B3"/>
    <mergeCell ref="A19:B19"/>
    <mergeCell ref="A36:B36"/>
    <mergeCell ref="A53:B53"/>
    <mergeCell ref="A70:B70"/>
    <mergeCell ref="A87:B87"/>
    <mergeCell ref="A103:B103"/>
    <mergeCell ref="A120:B120"/>
    <mergeCell ref="A136:B136"/>
    <mergeCell ref="A152:B152"/>
    <mergeCell ref="A168:B168"/>
    <mergeCell ref="A185:B185"/>
    <mergeCell ref="A201:B201"/>
    <mergeCell ref="A218:B218"/>
    <mergeCell ref="A234:B2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85</v>
      </c>
    </row>
    <row r="3" customFormat="false" ht="15" hidden="false" customHeight="true" outlineLevel="0" collapsed="false">
      <c r="A3" s="29" t="s">
        <v>86</v>
      </c>
      <c r="B3" s="29"/>
      <c r="C3" s="30" t="n">
        <f aca="false">SUMIF(Détail!$D:$D,"MR BOUDJADA SAID",Détail!$E:$E)</f>
        <v>-48500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SUMIFS(Détail!$E:$E,Détail!$D:$D,"MR BOUDJADA SAID",Détail!$A:$A,"&gt;="&amp;DATE(2025,1,1),Détail!$A:$A,"&lt;"&amp;EDATE(DATE(2025,1,1),1))</f>
        <v>-5000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SUMIFS(Détail!$E:$E,Détail!$D:$D,"MR BOUDJADA SAID",Détail!$A:$A,"&gt;="&amp;DATE(2025,2,1),Détail!$A:$A,"&lt;"&amp;EDATE(DATE(2025,2,1),1))</f>
        <v>-4000</v>
      </c>
    </row>
    <row r="7" customFormat="false" ht="15" hidden="false" customHeight="true" outlineLevel="0" collapsed="false">
      <c r="A7" s="8" t="s">
        <v>67</v>
      </c>
      <c r="B7" s="31" t="n">
        <f aca="false">SUMIFS(Détail!$E:$E,Détail!$D:$D,"MR BOUDJADA SAID",Détail!$A:$A,"&gt;="&amp;DATE(2025,3,1),Détail!$A:$A,"&lt;"&amp;EDATE(DATE(2025,3,1),1))</f>
        <v>-6000</v>
      </c>
    </row>
    <row r="8" customFormat="false" ht="15" hidden="false" customHeight="true" outlineLevel="0" collapsed="false">
      <c r="A8" s="8" t="s">
        <v>68</v>
      </c>
      <c r="B8" s="31" t="n">
        <f aca="false">SUMIFS(Détail!$E:$E,Détail!$D:$D,"MR BOUDJADA SAID",Détail!$A:$A,"&gt;="&amp;DATE(2025,4,1),Détail!$A:$A,"&lt;"&amp;EDATE(DATE(2025,4,1),1))</f>
        <v>-6000</v>
      </c>
    </row>
    <row r="9" customFormat="false" ht="15" hidden="false" customHeight="true" outlineLevel="0" collapsed="false">
      <c r="A9" s="8" t="s">
        <v>69</v>
      </c>
      <c r="B9" s="31" t="n">
        <f aca="false">SUMIFS(Détail!$E:$E,Détail!$D:$D,"MR BOUDJADA SAID",Détail!$A:$A,"&gt;="&amp;DATE(2025,5,1),Détail!$A:$A,"&lt;"&amp;EDATE(DATE(2025,5,1),1))</f>
        <v>0</v>
      </c>
    </row>
    <row r="10" customFormat="false" ht="15" hidden="false" customHeight="true" outlineLevel="0" collapsed="false">
      <c r="A10" s="8" t="s">
        <v>70</v>
      </c>
      <c r="B10" s="31" t="n">
        <f aca="false">SUMIFS(Détail!$E:$E,Détail!$D:$D,"MR BOUDJADA SAID",Détail!$A:$A,"&gt;="&amp;DATE(2025,6,1),Détail!$A:$A,"&lt;"&amp;EDATE(DATE(2025,6,1),1))</f>
        <v>0</v>
      </c>
    </row>
    <row r="11" customFormat="false" ht="15" hidden="false" customHeight="true" outlineLevel="0" collapsed="false">
      <c r="A11" s="8" t="s">
        <v>71</v>
      </c>
      <c r="B11" s="31" t="n">
        <f aca="false">SUMIFS(Détail!$E:$E,Détail!$D:$D,"MR BOUDJADA SAID",Détail!$A:$A,"&gt;="&amp;DATE(2025,7,1),Détail!$A:$A,"&lt;"&amp;EDATE(DATE(2025,7,1),1))</f>
        <v>-8500</v>
      </c>
    </row>
    <row r="12" customFormat="false" ht="15" hidden="false" customHeight="true" outlineLevel="0" collapsed="false">
      <c r="A12" s="8" t="s">
        <v>72</v>
      </c>
      <c r="B12" s="31" t="n">
        <f aca="false">SUMIFS(Détail!$E:$E,Détail!$D:$D,"MR BOUDJADA SAID",Détail!$A:$A,"&gt;="&amp;DATE(2025,8,1),Détail!$A:$A,"&lt;"&amp;EDATE(DATE(2025,8,1),1))</f>
        <v>-5000</v>
      </c>
    </row>
    <row r="13" customFormat="false" ht="15" hidden="false" customHeight="true" outlineLevel="0" collapsed="false">
      <c r="A13" s="8" t="s">
        <v>73</v>
      </c>
      <c r="B13" s="31" t="n">
        <f aca="false">SUMIFS(Détail!$E:$E,Détail!$D:$D,"MR BOUDJADA SAID",Détail!$A:$A,"&gt;="&amp;DATE(2025,9,1),Détail!$A:$A,"&lt;"&amp;EDATE(DATE(2025,9,1),1))</f>
        <v>-6000</v>
      </c>
    </row>
    <row r="14" customFormat="false" ht="15" hidden="false" customHeight="true" outlineLevel="0" collapsed="false">
      <c r="A14" s="8" t="s">
        <v>74</v>
      </c>
      <c r="B14" s="31" t="n">
        <f aca="false">SUMIFS(Détail!$E:$E,Détail!$D:$D,"MR BOUDJADA SAID",Détail!$A:$A,"&gt;="&amp;DATE(2025,10,1),Détail!$A:$A,"&lt;"&amp;EDATE(DATE(2025,10,1),1))</f>
        <v>-5000</v>
      </c>
    </row>
    <row r="15" customFormat="false" ht="15" hidden="false" customHeight="true" outlineLevel="0" collapsed="false">
      <c r="A15" s="8" t="s">
        <v>75</v>
      </c>
      <c r="B15" s="31" t="n">
        <f aca="false">SUMIFS(Détail!$E:$E,Détail!$D:$D,"MR BOUDJADA SAID",Détail!$A:$A,"&gt;="&amp;DATE(2025,11,1),Détail!$A:$A,"&lt;"&amp;EDATE(DATE(2025,11,1),1))</f>
        <v>-3000</v>
      </c>
    </row>
    <row r="16" customFormat="false" ht="15" hidden="false" customHeight="true" outlineLevel="0" collapsed="false">
      <c r="A16" s="8" t="s">
        <v>76</v>
      </c>
      <c r="B16" s="31" t="n">
        <f aca="false">SUMIFS(Détail!$E:$E,Détail!$D:$D,"MR BOUDJADA SAID",Détail!$A:$A,"&gt;="&amp;DATE(2025,12,1),Détail!$A:$A,"&lt;"&amp;EDATE(DATE(2025,12,1),1))</f>
        <v>0</v>
      </c>
    </row>
    <row r="19" customFormat="false" ht="15" hidden="false" customHeight="true" outlineLevel="0" collapsed="false">
      <c r="A19" s="29" t="s">
        <v>87</v>
      </c>
      <c r="B19" s="29"/>
      <c r="C19" s="30" t="n">
        <f aca="false">SUMIF(Détail!$D:$D,"MR BOUDAJA NASSIM",Détail!$E:$E)</f>
        <v>-29984.91</v>
      </c>
    </row>
    <row r="20" customFormat="false" ht="15" hidden="false" customHeight="true" outlineLevel="0" collapsed="false">
      <c r="A20" s="24" t="s">
        <v>63</v>
      </c>
      <c r="B20" s="24" t="s">
        <v>64</v>
      </c>
    </row>
    <row r="21" customFormat="false" ht="15" hidden="false" customHeight="true" outlineLevel="0" collapsed="false">
      <c r="A21" s="8" t="s">
        <v>65</v>
      </c>
      <c r="B21" s="31" t="n">
        <f aca="false">SUMIFS(Détail!$E:$E,Détail!$D:$D,"MR BOUDAJA NASSIM",Détail!$A:$A,"&gt;="&amp;DATE(2025,1,1),Détail!$A:$A,"&lt;"&amp;EDATE(DATE(2025,1,1),1))</f>
        <v>0</v>
      </c>
    </row>
    <row r="22" customFormat="false" ht="15" hidden="false" customHeight="true" outlineLevel="0" collapsed="false">
      <c r="A22" s="8" t="s">
        <v>66</v>
      </c>
      <c r="B22" s="31" t="n">
        <f aca="false">SUMIFS(Détail!$E:$E,Détail!$D:$D,"MR BOUDAJA NASSIM",Détail!$A:$A,"&gt;="&amp;DATE(2025,2,1),Détail!$A:$A,"&lt;"&amp;EDATE(DATE(2025,2,1),1))</f>
        <v>-4720.82</v>
      </c>
    </row>
    <row r="23" customFormat="false" ht="15" hidden="false" customHeight="true" outlineLevel="0" collapsed="false">
      <c r="A23" s="8" t="s">
        <v>67</v>
      </c>
      <c r="B23" s="31" t="n">
        <f aca="false">SUMIFS(Détail!$E:$E,Détail!$D:$D,"MR BOUDAJA NASSIM",Détail!$A:$A,"&gt;="&amp;DATE(2025,3,1),Détail!$A:$A,"&lt;"&amp;EDATE(DATE(2025,3,1),1))</f>
        <v>-1984.55</v>
      </c>
    </row>
    <row r="24" customFormat="false" ht="15" hidden="false" customHeight="true" outlineLevel="0" collapsed="false">
      <c r="A24" s="8" t="s">
        <v>68</v>
      </c>
      <c r="B24" s="31" t="n">
        <f aca="false">SUMIFS(Détail!$E:$E,Détail!$D:$D,"MR BOUDAJA NASSIM",Détail!$A:$A,"&gt;="&amp;DATE(2025,4,1),Détail!$A:$A,"&lt;"&amp;EDATE(DATE(2025,4,1),1))</f>
        <v>-1984.55</v>
      </c>
    </row>
    <row r="25" customFormat="false" ht="15" hidden="false" customHeight="true" outlineLevel="0" collapsed="false">
      <c r="A25" s="8" t="s">
        <v>69</v>
      </c>
      <c r="B25" s="31" t="n">
        <f aca="false">SUMIFS(Détail!$E:$E,Détail!$D:$D,"MR BOUDAJA NASSIM",Détail!$A:$A,"&gt;="&amp;DATE(2025,5,1),Détail!$A:$A,"&lt;"&amp;EDATE(DATE(2025,5,1),1))</f>
        <v>-1984.55</v>
      </c>
    </row>
    <row r="26" customFormat="false" ht="15" hidden="false" customHeight="true" outlineLevel="0" collapsed="false">
      <c r="A26" s="8" t="s">
        <v>70</v>
      </c>
      <c r="B26" s="31" t="n">
        <f aca="false">SUMIFS(Détail!$E:$E,Détail!$D:$D,"MR BOUDAJA NASSIM",Détail!$A:$A,"&gt;="&amp;DATE(2025,6,1),Détail!$A:$A,"&lt;"&amp;EDATE(DATE(2025,6,1),1))</f>
        <v>-2484.55</v>
      </c>
    </row>
    <row r="27" customFormat="false" ht="15" hidden="false" customHeight="true" outlineLevel="0" collapsed="false">
      <c r="A27" s="8" t="s">
        <v>71</v>
      </c>
      <c r="B27" s="31" t="n">
        <f aca="false">SUMIFS(Détail!$E:$E,Détail!$D:$D,"MR BOUDAJA NASSIM",Détail!$A:$A,"&gt;="&amp;DATE(2025,7,1),Détail!$A:$A,"&lt;"&amp;EDATE(DATE(2025,7,1),1))</f>
        <v>-2466.15</v>
      </c>
    </row>
    <row r="28" customFormat="false" ht="15" hidden="false" customHeight="true" outlineLevel="0" collapsed="false">
      <c r="A28" s="8" t="s">
        <v>72</v>
      </c>
      <c r="B28" s="31" t="n">
        <f aca="false">SUMIFS(Détail!$E:$E,Détail!$D:$D,"MR BOUDAJA NASSIM",Détail!$A:$A,"&gt;="&amp;DATE(2025,8,1),Détail!$A:$A,"&lt;"&amp;EDATE(DATE(2025,8,1),1))</f>
        <v>-2481.8</v>
      </c>
    </row>
    <row r="29" customFormat="false" ht="15" hidden="false" customHeight="true" outlineLevel="0" collapsed="false">
      <c r="A29" s="8" t="s">
        <v>73</v>
      </c>
      <c r="B29" s="31" t="n">
        <f aca="false">SUMIFS(Détail!$E:$E,Détail!$D:$D,"MR BOUDAJA NASSIM",Détail!$A:$A,"&gt;="&amp;DATE(2025,9,1),Détail!$A:$A,"&lt;"&amp;EDATE(DATE(2025,9,1),1))</f>
        <v>-2481.8</v>
      </c>
    </row>
    <row r="30" customFormat="false" ht="15" hidden="false" customHeight="true" outlineLevel="0" collapsed="false">
      <c r="A30" s="8" t="s">
        <v>74</v>
      </c>
      <c r="B30" s="31" t="n">
        <f aca="false">SUMIFS(Détail!$E:$E,Détail!$D:$D,"MR BOUDAJA NASSIM",Détail!$A:$A,"&gt;="&amp;DATE(2025,10,1),Détail!$A:$A,"&lt;"&amp;EDATE(DATE(2025,10,1),1))</f>
        <v>-2465.38</v>
      </c>
    </row>
    <row r="31" customFormat="false" ht="15" hidden="false" customHeight="true" outlineLevel="0" collapsed="false">
      <c r="A31" s="8" t="s">
        <v>75</v>
      </c>
      <c r="B31" s="31" t="n">
        <f aca="false">SUMIFS(Détail!$E:$E,Détail!$D:$D,"MR BOUDAJA NASSIM",Détail!$A:$A,"&gt;="&amp;DATE(2025,11,1),Détail!$A:$A,"&lt;"&amp;EDATE(DATE(2025,11,1),1))</f>
        <v>-2465.38</v>
      </c>
    </row>
    <row r="32" customFormat="false" ht="15" hidden="false" customHeight="true" outlineLevel="0" collapsed="false">
      <c r="A32" s="8" t="s">
        <v>76</v>
      </c>
      <c r="B32" s="31" t="n">
        <f aca="false">SUMIFS(Détail!$E:$E,Détail!$D:$D,"MR BOUDAJA NASSIM",Détail!$A:$A,"&gt;="&amp;DATE(2025,12,1),Détail!$A:$A,"&lt;"&amp;EDATE(DATE(2025,12,1),1))</f>
        <v>-4465.38</v>
      </c>
    </row>
    <row r="35" customFormat="false" ht="15" hidden="false" customHeight="true" outlineLevel="0" collapsed="false">
      <c r="A35" s="29" t="s">
        <v>88</v>
      </c>
      <c r="B35" s="29"/>
      <c r="C35" s="30" t="n">
        <f aca="false">SUMIF(Détail!$D:$D,"MR BOUDJADA MOUNIR",Détail!$E:$E)</f>
        <v>-20959.29</v>
      </c>
    </row>
    <row r="36" customFormat="false" ht="15" hidden="false" customHeight="true" outlineLevel="0" collapsed="false">
      <c r="A36" s="24" t="s">
        <v>63</v>
      </c>
      <c r="B36" s="24" t="s">
        <v>64</v>
      </c>
    </row>
    <row r="37" customFormat="false" ht="15" hidden="false" customHeight="true" outlineLevel="0" collapsed="false">
      <c r="A37" s="8" t="s">
        <v>65</v>
      </c>
      <c r="B37" s="31" t="n">
        <f aca="false">SUMIFS(Détail!$E:$E,Détail!$D:$D,"MR BOUDJADA MOUNIR",Détail!$A:$A,"&gt;="&amp;DATE(2025,1,1),Détail!$A:$A,"&lt;"&amp;EDATE(DATE(2025,1,1),1))</f>
        <v>-1449.27</v>
      </c>
    </row>
    <row r="38" customFormat="false" ht="15" hidden="false" customHeight="true" outlineLevel="0" collapsed="false">
      <c r="A38" s="8" t="s">
        <v>66</v>
      </c>
      <c r="B38" s="31" t="n">
        <f aca="false">SUMIFS(Détail!$E:$E,Détail!$D:$D,"MR BOUDJADA MOUNIR",Détail!$A:$A,"&gt;="&amp;DATE(2025,2,1),Détail!$A:$A,"&lt;"&amp;EDATE(DATE(2025,2,1),1))</f>
        <v>-1449.27</v>
      </c>
    </row>
    <row r="39" customFormat="false" ht="15" hidden="false" customHeight="true" outlineLevel="0" collapsed="false">
      <c r="A39" s="8" t="s">
        <v>67</v>
      </c>
      <c r="B39" s="31" t="n">
        <f aca="false">SUMIFS(Détail!$E:$E,Détail!$D:$D,"MR BOUDJADA MOUNIR",Détail!$A:$A,"&gt;="&amp;DATE(2025,3,1),Détail!$A:$A,"&lt;"&amp;EDATE(DATE(2025,3,1),1))</f>
        <v>-1449.27</v>
      </c>
    </row>
    <row r="40" customFormat="false" ht="15" hidden="false" customHeight="true" outlineLevel="0" collapsed="false">
      <c r="A40" s="8" t="s">
        <v>68</v>
      </c>
      <c r="B40" s="31" t="n">
        <f aca="false">SUMIFS(Détail!$E:$E,Détail!$D:$D,"MR BOUDJADA MOUNIR",Détail!$A:$A,"&gt;="&amp;DATE(2025,4,1),Détail!$A:$A,"&lt;"&amp;EDATE(DATE(2025,4,1),1))</f>
        <v>-1473.11</v>
      </c>
    </row>
    <row r="41" customFormat="false" ht="15" hidden="false" customHeight="true" outlineLevel="0" collapsed="false">
      <c r="A41" s="8" t="s">
        <v>69</v>
      </c>
      <c r="B41" s="31" t="n">
        <f aca="false">SUMIFS(Détail!$E:$E,Détail!$D:$D,"MR BOUDJADA MOUNIR",Détail!$A:$A,"&gt;="&amp;DATE(2025,5,1),Détail!$A:$A,"&lt;"&amp;EDATE(DATE(2025,5,1),1))</f>
        <v>-4040.11</v>
      </c>
    </row>
    <row r="42" customFormat="false" ht="15" hidden="false" customHeight="true" outlineLevel="0" collapsed="false">
      <c r="A42" s="8" t="s">
        <v>70</v>
      </c>
      <c r="B42" s="31" t="n">
        <f aca="false">SUMIFS(Détail!$E:$E,Détail!$D:$D,"MR BOUDJADA MOUNIR",Détail!$A:$A,"&gt;="&amp;DATE(2025,6,1),Détail!$A:$A,"&lt;"&amp;EDATE(DATE(2025,6,1),1))</f>
        <v>-1240.11</v>
      </c>
    </row>
    <row r="43" customFormat="false" ht="15" hidden="false" customHeight="true" outlineLevel="0" collapsed="false">
      <c r="A43" s="8" t="s">
        <v>71</v>
      </c>
      <c r="B43" s="31" t="n">
        <f aca="false">SUMIFS(Détail!$E:$E,Détail!$D:$D,"MR BOUDJADA MOUNIR",Détail!$A:$A,"&gt;="&amp;DATE(2025,7,1),Détail!$A:$A,"&lt;"&amp;EDATE(DATE(2025,7,1),1))</f>
        <v>-1228.51</v>
      </c>
    </row>
    <row r="44" customFormat="false" ht="15" hidden="false" customHeight="true" outlineLevel="0" collapsed="false">
      <c r="A44" s="8" t="s">
        <v>72</v>
      </c>
      <c r="B44" s="31" t="n">
        <f aca="false">SUMIFS(Détail!$E:$E,Détail!$D:$D,"MR BOUDJADA MOUNIR",Détail!$A:$A,"&gt;="&amp;DATE(2025,8,1),Détail!$A:$A,"&lt;"&amp;EDATE(DATE(2025,8,1),1))</f>
        <v>-1273.69</v>
      </c>
    </row>
    <row r="45" customFormat="false" ht="15" hidden="false" customHeight="true" outlineLevel="0" collapsed="false">
      <c r="A45" s="8" t="s">
        <v>73</v>
      </c>
      <c r="B45" s="31" t="n">
        <f aca="false">SUMIFS(Détail!$E:$E,Détail!$D:$D,"MR BOUDJADA MOUNIR",Détail!$A:$A,"&gt;="&amp;DATE(2025,9,1),Détail!$A:$A,"&lt;"&amp;EDATE(DATE(2025,9,1),1))</f>
        <v>-1218.1</v>
      </c>
    </row>
    <row r="46" customFormat="false" ht="15" hidden="false" customHeight="true" outlineLevel="0" collapsed="false">
      <c r="A46" s="8" t="s">
        <v>74</v>
      </c>
      <c r="B46" s="31" t="n">
        <f aca="false">SUMIFS(Détail!$E:$E,Détail!$D:$D,"MR BOUDJADA MOUNIR",Détail!$A:$A,"&gt;="&amp;DATE(2025,10,1),Détail!$A:$A,"&lt;"&amp;EDATE(DATE(2025,10,1),1))</f>
        <v>-1236.18</v>
      </c>
    </row>
    <row r="47" customFormat="false" ht="15" hidden="false" customHeight="true" outlineLevel="0" collapsed="false">
      <c r="A47" s="8" t="s">
        <v>75</v>
      </c>
      <c r="B47" s="31" t="n">
        <f aca="false">SUMIFS(Détail!$E:$E,Détail!$D:$D,"MR BOUDJADA MOUNIR",Détail!$A:$A,"&gt;="&amp;DATE(2025,11,1),Détail!$A:$A,"&lt;"&amp;EDATE(DATE(2025,11,1),1))</f>
        <v>-1303.84</v>
      </c>
    </row>
    <row r="48" customFormat="false" ht="15" hidden="false" customHeight="true" outlineLevel="0" collapsed="false">
      <c r="A48" s="8" t="s">
        <v>76</v>
      </c>
      <c r="B48" s="31" t="n">
        <f aca="false">SUMIFS(Détail!$E:$E,Détail!$D:$D,"MR BOUDJADA MOUNIR",Détail!$A:$A,"&gt;="&amp;DATE(2025,12,1),Détail!$A:$A,"&lt;"&amp;EDATE(DATE(2025,12,1),1))</f>
        <v>-3597.83</v>
      </c>
    </row>
    <row r="51" customFormat="false" ht="15" hidden="false" customHeight="true" outlineLevel="0" collapsed="false">
      <c r="A51" s="29" t="s">
        <v>89</v>
      </c>
      <c r="B51" s="29"/>
      <c r="C51" s="30" t="n">
        <f aca="false">SUMIF(Détail!$D:$D,"MME MACHADO NATALI",Détail!$E:$E)</f>
        <v>-20135.55</v>
      </c>
    </row>
    <row r="52" customFormat="false" ht="15" hidden="false" customHeight="true" outlineLevel="0" collapsed="false">
      <c r="A52" s="24" t="s">
        <v>63</v>
      </c>
      <c r="B52" s="24" t="s">
        <v>64</v>
      </c>
    </row>
    <row r="53" customFormat="false" ht="15" hidden="false" customHeight="true" outlineLevel="0" collapsed="false">
      <c r="A53" s="8" t="s">
        <v>65</v>
      </c>
      <c r="B53" s="31" t="n">
        <f aca="false">SUMIFS(Détail!$E:$E,Détail!$D:$D,"MME MACHADO NATALI",Détail!$A:$A,"&gt;="&amp;DATE(2025,1,1),Détail!$A:$A,"&lt;"&amp;EDATE(DATE(2025,1,1),1))</f>
        <v>-1000</v>
      </c>
    </row>
    <row r="54" customFormat="false" ht="15" hidden="false" customHeight="true" outlineLevel="0" collapsed="false">
      <c r="A54" s="8" t="s">
        <v>66</v>
      </c>
      <c r="B54" s="31" t="n">
        <f aca="false">SUMIFS(Détail!$E:$E,Détail!$D:$D,"MME MACHADO NATALI",Détail!$A:$A,"&gt;="&amp;DATE(2025,2,1),Détail!$A:$A,"&lt;"&amp;EDATE(DATE(2025,2,1),1))</f>
        <v>-1636.46</v>
      </c>
    </row>
    <row r="55" customFormat="false" ht="15" hidden="false" customHeight="true" outlineLevel="0" collapsed="false">
      <c r="A55" s="8" t="s">
        <v>67</v>
      </c>
      <c r="B55" s="31" t="n">
        <f aca="false">SUMIFS(Détail!$E:$E,Détail!$D:$D,"MME MACHADO NATALI",Détail!$A:$A,"&gt;="&amp;DATE(2025,3,1),Détail!$A:$A,"&lt;"&amp;EDATE(DATE(2025,3,1),1))</f>
        <v>-1271.06</v>
      </c>
    </row>
    <row r="56" customFormat="false" ht="15" hidden="false" customHeight="true" outlineLevel="0" collapsed="false">
      <c r="A56" s="8" t="s">
        <v>68</v>
      </c>
      <c r="B56" s="31" t="n">
        <f aca="false">SUMIFS(Détail!$E:$E,Détail!$D:$D,"MME MACHADO NATALI",Détail!$A:$A,"&gt;="&amp;DATE(2025,4,1),Détail!$A:$A,"&lt;"&amp;EDATE(DATE(2025,4,1),1))</f>
        <v>-1000</v>
      </c>
    </row>
    <row r="57" customFormat="false" ht="15" hidden="false" customHeight="true" outlineLevel="0" collapsed="false">
      <c r="A57" s="8" t="s">
        <v>69</v>
      </c>
      <c r="B57" s="31" t="n">
        <f aca="false">SUMIFS(Détail!$E:$E,Détail!$D:$D,"MME MACHADO NATALI",Détail!$A:$A,"&gt;="&amp;DATE(2025,5,1),Détail!$A:$A,"&lt;"&amp;EDATE(DATE(2025,5,1),1))</f>
        <v>-1314.24</v>
      </c>
    </row>
    <row r="58" customFormat="false" ht="15" hidden="false" customHeight="true" outlineLevel="0" collapsed="false">
      <c r="A58" s="8" t="s">
        <v>70</v>
      </c>
      <c r="B58" s="31" t="n">
        <f aca="false">SUMIFS(Détail!$E:$E,Détail!$D:$D,"MME MACHADO NATALI",Détail!$A:$A,"&gt;="&amp;DATE(2025,6,1),Détail!$A:$A,"&lt;"&amp;EDATE(DATE(2025,6,1),1))</f>
        <v>-2581.16</v>
      </c>
    </row>
    <row r="59" customFormat="false" ht="15" hidden="false" customHeight="true" outlineLevel="0" collapsed="false">
      <c r="A59" s="8" t="s">
        <v>71</v>
      </c>
      <c r="B59" s="31" t="n">
        <f aca="false">SUMIFS(Détail!$E:$E,Détail!$D:$D,"MME MACHADO NATALI",Détail!$A:$A,"&gt;="&amp;DATE(2025,7,1),Détail!$A:$A,"&lt;"&amp;EDATE(DATE(2025,7,1),1))</f>
        <v>-1300.24</v>
      </c>
    </row>
    <row r="60" customFormat="false" ht="15" hidden="false" customHeight="true" outlineLevel="0" collapsed="false">
      <c r="A60" s="8" t="s">
        <v>72</v>
      </c>
      <c r="B60" s="31" t="n">
        <f aca="false">SUMIFS(Détail!$E:$E,Détail!$D:$D,"MME MACHADO NATALI",Détail!$A:$A,"&gt;="&amp;DATE(2025,8,1),Détail!$A:$A,"&lt;"&amp;EDATE(DATE(2025,8,1),1))</f>
        <v>-1356.37</v>
      </c>
    </row>
    <row r="61" customFormat="false" ht="15" hidden="false" customHeight="true" outlineLevel="0" collapsed="false">
      <c r="A61" s="8" t="s">
        <v>73</v>
      </c>
      <c r="B61" s="31" t="n">
        <f aca="false">SUMIFS(Détail!$E:$E,Détail!$D:$D,"MME MACHADO NATALI",Détail!$A:$A,"&gt;="&amp;DATE(2025,9,1),Détail!$A:$A,"&lt;"&amp;EDATE(DATE(2025,9,1),1))</f>
        <v>-800</v>
      </c>
    </row>
    <row r="62" customFormat="false" ht="15" hidden="false" customHeight="true" outlineLevel="0" collapsed="false">
      <c r="A62" s="8" t="s">
        <v>74</v>
      </c>
      <c r="B62" s="31" t="n">
        <f aca="false">SUMIFS(Détail!$E:$E,Détail!$D:$D,"MME MACHADO NATALI",Détail!$A:$A,"&gt;="&amp;DATE(2025,10,1),Détail!$A:$A,"&lt;"&amp;EDATE(DATE(2025,10,1),1))</f>
        <v>-2793.12</v>
      </c>
    </row>
    <row r="63" customFormat="false" ht="15" hidden="false" customHeight="true" outlineLevel="0" collapsed="false">
      <c r="A63" s="8" t="s">
        <v>75</v>
      </c>
      <c r="B63" s="31" t="n">
        <f aca="false">SUMIFS(Détail!$E:$E,Détail!$D:$D,"MME MACHADO NATALI",Détail!$A:$A,"&gt;="&amp;DATE(2025,11,1),Détail!$A:$A,"&lt;"&amp;EDATE(DATE(2025,11,1),1))</f>
        <v>-1782.23</v>
      </c>
    </row>
    <row r="64" customFormat="false" ht="15" hidden="false" customHeight="true" outlineLevel="0" collapsed="false">
      <c r="A64" s="8" t="s">
        <v>76</v>
      </c>
      <c r="B64" s="31" t="n">
        <f aca="false">SUMIFS(Détail!$E:$E,Détail!$D:$D,"MME MACHADO NATALI",Détail!$A:$A,"&gt;="&amp;DATE(2025,12,1),Détail!$A:$A,"&lt;"&amp;EDATE(DATE(2025,12,1),1))</f>
        <v>-3300.67</v>
      </c>
    </row>
    <row r="67" customFormat="false" ht="15" hidden="false" customHeight="true" outlineLevel="0" collapsed="false">
      <c r="A67" s="29" t="s">
        <v>90</v>
      </c>
      <c r="B67" s="29"/>
      <c r="C67" s="30" t="n">
        <f aca="false">SUMIF(Détail!$D:$D,"MME MACHADO NATALI (avance sur salaire)",Détail!$E:$E)</f>
        <v>-3000</v>
      </c>
    </row>
    <row r="68" customFormat="false" ht="15" hidden="false" customHeight="true" outlineLevel="0" collapsed="false">
      <c r="A68" s="24" t="s">
        <v>63</v>
      </c>
      <c r="B68" s="24" t="s">
        <v>64</v>
      </c>
    </row>
    <row r="69" customFormat="false" ht="15" hidden="false" customHeight="true" outlineLevel="0" collapsed="false">
      <c r="A69" s="8" t="s">
        <v>65</v>
      </c>
      <c r="B69" s="31" t="n">
        <f aca="false">SUMIFS(Détail!$E:$E,Détail!$D:$D,"MME MACHADO NATALI (avance sur salaire)",Détail!$A:$A,"&gt;="&amp;DATE(2025,1,1),Détail!$A:$A,"&lt;"&amp;EDATE(DATE(2025,1,1),1))</f>
        <v>0</v>
      </c>
    </row>
    <row r="70" customFormat="false" ht="15" hidden="false" customHeight="true" outlineLevel="0" collapsed="false">
      <c r="A70" s="8" t="s">
        <v>66</v>
      </c>
      <c r="B70" s="31" t="n">
        <f aca="false">SUMIFS(Détail!$E:$E,Détail!$D:$D,"MME MACHADO NATALI (avance sur salaire)",Détail!$A:$A,"&gt;="&amp;DATE(2025,2,1),Détail!$A:$A,"&lt;"&amp;EDATE(DATE(2025,2,1),1))</f>
        <v>0</v>
      </c>
    </row>
    <row r="71" customFormat="false" ht="15" hidden="false" customHeight="true" outlineLevel="0" collapsed="false">
      <c r="A71" s="8" t="s">
        <v>67</v>
      </c>
      <c r="B71" s="31" t="n">
        <f aca="false">SUMIFS(Détail!$E:$E,Détail!$D:$D,"MME MACHADO NATALI (avance sur salaire)",Détail!$A:$A,"&gt;="&amp;DATE(2025,3,1),Détail!$A:$A,"&lt;"&amp;EDATE(DATE(2025,3,1),1))</f>
        <v>0</v>
      </c>
    </row>
    <row r="72" customFormat="false" ht="15" hidden="false" customHeight="true" outlineLevel="0" collapsed="false">
      <c r="A72" s="8" t="s">
        <v>68</v>
      </c>
      <c r="B72" s="31" t="n">
        <f aca="false">SUMIFS(Détail!$E:$E,Détail!$D:$D,"MME MACHADO NATALI (avance sur salaire)",Détail!$A:$A,"&gt;="&amp;DATE(2025,4,1),Détail!$A:$A,"&lt;"&amp;EDATE(DATE(2025,4,1),1))</f>
        <v>0</v>
      </c>
    </row>
    <row r="73" customFormat="false" ht="15" hidden="false" customHeight="true" outlineLevel="0" collapsed="false">
      <c r="A73" s="8" t="s">
        <v>69</v>
      </c>
      <c r="B73" s="31" t="n">
        <f aca="false">SUMIFS(Détail!$E:$E,Détail!$D:$D,"MME MACHADO NATALI (avance sur salaire)",Détail!$A:$A,"&gt;="&amp;DATE(2025,5,1),Détail!$A:$A,"&lt;"&amp;EDATE(DATE(2025,5,1),1))</f>
        <v>0</v>
      </c>
    </row>
    <row r="74" customFormat="false" ht="15" hidden="false" customHeight="true" outlineLevel="0" collapsed="false">
      <c r="A74" s="8" t="s">
        <v>70</v>
      </c>
      <c r="B74" s="31" t="n">
        <f aca="false">SUMIFS(Détail!$E:$E,Détail!$D:$D,"MME MACHADO NATALI (avance sur salaire)",Détail!$A:$A,"&gt;="&amp;DATE(2025,6,1),Détail!$A:$A,"&lt;"&amp;EDATE(DATE(2025,6,1),1))</f>
        <v>0</v>
      </c>
    </row>
    <row r="75" customFormat="false" ht="15" hidden="false" customHeight="true" outlineLevel="0" collapsed="false">
      <c r="A75" s="8" t="s">
        <v>71</v>
      </c>
      <c r="B75" s="31" t="n">
        <f aca="false">SUMIFS(Détail!$E:$E,Détail!$D:$D,"MME MACHADO NATALI (avance sur salaire)",Détail!$A:$A,"&gt;="&amp;DATE(2025,7,1),Détail!$A:$A,"&lt;"&amp;EDATE(DATE(2025,7,1),1))</f>
        <v>0</v>
      </c>
    </row>
    <row r="76" customFormat="false" ht="15" hidden="false" customHeight="true" outlineLevel="0" collapsed="false">
      <c r="A76" s="8" t="s">
        <v>72</v>
      </c>
      <c r="B76" s="31" t="n">
        <f aca="false">SUMIFS(Détail!$E:$E,Détail!$D:$D,"MME MACHADO NATALI (avance sur salaire)",Détail!$A:$A,"&gt;="&amp;DATE(2025,8,1),Détail!$A:$A,"&lt;"&amp;EDATE(DATE(2025,8,1),1))</f>
        <v>0</v>
      </c>
    </row>
    <row r="77" customFormat="false" ht="15" hidden="false" customHeight="true" outlineLevel="0" collapsed="false">
      <c r="A77" s="8" t="s">
        <v>73</v>
      </c>
      <c r="B77" s="31" t="n">
        <f aca="false">SUMIFS(Détail!$E:$E,Détail!$D:$D,"MME MACHADO NATALI (avance sur salaire)",Détail!$A:$A,"&gt;="&amp;DATE(2025,9,1),Détail!$A:$A,"&lt;"&amp;EDATE(DATE(2025,9,1),1))</f>
        <v>0</v>
      </c>
    </row>
    <row r="78" customFormat="false" ht="15" hidden="false" customHeight="true" outlineLevel="0" collapsed="false">
      <c r="A78" s="8" t="s">
        <v>74</v>
      </c>
      <c r="B78" s="31" t="n">
        <f aca="false">SUMIFS(Détail!$E:$E,Détail!$D:$D,"MME MACHADO NATALI (avance sur salaire)",Détail!$A:$A,"&gt;="&amp;DATE(2025,10,1),Détail!$A:$A,"&lt;"&amp;EDATE(DATE(2025,10,1),1))</f>
        <v>0</v>
      </c>
    </row>
    <row r="79" customFormat="false" ht="15" hidden="false" customHeight="true" outlineLevel="0" collapsed="false">
      <c r="A79" s="8" t="s">
        <v>75</v>
      </c>
      <c r="B79" s="31" t="n">
        <f aca="false">SUMIFS(Détail!$E:$E,Détail!$D:$D,"MME MACHADO NATALI (avance sur salaire)",Détail!$A:$A,"&gt;="&amp;DATE(2025,11,1),Détail!$A:$A,"&lt;"&amp;EDATE(DATE(2025,11,1),1))</f>
        <v>-3000</v>
      </c>
    </row>
    <row r="80" customFormat="false" ht="15" hidden="false" customHeight="true" outlineLevel="0" collapsed="false">
      <c r="A80" s="8" t="s">
        <v>76</v>
      </c>
      <c r="B80" s="31" t="n">
        <f aca="false">SUMIFS(Détail!$E:$E,Détail!$D:$D,"MME MACHADO NATALI (avance sur salaire)",Détail!$A:$A,"&gt;="&amp;DATE(2025,12,1),Détail!$A:$A,"&lt;"&amp;EDATE(DATE(2025,12,1),1))</f>
        <v>0</v>
      </c>
    </row>
  </sheetData>
  <mergeCells count="5">
    <mergeCell ref="A3:B3"/>
    <mergeCell ref="A19:B19"/>
    <mergeCell ref="A35:B35"/>
    <mergeCell ref="A51:B51"/>
    <mergeCell ref="A67:B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91</v>
      </c>
    </row>
    <row r="3" customFormat="false" ht="15" hidden="false" customHeight="true" outlineLevel="0" collapsed="false">
      <c r="A3" s="29" t="s">
        <v>92</v>
      </c>
      <c r="B3" s="29"/>
      <c r="C3" s="30" t="n">
        <f aca="false">SUMIF(Détail!$D:$D,"FIRMENICH",Détail!$E:$E)</f>
        <v>-227485.55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SUMIFS(Détail!$E:$E,Détail!$D:$D,"FIRMENICH",Détail!$A:$A,"&gt;="&amp;DATE(2025,1,1),Détail!$A:$A,"&lt;"&amp;EDATE(DATE(2025,1,1),1))</f>
        <v>0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SUMIFS(Détail!$E:$E,Détail!$D:$D,"FIRMENICH",Détail!$A:$A,"&gt;="&amp;DATE(2025,2,1),Détail!$A:$A,"&lt;"&amp;EDATE(DATE(2025,2,1),1))</f>
        <v>0</v>
      </c>
    </row>
    <row r="7" customFormat="false" ht="15" hidden="false" customHeight="true" outlineLevel="0" collapsed="false">
      <c r="A7" s="8" t="s">
        <v>67</v>
      </c>
      <c r="B7" s="31" t="n">
        <f aca="false">SUMIFS(Détail!$E:$E,Détail!$D:$D,"FIRMENICH",Détail!$A:$A,"&gt;="&amp;DATE(2025,3,1),Détail!$A:$A,"&lt;"&amp;EDATE(DATE(2025,3,1),1))</f>
        <v>-26530.22</v>
      </c>
    </row>
    <row r="8" customFormat="false" ht="15" hidden="false" customHeight="true" outlineLevel="0" collapsed="false">
      <c r="A8" s="8" t="s">
        <v>68</v>
      </c>
      <c r="B8" s="31" t="n">
        <f aca="false">SUMIFS(Détail!$E:$E,Détail!$D:$D,"FIRMENICH",Détail!$A:$A,"&gt;="&amp;DATE(2025,4,1),Détail!$A:$A,"&lt;"&amp;EDATE(DATE(2025,4,1),1))</f>
        <v>0</v>
      </c>
    </row>
    <row r="9" customFormat="false" ht="15" hidden="false" customHeight="true" outlineLevel="0" collapsed="false">
      <c r="A9" s="8" t="s">
        <v>69</v>
      </c>
      <c r="B9" s="31" t="n">
        <f aca="false">SUMIFS(Détail!$E:$E,Détail!$D:$D,"FIRMENICH",Détail!$A:$A,"&gt;="&amp;DATE(2025,5,1),Détail!$A:$A,"&lt;"&amp;EDATE(DATE(2025,5,1),1))</f>
        <v>0</v>
      </c>
    </row>
    <row r="10" customFormat="false" ht="15" hidden="false" customHeight="true" outlineLevel="0" collapsed="false">
      <c r="A10" s="8" t="s">
        <v>70</v>
      </c>
      <c r="B10" s="31" t="n">
        <f aca="false">SUMIFS(Détail!$E:$E,Détail!$D:$D,"FIRMENICH",Détail!$A:$A,"&gt;="&amp;DATE(2025,6,1),Détail!$A:$A,"&lt;"&amp;EDATE(DATE(2025,6,1),1))</f>
        <v>0</v>
      </c>
    </row>
    <row r="11" customFormat="false" ht="15" hidden="false" customHeight="true" outlineLevel="0" collapsed="false">
      <c r="A11" s="8" t="s">
        <v>71</v>
      </c>
      <c r="B11" s="31" t="n">
        <f aca="false">SUMIFS(Détail!$E:$E,Détail!$D:$D,"FIRMENICH",Détail!$A:$A,"&gt;="&amp;DATE(2025,7,1),Détail!$A:$A,"&lt;"&amp;EDATE(DATE(2025,7,1),1))</f>
        <v>-88850.73</v>
      </c>
    </row>
    <row r="12" customFormat="false" ht="15" hidden="false" customHeight="true" outlineLevel="0" collapsed="false">
      <c r="A12" s="8" t="s">
        <v>72</v>
      </c>
      <c r="B12" s="31" t="n">
        <f aca="false">SUMIFS(Détail!$E:$E,Détail!$D:$D,"FIRMENICH",Détail!$A:$A,"&gt;="&amp;DATE(2025,8,1),Détail!$A:$A,"&lt;"&amp;EDATE(DATE(2025,8,1),1))</f>
        <v>-101001.5</v>
      </c>
    </row>
    <row r="13" customFormat="false" ht="15" hidden="false" customHeight="true" outlineLevel="0" collapsed="false">
      <c r="A13" s="8" t="s">
        <v>73</v>
      </c>
      <c r="B13" s="31" t="n">
        <f aca="false">SUMIFS(Détail!$E:$E,Détail!$D:$D,"FIRMENICH",Détail!$A:$A,"&gt;="&amp;DATE(2025,9,1),Détail!$A:$A,"&lt;"&amp;EDATE(DATE(2025,9,1),1))</f>
        <v>0</v>
      </c>
    </row>
    <row r="14" customFormat="false" ht="15" hidden="false" customHeight="true" outlineLevel="0" collapsed="false">
      <c r="A14" s="8" t="s">
        <v>74</v>
      </c>
      <c r="B14" s="31" t="n">
        <f aca="false">SUMIFS(Détail!$E:$E,Détail!$D:$D,"FIRMENICH",Détail!$A:$A,"&gt;="&amp;DATE(2025,10,1),Détail!$A:$A,"&lt;"&amp;EDATE(DATE(2025,10,1),1))</f>
        <v>0</v>
      </c>
    </row>
    <row r="15" customFormat="false" ht="15" hidden="false" customHeight="true" outlineLevel="0" collapsed="false">
      <c r="A15" s="8" t="s">
        <v>76</v>
      </c>
      <c r="B15" s="31" t="n">
        <f aca="false">SUMIFS(Détail!$E:$E,Détail!$D:$D,"FIRMENICH",Détail!$A:$A,"&gt;="&amp;DATE(2025,12,1),Détail!$A:$A,"&lt;"&amp;EDATE(DATE(2025,12,1),1))</f>
        <v>-11103.1</v>
      </c>
    </row>
    <row r="18" customFormat="false" ht="15" hidden="false" customHeight="true" outlineLevel="0" collapsed="false">
      <c r="A18" s="29" t="s">
        <v>93</v>
      </c>
      <c r="B18" s="29"/>
      <c r="C18" s="30" t="n">
        <f aca="false">SUMIF(Détail!$D:$D,"AROMASCENT",Détail!$E:$E)</f>
        <v>-95058</v>
      </c>
    </row>
    <row r="19" customFormat="false" ht="15" hidden="false" customHeight="true" outlineLevel="0" collapsed="false">
      <c r="A19" s="24" t="s">
        <v>63</v>
      </c>
      <c r="B19" s="24" t="s">
        <v>64</v>
      </c>
    </row>
    <row r="20" customFormat="false" ht="15" hidden="false" customHeight="true" outlineLevel="0" collapsed="false">
      <c r="A20" s="8" t="s">
        <v>65</v>
      </c>
      <c r="B20" s="31" t="n">
        <f aca="false">SUMIFS(Détail!$E:$E,Détail!$D:$D,"AROMASCENT",Détail!$A:$A,"&gt;="&amp;DATE(2025,1,1),Détail!$A:$A,"&lt;"&amp;EDATE(DATE(2025,1,1),1))</f>
        <v>0</v>
      </c>
    </row>
    <row r="21" customFormat="false" ht="15" hidden="false" customHeight="true" outlineLevel="0" collapsed="false">
      <c r="A21" s="8" t="s">
        <v>66</v>
      </c>
      <c r="B21" s="31" t="n">
        <f aca="false">SUMIFS(Détail!$E:$E,Détail!$D:$D,"AROMASCENT",Détail!$A:$A,"&gt;="&amp;DATE(2025,2,1),Détail!$A:$A,"&lt;"&amp;EDATE(DATE(2025,2,1),1))</f>
        <v>0</v>
      </c>
    </row>
    <row r="22" customFormat="false" ht="15" hidden="false" customHeight="true" outlineLevel="0" collapsed="false">
      <c r="A22" s="8" t="s">
        <v>67</v>
      </c>
      <c r="B22" s="31" t="n">
        <f aca="false">SUMIFS(Détail!$E:$E,Détail!$D:$D,"AROMASCENT",Détail!$A:$A,"&gt;="&amp;DATE(2025,3,1),Détail!$A:$A,"&lt;"&amp;EDATE(DATE(2025,3,1),1))</f>
        <v>-86184</v>
      </c>
    </row>
    <row r="23" customFormat="false" ht="15" hidden="false" customHeight="true" outlineLevel="0" collapsed="false">
      <c r="A23" s="8" t="s">
        <v>68</v>
      </c>
      <c r="B23" s="31" t="n">
        <f aca="false">SUMIFS(Détail!$E:$E,Détail!$D:$D,"AROMASCENT",Détail!$A:$A,"&gt;="&amp;DATE(2025,4,1),Détail!$A:$A,"&lt;"&amp;EDATE(DATE(2025,4,1),1))</f>
        <v>0</v>
      </c>
    </row>
    <row r="24" customFormat="false" ht="15" hidden="false" customHeight="true" outlineLevel="0" collapsed="false">
      <c r="A24" s="8" t="s">
        <v>69</v>
      </c>
      <c r="B24" s="31" t="n">
        <f aca="false">SUMIFS(Détail!$E:$E,Détail!$D:$D,"AROMASCENT",Détail!$A:$A,"&gt;="&amp;DATE(2025,5,1),Détail!$A:$A,"&lt;"&amp;EDATE(DATE(2025,5,1),1))</f>
        <v>0</v>
      </c>
    </row>
    <row r="25" customFormat="false" ht="15" hidden="false" customHeight="true" outlineLevel="0" collapsed="false">
      <c r="A25" s="8" t="s">
        <v>70</v>
      </c>
      <c r="B25" s="31" t="n">
        <f aca="false">SUMIFS(Détail!$E:$E,Détail!$D:$D,"AROMASCENT",Détail!$A:$A,"&gt;="&amp;DATE(2025,6,1),Détail!$A:$A,"&lt;"&amp;EDATE(DATE(2025,6,1),1))</f>
        <v>0</v>
      </c>
    </row>
    <row r="26" customFormat="false" ht="15" hidden="false" customHeight="true" outlineLevel="0" collapsed="false">
      <c r="A26" s="8" t="s">
        <v>71</v>
      </c>
      <c r="B26" s="31" t="n">
        <f aca="false">SUMIFS(Détail!$E:$E,Détail!$D:$D,"AROMASCENT",Détail!$A:$A,"&gt;="&amp;DATE(2025,7,1),Détail!$A:$A,"&lt;"&amp;EDATE(DATE(2025,7,1),1))</f>
        <v>0</v>
      </c>
    </row>
    <row r="27" customFormat="false" ht="15" hidden="false" customHeight="true" outlineLevel="0" collapsed="false">
      <c r="A27" s="8" t="s">
        <v>72</v>
      </c>
      <c r="B27" s="31" t="n">
        <f aca="false">SUMIFS(Détail!$E:$E,Détail!$D:$D,"AROMASCENT",Détail!$A:$A,"&gt;="&amp;DATE(2025,8,1),Détail!$A:$A,"&lt;"&amp;EDATE(DATE(2025,8,1),1))</f>
        <v>0</v>
      </c>
    </row>
    <row r="28" customFormat="false" ht="15" hidden="false" customHeight="true" outlineLevel="0" collapsed="false">
      <c r="A28" s="8" t="s">
        <v>73</v>
      </c>
      <c r="B28" s="31" t="n">
        <f aca="false">SUMIFS(Détail!$E:$E,Détail!$D:$D,"AROMASCENT",Détail!$A:$A,"&gt;="&amp;DATE(2025,9,1),Détail!$A:$A,"&lt;"&amp;EDATE(DATE(2025,9,1),1))</f>
        <v>0</v>
      </c>
    </row>
    <row r="29" customFormat="false" ht="15" hidden="false" customHeight="true" outlineLevel="0" collapsed="false">
      <c r="A29" s="8" t="s">
        <v>74</v>
      </c>
      <c r="B29" s="31" t="n">
        <f aca="false">SUMIFS(Détail!$E:$E,Détail!$D:$D,"AROMASCENT",Détail!$A:$A,"&gt;="&amp;DATE(2025,10,1),Détail!$A:$A,"&lt;"&amp;EDATE(DATE(2025,10,1),1))</f>
        <v>-5916</v>
      </c>
    </row>
    <row r="30" customFormat="false" ht="15" hidden="false" customHeight="true" outlineLevel="0" collapsed="false">
      <c r="A30" s="8" t="s">
        <v>76</v>
      </c>
      <c r="B30" s="31" t="n">
        <f aca="false">SUMIFS(Détail!$E:$E,Détail!$D:$D,"AROMASCENT",Détail!$A:$A,"&gt;="&amp;DATE(2025,12,1),Détail!$A:$A,"&lt;"&amp;EDATE(DATE(2025,12,1),1))</f>
        <v>-2958</v>
      </c>
    </row>
    <row r="33" customFormat="false" ht="15" hidden="false" customHeight="true" outlineLevel="0" collapsed="false">
      <c r="A33" s="29" t="s">
        <v>94</v>
      </c>
      <c r="B33" s="29"/>
      <c r="C33" s="30" t="n">
        <f aca="false">SUMIF(Détail!$D:$D,"CPL AROMAS FRANCE",Détail!$E:$E)</f>
        <v>-75040</v>
      </c>
    </row>
    <row r="34" customFormat="false" ht="15" hidden="false" customHeight="true" outlineLevel="0" collapsed="false">
      <c r="A34" s="24" t="s">
        <v>63</v>
      </c>
      <c r="B34" s="24" t="s">
        <v>64</v>
      </c>
    </row>
    <row r="35" customFormat="false" ht="15" hidden="false" customHeight="true" outlineLevel="0" collapsed="false">
      <c r="A35" s="8" t="s">
        <v>65</v>
      </c>
      <c r="B35" s="31" t="n">
        <f aca="false">SUMIFS(Détail!$E:$E,Détail!$D:$D,"CPL AROMAS FRANCE",Détail!$A:$A,"&gt;="&amp;DATE(2025,1,1),Détail!$A:$A,"&lt;"&amp;EDATE(DATE(2025,1,1),1))</f>
        <v>-5075</v>
      </c>
    </row>
    <row r="36" customFormat="false" ht="15" hidden="false" customHeight="true" outlineLevel="0" collapsed="false">
      <c r="A36" s="8" t="s">
        <v>66</v>
      </c>
      <c r="B36" s="31" t="n">
        <f aca="false">SUMIFS(Détail!$E:$E,Détail!$D:$D,"CPL AROMAS FRANCE",Détail!$A:$A,"&gt;="&amp;DATE(2025,2,1),Détail!$A:$A,"&lt;"&amp;EDATE(DATE(2025,2,1),1))</f>
        <v>-13125</v>
      </c>
    </row>
    <row r="37" customFormat="false" ht="15" hidden="false" customHeight="true" outlineLevel="0" collapsed="false">
      <c r="A37" s="8" t="s">
        <v>67</v>
      </c>
      <c r="B37" s="31" t="n">
        <f aca="false">SUMIFS(Détail!$E:$E,Détail!$D:$D,"CPL AROMAS FRANCE",Détail!$A:$A,"&gt;="&amp;DATE(2025,3,1),Détail!$A:$A,"&lt;"&amp;EDATE(DATE(2025,3,1),1))</f>
        <v>-18250</v>
      </c>
    </row>
    <row r="38" customFormat="false" ht="15" hidden="false" customHeight="true" outlineLevel="0" collapsed="false">
      <c r="A38" s="8" t="s">
        <v>68</v>
      </c>
      <c r="B38" s="31" t="n">
        <f aca="false">SUMIFS(Détail!$E:$E,Détail!$D:$D,"CPL AROMAS FRANCE",Détail!$A:$A,"&gt;="&amp;DATE(2025,4,1),Détail!$A:$A,"&lt;"&amp;EDATE(DATE(2025,4,1),1))</f>
        <v>0</v>
      </c>
    </row>
    <row r="39" customFormat="false" ht="15" hidden="false" customHeight="true" outlineLevel="0" collapsed="false">
      <c r="A39" s="8" t="s">
        <v>69</v>
      </c>
      <c r="B39" s="31" t="n">
        <f aca="false">SUMIFS(Détail!$E:$E,Détail!$D:$D,"CPL AROMAS FRANCE",Détail!$A:$A,"&gt;="&amp;DATE(2025,5,1),Détail!$A:$A,"&lt;"&amp;EDATE(DATE(2025,5,1),1))</f>
        <v>-6686</v>
      </c>
    </row>
    <row r="40" customFormat="false" ht="15" hidden="false" customHeight="true" outlineLevel="0" collapsed="false">
      <c r="A40" s="8" t="s">
        <v>70</v>
      </c>
      <c r="B40" s="31" t="n">
        <f aca="false">SUMIFS(Détail!$E:$E,Détail!$D:$D,"CPL AROMAS FRANCE",Détail!$A:$A,"&gt;="&amp;DATE(2025,6,1),Détail!$A:$A,"&lt;"&amp;EDATE(DATE(2025,6,1),1))</f>
        <v>0</v>
      </c>
    </row>
    <row r="41" customFormat="false" ht="15" hidden="false" customHeight="true" outlineLevel="0" collapsed="false">
      <c r="A41" s="8" t="s">
        <v>71</v>
      </c>
      <c r="B41" s="31" t="n">
        <f aca="false">SUMIFS(Détail!$E:$E,Détail!$D:$D,"CPL AROMAS FRANCE",Détail!$A:$A,"&gt;="&amp;DATE(2025,7,1),Détail!$A:$A,"&lt;"&amp;EDATE(DATE(2025,7,1),1))</f>
        <v>0</v>
      </c>
    </row>
    <row r="42" customFormat="false" ht="15" hidden="false" customHeight="true" outlineLevel="0" collapsed="false">
      <c r="A42" s="8" t="s">
        <v>72</v>
      </c>
      <c r="B42" s="31" t="n">
        <f aca="false">SUMIFS(Détail!$E:$E,Détail!$D:$D,"CPL AROMAS FRANCE",Détail!$A:$A,"&gt;="&amp;DATE(2025,8,1),Détail!$A:$A,"&lt;"&amp;EDATE(DATE(2025,8,1),1))</f>
        <v>0</v>
      </c>
    </row>
    <row r="43" customFormat="false" ht="15" hidden="false" customHeight="true" outlineLevel="0" collapsed="false">
      <c r="A43" s="8" t="s">
        <v>73</v>
      </c>
      <c r="B43" s="31" t="n">
        <f aca="false">SUMIFS(Détail!$E:$E,Détail!$D:$D,"CPL AROMAS FRANCE",Détail!$A:$A,"&gt;="&amp;DATE(2025,9,1),Détail!$A:$A,"&lt;"&amp;EDATE(DATE(2025,9,1),1))</f>
        <v>-4670</v>
      </c>
    </row>
    <row r="44" customFormat="false" ht="15" hidden="false" customHeight="true" outlineLevel="0" collapsed="false">
      <c r="A44" s="8" t="s">
        <v>74</v>
      </c>
      <c r="B44" s="31" t="n">
        <f aca="false">SUMIFS(Détail!$E:$E,Détail!$D:$D,"CPL AROMAS FRANCE",Détail!$A:$A,"&gt;="&amp;DATE(2025,10,1),Détail!$A:$A,"&lt;"&amp;EDATE(DATE(2025,10,1),1))</f>
        <v>-26418</v>
      </c>
    </row>
    <row r="45" customFormat="false" ht="15" hidden="false" customHeight="true" outlineLevel="0" collapsed="false">
      <c r="A45" s="8" t="s">
        <v>76</v>
      </c>
      <c r="B45" s="31" t="n">
        <f aca="false">SUMIFS(Détail!$E:$E,Détail!$D:$D,"CPL AROMAS FRANCE",Détail!$A:$A,"&gt;="&amp;DATE(2025,12,1),Détail!$A:$A,"&lt;"&amp;EDATE(DATE(2025,12,1),1))</f>
        <v>-816</v>
      </c>
    </row>
    <row r="48" customFormat="false" ht="15" hidden="false" customHeight="true" outlineLevel="0" collapsed="false">
      <c r="A48" s="29" t="s">
        <v>95</v>
      </c>
      <c r="B48" s="29"/>
      <c r="C48" s="30" t="n">
        <f aca="false">SUMIF(Détail!$D:$D,"ENVASES",Détail!$E:$E)</f>
        <v>-46448.1</v>
      </c>
    </row>
    <row r="49" customFormat="false" ht="15" hidden="false" customHeight="true" outlineLevel="0" collapsed="false">
      <c r="A49" s="24" t="s">
        <v>63</v>
      </c>
      <c r="B49" s="24" t="s">
        <v>64</v>
      </c>
    </row>
    <row r="50" customFormat="false" ht="15" hidden="false" customHeight="true" outlineLevel="0" collapsed="false">
      <c r="A50" s="8" t="s">
        <v>65</v>
      </c>
      <c r="B50" s="31" t="n">
        <f aca="false">SUMIFS(Détail!$E:$E,Détail!$D:$D,"ENVASES",Détail!$A:$A,"&gt;="&amp;DATE(2025,1,1),Détail!$A:$A,"&lt;"&amp;EDATE(DATE(2025,1,1),1))</f>
        <v>0</v>
      </c>
    </row>
    <row r="51" customFormat="false" ht="15" hidden="false" customHeight="true" outlineLevel="0" collapsed="false">
      <c r="A51" s="8" t="s">
        <v>66</v>
      </c>
      <c r="B51" s="31" t="n">
        <f aca="false">SUMIFS(Détail!$E:$E,Détail!$D:$D,"ENVASES",Détail!$A:$A,"&gt;="&amp;DATE(2025,2,1),Détail!$A:$A,"&lt;"&amp;EDATE(DATE(2025,2,1),1))</f>
        <v>0</v>
      </c>
    </row>
    <row r="52" customFormat="false" ht="15" hidden="false" customHeight="true" outlineLevel="0" collapsed="false">
      <c r="A52" s="8" t="s">
        <v>67</v>
      </c>
      <c r="B52" s="31" t="n">
        <f aca="false">SUMIFS(Détail!$E:$E,Détail!$D:$D,"ENVASES",Détail!$A:$A,"&gt;="&amp;DATE(2025,3,1),Détail!$A:$A,"&lt;"&amp;EDATE(DATE(2025,3,1),1))</f>
        <v>0</v>
      </c>
    </row>
    <row r="53" customFormat="false" ht="15" hidden="false" customHeight="true" outlineLevel="0" collapsed="false">
      <c r="A53" s="8" t="s">
        <v>68</v>
      </c>
      <c r="B53" s="31" t="n">
        <f aca="false">SUMIFS(Détail!$E:$E,Détail!$D:$D,"ENVASES",Détail!$A:$A,"&gt;="&amp;DATE(2025,4,1),Détail!$A:$A,"&lt;"&amp;EDATE(DATE(2025,4,1),1))</f>
        <v>0</v>
      </c>
    </row>
    <row r="54" customFormat="false" ht="15" hidden="false" customHeight="true" outlineLevel="0" collapsed="false">
      <c r="A54" s="8" t="s">
        <v>69</v>
      </c>
      <c r="B54" s="31" t="n">
        <f aca="false">SUMIFS(Détail!$E:$E,Détail!$D:$D,"ENVASES",Détail!$A:$A,"&gt;="&amp;DATE(2025,5,1),Détail!$A:$A,"&lt;"&amp;EDATE(DATE(2025,5,1),1))</f>
        <v>0</v>
      </c>
    </row>
    <row r="55" customFormat="false" ht="15" hidden="false" customHeight="true" outlineLevel="0" collapsed="false">
      <c r="A55" s="8" t="s">
        <v>70</v>
      </c>
      <c r="B55" s="31" t="n">
        <f aca="false">SUMIFS(Détail!$E:$E,Détail!$D:$D,"ENVASES",Détail!$A:$A,"&gt;="&amp;DATE(2025,6,1),Détail!$A:$A,"&lt;"&amp;EDATE(DATE(2025,6,1),1))</f>
        <v>0</v>
      </c>
    </row>
    <row r="56" customFormat="false" ht="15" hidden="false" customHeight="true" outlineLevel="0" collapsed="false">
      <c r="A56" s="8" t="s">
        <v>71</v>
      </c>
      <c r="B56" s="31" t="n">
        <f aca="false">SUMIFS(Détail!$E:$E,Détail!$D:$D,"ENVASES",Détail!$A:$A,"&gt;="&amp;DATE(2025,7,1),Détail!$A:$A,"&lt;"&amp;EDATE(DATE(2025,7,1),1))</f>
        <v>-42938.1</v>
      </c>
    </row>
    <row r="57" customFormat="false" ht="15" hidden="false" customHeight="true" outlineLevel="0" collapsed="false">
      <c r="A57" s="8" t="s">
        <v>72</v>
      </c>
      <c r="B57" s="31" t="n">
        <f aca="false">SUMIFS(Détail!$E:$E,Détail!$D:$D,"ENVASES",Détail!$A:$A,"&gt;="&amp;DATE(2025,8,1),Détail!$A:$A,"&lt;"&amp;EDATE(DATE(2025,8,1),1))</f>
        <v>0</v>
      </c>
    </row>
    <row r="58" customFormat="false" ht="15" hidden="false" customHeight="true" outlineLevel="0" collapsed="false">
      <c r="A58" s="8" t="s">
        <v>73</v>
      </c>
      <c r="B58" s="31" t="n">
        <f aca="false">SUMIFS(Détail!$E:$E,Détail!$D:$D,"ENVASES",Détail!$A:$A,"&gt;="&amp;DATE(2025,9,1),Détail!$A:$A,"&lt;"&amp;EDATE(DATE(2025,9,1),1))</f>
        <v>0</v>
      </c>
    </row>
    <row r="59" customFormat="false" ht="15" hidden="false" customHeight="true" outlineLevel="0" collapsed="false">
      <c r="A59" s="8" t="s">
        <v>74</v>
      </c>
      <c r="B59" s="31" t="n">
        <f aca="false">SUMIFS(Détail!$E:$E,Détail!$D:$D,"ENVASES",Détail!$A:$A,"&gt;="&amp;DATE(2025,10,1),Détail!$A:$A,"&lt;"&amp;EDATE(DATE(2025,10,1),1))</f>
        <v>-3510</v>
      </c>
    </row>
    <row r="60" customFormat="false" ht="15" hidden="false" customHeight="true" outlineLevel="0" collapsed="false">
      <c r="A60" s="8" t="s">
        <v>76</v>
      </c>
      <c r="B60" s="31" t="n">
        <f aca="false">SUMIFS(Détail!$E:$E,Détail!$D:$D,"ENVASES",Détail!$A:$A,"&gt;="&amp;DATE(2025,12,1),Détail!$A:$A,"&lt;"&amp;EDATE(DATE(2025,12,1),1))</f>
        <v>0</v>
      </c>
    </row>
    <row r="63" customFormat="false" ht="15" hidden="false" customHeight="true" outlineLevel="0" collapsed="false">
      <c r="A63" s="29" t="s">
        <v>96</v>
      </c>
      <c r="B63" s="29"/>
      <c r="C63" s="30" t="n">
        <f aca="false">SUMIF(Détail!$D:$D,"NEROLI FRANCE",Détail!$E:$E)</f>
        <v>-25792</v>
      </c>
    </row>
    <row r="64" customFormat="false" ht="15" hidden="false" customHeight="true" outlineLevel="0" collapsed="false">
      <c r="A64" s="24" t="s">
        <v>63</v>
      </c>
      <c r="B64" s="24" t="s">
        <v>64</v>
      </c>
    </row>
    <row r="65" customFormat="false" ht="15" hidden="false" customHeight="true" outlineLevel="0" collapsed="false">
      <c r="A65" s="8" t="s">
        <v>65</v>
      </c>
      <c r="B65" s="31" t="n">
        <f aca="false">SUMIFS(Détail!$E:$E,Détail!$D:$D,"NEROLI FRANCE",Détail!$A:$A,"&gt;="&amp;DATE(2025,1,1),Détail!$A:$A,"&lt;"&amp;EDATE(DATE(2025,1,1),1))</f>
        <v>0</v>
      </c>
    </row>
    <row r="66" customFormat="false" ht="15" hidden="false" customHeight="true" outlineLevel="0" collapsed="false">
      <c r="A66" s="8" t="s">
        <v>66</v>
      </c>
      <c r="B66" s="31" t="n">
        <f aca="false">SUMIFS(Détail!$E:$E,Détail!$D:$D,"NEROLI FRANCE",Détail!$A:$A,"&gt;="&amp;DATE(2025,2,1),Détail!$A:$A,"&lt;"&amp;EDATE(DATE(2025,2,1),1))</f>
        <v>-660</v>
      </c>
    </row>
    <row r="67" customFormat="false" ht="15" hidden="false" customHeight="true" outlineLevel="0" collapsed="false">
      <c r="A67" s="8" t="s">
        <v>67</v>
      </c>
      <c r="B67" s="31" t="n">
        <f aca="false">SUMIFS(Détail!$E:$E,Détail!$D:$D,"NEROLI FRANCE",Détail!$A:$A,"&gt;="&amp;DATE(2025,3,1),Détail!$A:$A,"&lt;"&amp;EDATE(DATE(2025,3,1),1))</f>
        <v>0</v>
      </c>
    </row>
    <row r="68" customFormat="false" ht="15" hidden="false" customHeight="true" outlineLevel="0" collapsed="false">
      <c r="A68" s="8" t="s">
        <v>68</v>
      </c>
      <c r="B68" s="31" t="n">
        <f aca="false">SUMIFS(Détail!$E:$E,Détail!$D:$D,"NEROLI FRANCE",Détail!$A:$A,"&gt;="&amp;DATE(2025,4,1),Détail!$A:$A,"&lt;"&amp;EDATE(DATE(2025,4,1),1))</f>
        <v>-6100</v>
      </c>
    </row>
    <row r="69" customFormat="false" ht="15" hidden="false" customHeight="true" outlineLevel="0" collapsed="false">
      <c r="A69" s="8" t="s">
        <v>69</v>
      </c>
      <c r="B69" s="31" t="n">
        <f aca="false">SUMIFS(Détail!$E:$E,Détail!$D:$D,"NEROLI FRANCE",Détail!$A:$A,"&gt;="&amp;DATE(2025,5,1),Détail!$A:$A,"&lt;"&amp;EDATE(DATE(2025,5,1),1))</f>
        <v>-8137</v>
      </c>
    </row>
    <row r="70" customFormat="false" ht="15" hidden="false" customHeight="true" outlineLevel="0" collapsed="false">
      <c r="A70" s="8" t="s">
        <v>70</v>
      </c>
      <c r="B70" s="31" t="n">
        <f aca="false">SUMIFS(Détail!$E:$E,Détail!$D:$D,"NEROLI FRANCE",Détail!$A:$A,"&gt;="&amp;DATE(2025,6,1),Détail!$A:$A,"&lt;"&amp;EDATE(DATE(2025,6,1),1))</f>
        <v>0</v>
      </c>
    </row>
    <row r="71" customFormat="false" ht="15" hidden="false" customHeight="true" outlineLevel="0" collapsed="false">
      <c r="A71" s="8" t="s">
        <v>71</v>
      </c>
      <c r="B71" s="31" t="n">
        <f aca="false">SUMIFS(Détail!$E:$E,Détail!$D:$D,"NEROLI FRANCE",Détail!$A:$A,"&gt;="&amp;DATE(2025,7,1),Détail!$A:$A,"&lt;"&amp;EDATE(DATE(2025,7,1),1))</f>
        <v>0</v>
      </c>
    </row>
    <row r="72" customFormat="false" ht="15" hidden="false" customHeight="true" outlineLevel="0" collapsed="false">
      <c r="A72" s="8" t="s">
        <v>72</v>
      </c>
      <c r="B72" s="31" t="n">
        <f aca="false">SUMIFS(Détail!$E:$E,Détail!$D:$D,"NEROLI FRANCE",Détail!$A:$A,"&gt;="&amp;DATE(2025,8,1),Détail!$A:$A,"&lt;"&amp;EDATE(DATE(2025,8,1),1))</f>
        <v>0</v>
      </c>
    </row>
    <row r="73" customFormat="false" ht="15" hidden="false" customHeight="true" outlineLevel="0" collapsed="false">
      <c r="A73" s="8" t="s">
        <v>73</v>
      </c>
      <c r="B73" s="31" t="n">
        <f aca="false">SUMIFS(Détail!$E:$E,Détail!$D:$D,"NEROLI FRANCE",Détail!$A:$A,"&gt;="&amp;DATE(2025,9,1),Détail!$A:$A,"&lt;"&amp;EDATE(DATE(2025,9,1),1))</f>
        <v>-6510</v>
      </c>
    </row>
    <row r="74" customFormat="false" ht="15" hidden="false" customHeight="true" outlineLevel="0" collapsed="false">
      <c r="A74" s="8" t="s">
        <v>74</v>
      </c>
      <c r="B74" s="31" t="n">
        <f aca="false">SUMIFS(Détail!$E:$E,Détail!$D:$D,"NEROLI FRANCE",Détail!$A:$A,"&gt;="&amp;DATE(2025,10,1),Détail!$A:$A,"&lt;"&amp;EDATE(DATE(2025,10,1),1))</f>
        <v>0</v>
      </c>
    </row>
    <row r="75" customFormat="false" ht="15" hidden="false" customHeight="true" outlineLevel="0" collapsed="false">
      <c r="A75" s="8" t="s">
        <v>76</v>
      </c>
      <c r="B75" s="31" t="n">
        <f aca="false">SUMIFS(Détail!$E:$E,Détail!$D:$D,"NEROLI FRANCE",Détail!$A:$A,"&gt;="&amp;DATE(2025,12,1),Détail!$A:$A,"&lt;"&amp;EDATE(DATE(2025,12,1),1))</f>
        <v>-4385</v>
      </c>
    </row>
    <row r="78" customFormat="false" ht="15" hidden="false" customHeight="true" outlineLevel="0" collapsed="false">
      <c r="A78" s="29" t="s">
        <v>97</v>
      </c>
      <c r="B78" s="29"/>
      <c r="C78" s="30" t="n">
        <f aca="false">SUMIF(Détail!$D:$D,"CARTONNAGES  DU VAL D ORGE",Détail!$E:$E)</f>
        <v>-16276.62</v>
      </c>
    </row>
    <row r="79" customFormat="false" ht="15" hidden="false" customHeight="true" outlineLevel="0" collapsed="false">
      <c r="A79" s="24" t="s">
        <v>63</v>
      </c>
      <c r="B79" s="24" t="s">
        <v>64</v>
      </c>
    </row>
    <row r="80" customFormat="false" ht="15" hidden="false" customHeight="true" outlineLevel="0" collapsed="false">
      <c r="A80" s="8" t="s">
        <v>65</v>
      </c>
      <c r="B80" s="31" t="n">
        <f aca="false">SUMIFS(Détail!$E:$E,Détail!$D:$D,"CARTONNAGES  DU VAL D ORGE",Détail!$A:$A,"&gt;="&amp;DATE(2025,1,1),Détail!$A:$A,"&lt;"&amp;EDATE(DATE(2025,1,1),1))</f>
        <v>-2251.2</v>
      </c>
    </row>
    <row r="81" customFormat="false" ht="15" hidden="false" customHeight="true" outlineLevel="0" collapsed="false">
      <c r="A81" s="8" t="s">
        <v>66</v>
      </c>
      <c r="B81" s="31" t="n">
        <f aca="false">SUMIFS(Détail!$E:$E,Détail!$D:$D,"CARTONNAGES  DU VAL D ORGE",Détail!$A:$A,"&gt;="&amp;DATE(2025,2,1),Détail!$A:$A,"&lt;"&amp;EDATE(DATE(2025,2,1),1))</f>
        <v>0</v>
      </c>
    </row>
    <row r="82" customFormat="false" ht="15" hidden="false" customHeight="true" outlineLevel="0" collapsed="false">
      <c r="A82" s="8" t="s">
        <v>67</v>
      </c>
      <c r="B82" s="31" t="n">
        <f aca="false">SUMIFS(Détail!$E:$E,Détail!$D:$D,"CARTONNAGES  DU VAL D ORGE",Détail!$A:$A,"&gt;="&amp;DATE(2025,3,1),Détail!$A:$A,"&lt;"&amp;EDATE(DATE(2025,3,1),1))</f>
        <v>0</v>
      </c>
    </row>
    <row r="83" customFormat="false" ht="15" hidden="false" customHeight="true" outlineLevel="0" collapsed="false">
      <c r="A83" s="8" t="s">
        <v>68</v>
      </c>
      <c r="B83" s="31" t="n">
        <f aca="false">SUMIFS(Détail!$E:$E,Détail!$D:$D,"CARTONNAGES  DU VAL D ORGE",Détail!$A:$A,"&gt;="&amp;DATE(2025,4,1),Détail!$A:$A,"&lt;"&amp;EDATE(DATE(2025,4,1),1))</f>
        <v>0</v>
      </c>
    </row>
    <row r="84" customFormat="false" ht="15" hidden="false" customHeight="true" outlineLevel="0" collapsed="false">
      <c r="A84" s="8" t="s">
        <v>69</v>
      </c>
      <c r="B84" s="31" t="n">
        <f aca="false">SUMIFS(Détail!$E:$E,Détail!$D:$D,"CARTONNAGES  DU VAL D ORGE",Détail!$A:$A,"&gt;="&amp;DATE(2025,5,1),Détail!$A:$A,"&lt;"&amp;EDATE(DATE(2025,5,1),1))</f>
        <v>0</v>
      </c>
    </row>
    <row r="85" customFormat="false" ht="15" hidden="false" customHeight="true" outlineLevel="0" collapsed="false">
      <c r="A85" s="8" t="s">
        <v>70</v>
      </c>
      <c r="B85" s="31" t="n">
        <f aca="false">SUMIFS(Détail!$E:$E,Détail!$D:$D,"CARTONNAGES  DU VAL D ORGE",Détail!$A:$A,"&gt;="&amp;DATE(2025,6,1),Détail!$A:$A,"&lt;"&amp;EDATE(DATE(2025,6,1),1))</f>
        <v>-7534.5</v>
      </c>
    </row>
    <row r="86" customFormat="false" ht="15" hidden="false" customHeight="true" outlineLevel="0" collapsed="false">
      <c r="A86" s="8" t="s">
        <v>71</v>
      </c>
      <c r="B86" s="31" t="n">
        <f aca="false">SUMIFS(Détail!$E:$E,Détail!$D:$D,"CARTONNAGES  DU VAL D ORGE",Détail!$A:$A,"&gt;="&amp;DATE(2025,7,1),Détail!$A:$A,"&lt;"&amp;EDATE(DATE(2025,7,1),1))</f>
        <v>-2785</v>
      </c>
    </row>
    <row r="87" customFormat="false" ht="15" hidden="false" customHeight="true" outlineLevel="0" collapsed="false">
      <c r="A87" s="8" t="s">
        <v>72</v>
      </c>
      <c r="B87" s="31" t="n">
        <f aca="false">SUMIFS(Détail!$E:$E,Détail!$D:$D,"CARTONNAGES  DU VAL D ORGE",Détail!$A:$A,"&gt;="&amp;DATE(2025,8,1),Détail!$A:$A,"&lt;"&amp;EDATE(DATE(2025,8,1),1))</f>
        <v>0</v>
      </c>
    </row>
    <row r="88" customFormat="false" ht="15" hidden="false" customHeight="true" outlineLevel="0" collapsed="false">
      <c r="A88" s="8" t="s">
        <v>73</v>
      </c>
      <c r="B88" s="31" t="n">
        <f aca="false">SUMIFS(Détail!$E:$E,Détail!$D:$D,"CARTONNAGES  DU VAL D ORGE",Détail!$A:$A,"&gt;="&amp;DATE(2025,9,1),Détail!$A:$A,"&lt;"&amp;EDATE(DATE(2025,9,1),1))</f>
        <v>-3705.92</v>
      </c>
    </row>
    <row r="89" customFormat="false" ht="15" hidden="false" customHeight="true" outlineLevel="0" collapsed="false">
      <c r="A89" s="8" t="s">
        <v>74</v>
      </c>
      <c r="B89" s="31" t="n">
        <f aca="false">SUMIFS(Détail!$E:$E,Détail!$D:$D,"CARTONNAGES  DU VAL D ORGE",Détail!$A:$A,"&gt;="&amp;DATE(2025,10,1),Détail!$A:$A,"&lt;"&amp;EDATE(DATE(2025,10,1),1))</f>
        <v>0</v>
      </c>
    </row>
    <row r="90" customFormat="false" ht="15" hidden="false" customHeight="true" outlineLevel="0" collapsed="false">
      <c r="A90" s="8" t="s">
        <v>76</v>
      </c>
      <c r="B90" s="31" t="n">
        <f aca="false">SUMIFS(Détail!$E:$E,Détail!$D:$D,"CARTONNAGES  DU VAL D ORGE",Détail!$A:$A,"&gt;="&amp;DATE(2025,12,1),Détail!$A:$A,"&lt;"&amp;EDATE(DATE(2025,12,1),1))</f>
        <v>0</v>
      </c>
    </row>
    <row r="93" customFormat="false" ht="15" hidden="false" customHeight="true" outlineLevel="0" collapsed="false">
      <c r="A93" s="29" t="s">
        <v>98</v>
      </c>
      <c r="B93" s="29"/>
      <c r="C93" s="30" t="n">
        <f aca="false">SUMIF(Détail!$D:$D,"SLEEVE CONCEPT",Détail!$E:$E)</f>
        <v>-14760.5</v>
      </c>
    </row>
    <row r="94" customFormat="false" ht="15" hidden="false" customHeight="true" outlineLevel="0" collapsed="false">
      <c r="A94" s="24" t="s">
        <v>63</v>
      </c>
      <c r="B94" s="24" t="s">
        <v>64</v>
      </c>
    </row>
    <row r="95" customFormat="false" ht="15" hidden="false" customHeight="true" outlineLevel="0" collapsed="false">
      <c r="A95" s="8" t="s">
        <v>65</v>
      </c>
      <c r="B95" s="31" t="n">
        <f aca="false">SUMIFS(Détail!$E:$E,Détail!$D:$D,"SLEEVE CONCEPT",Détail!$A:$A,"&gt;="&amp;DATE(2025,1,1),Détail!$A:$A,"&lt;"&amp;EDATE(DATE(2025,1,1),1))</f>
        <v>0</v>
      </c>
    </row>
    <row r="96" customFormat="false" ht="15" hidden="false" customHeight="true" outlineLevel="0" collapsed="false">
      <c r="A96" s="8" t="s">
        <v>66</v>
      </c>
      <c r="B96" s="31" t="n">
        <f aca="false">SUMIFS(Détail!$E:$E,Détail!$D:$D,"SLEEVE CONCEPT",Détail!$A:$A,"&gt;="&amp;DATE(2025,2,1),Détail!$A:$A,"&lt;"&amp;EDATE(DATE(2025,2,1),1))</f>
        <v>0</v>
      </c>
    </row>
    <row r="97" customFormat="false" ht="15" hidden="false" customHeight="true" outlineLevel="0" collapsed="false">
      <c r="A97" s="8" t="s">
        <v>67</v>
      </c>
      <c r="B97" s="31" t="n">
        <f aca="false">SUMIFS(Détail!$E:$E,Détail!$D:$D,"SLEEVE CONCEPT",Détail!$A:$A,"&gt;="&amp;DATE(2025,3,1),Détail!$A:$A,"&lt;"&amp;EDATE(DATE(2025,3,1),1))</f>
        <v>0</v>
      </c>
    </row>
    <row r="98" customFormat="false" ht="15" hidden="false" customHeight="true" outlineLevel="0" collapsed="false">
      <c r="A98" s="8" t="s">
        <v>68</v>
      </c>
      <c r="B98" s="31" t="n">
        <f aca="false">SUMIFS(Détail!$E:$E,Détail!$D:$D,"SLEEVE CONCEPT",Détail!$A:$A,"&gt;="&amp;DATE(2025,4,1),Détail!$A:$A,"&lt;"&amp;EDATE(DATE(2025,4,1),1))</f>
        <v>-10738.2</v>
      </c>
    </row>
    <row r="99" customFormat="false" ht="15" hidden="false" customHeight="true" outlineLevel="0" collapsed="false">
      <c r="A99" s="8" t="s">
        <v>69</v>
      </c>
      <c r="B99" s="31" t="n">
        <f aca="false">SUMIFS(Détail!$E:$E,Détail!$D:$D,"SLEEVE CONCEPT",Détail!$A:$A,"&gt;="&amp;DATE(2025,5,1),Détail!$A:$A,"&lt;"&amp;EDATE(DATE(2025,5,1),1))</f>
        <v>0</v>
      </c>
    </row>
    <row r="100" customFormat="false" ht="15" hidden="false" customHeight="true" outlineLevel="0" collapsed="false">
      <c r="A100" s="8" t="s">
        <v>70</v>
      </c>
      <c r="B100" s="31" t="n">
        <f aca="false">SUMIFS(Détail!$E:$E,Détail!$D:$D,"SLEEVE CONCEPT",Détail!$A:$A,"&gt;="&amp;DATE(2025,6,1),Détail!$A:$A,"&lt;"&amp;EDATE(DATE(2025,6,1),1))</f>
        <v>0</v>
      </c>
    </row>
    <row r="101" customFormat="false" ht="15" hidden="false" customHeight="true" outlineLevel="0" collapsed="false">
      <c r="A101" s="8" t="s">
        <v>71</v>
      </c>
      <c r="B101" s="31" t="n">
        <f aca="false">SUMIFS(Détail!$E:$E,Détail!$D:$D,"SLEEVE CONCEPT",Détail!$A:$A,"&gt;="&amp;DATE(2025,7,1),Détail!$A:$A,"&lt;"&amp;EDATE(DATE(2025,7,1),1))</f>
        <v>-2284.9</v>
      </c>
    </row>
    <row r="102" customFormat="false" ht="15" hidden="false" customHeight="true" outlineLevel="0" collapsed="false">
      <c r="A102" s="8" t="s">
        <v>72</v>
      </c>
      <c r="B102" s="31" t="n">
        <f aca="false">SUMIFS(Détail!$E:$E,Détail!$D:$D,"SLEEVE CONCEPT",Détail!$A:$A,"&gt;="&amp;DATE(2025,8,1),Détail!$A:$A,"&lt;"&amp;EDATE(DATE(2025,8,1),1))</f>
        <v>0</v>
      </c>
    </row>
    <row r="103" customFormat="false" ht="15" hidden="false" customHeight="true" outlineLevel="0" collapsed="false">
      <c r="A103" s="8" t="s">
        <v>73</v>
      </c>
      <c r="B103" s="31" t="n">
        <f aca="false">SUMIFS(Détail!$E:$E,Détail!$D:$D,"SLEEVE CONCEPT",Détail!$A:$A,"&gt;="&amp;DATE(2025,9,1),Détail!$A:$A,"&lt;"&amp;EDATE(DATE(2025,9,1),1))</f>
        <v>0</v>
      </c>
    </row>
    <row r="104" customFormat="false" ht="15" hidden="false" customHeight="true" outlineLevel="0" collapsed="false">
      <c r="A104" s="8" t="s">
        <v>74</v>
      </c>
      <c r="B104" s="31" t="n">
        <f aca="false">SUMIFS(Détail!$E:$E,Détail!$D:$D,"SLEEVE CONCEPT",Détail!$A:$A,"&gt;="&amp;DATE(2025,10,1),Détail!$A:$A,"&lt;"&amp;EDATE(DATE(2025,10,1),1))</f>
        <v>0</v>
      </c>
    </row>
    <row r="105" customFormat="false" ht="15" hidden="false" customHeight="true" outlineLevel="0" collapsed="false">
      <c r="A105" s="8" t="s">
        <v>76</v>
      </c>
      <c r="B105" s="31" t="n">
        <f aca="false">SUMIFS(Détail!$E:$E,Détail!$D:$D,"SLEEVE CONCEPT",Détail!$A:$A,"&gt;="&amp;DATE(2025,12,1),Détail!$A:$A,"&lt;"&amp;EDATE(DATE(2025,12,1),1))</f>
        <v>-1737.4</v>
      </c>
    </row>
    <row r="108" customFormat="false" ht="15" hidden="false" customHeight="true" outlineLevel="0" collapsed="false">
      <c r="A108" s="29" t="s">
        <v>99</v>
      </c>
      <c r="B108" s="29"/>
      <c r="C108" s="30" t="n">
        <f aca="false">SUMIF(Détail!$D:$D,"NASMIR  EUROPE FRAGRANCES",Détail!$E:$E)</f>
        <v>-6010</v>
      </c>
    </row>
    <row r="109" customFormat="false" ht="15" hidden="false" customHeight="true" outlineLevel="0" collapsed="false">
      <c r="A109" s="24" t="s">
        <v>63</v>
      </c>
      <c r="B109" s="24" t="s">
        <v>64</v>
      </c>
    </row>
    <row r="110" customFormat="false" ht="15" hidden="false" customHeight="true" outlineLevel="0" collapsed="false">
      <c r="A110" s="8" t="s">
        <v>65</v>
      </c>
      <c r="B110" s="31" t="n">
        <f aca="false">SUMIFS(Détail!$E:$E,Détail!$D:$D,"NASMIR  EUROPE FRAGRANCES",Détail!$A:$A,"&gt;="&amp;DATE(2025,1,1),Détail!$A:$A,"&lt;"&amp;EDATE(DATE(2025,1,1),1))</f>
        <v>0</v>
      </c>
    </row>
    <row r="111" customFormat="false" ht="15" hidden="false" customHeight="true" outlineLevel="0" collapsed="false">
      <c r="A111" s="8" t="s">
        <v>66</v>
      </c>
      <c r="B111" s="31" t="n">
        <f aca="false">SUMIFS(Détail!$E:$E,Détail!$D:$D,"NASMIR  EUROPE FRAGRANCES",Détail!$A:$A,"&gt;="&amp;DATE(2025,2,1),Détail!$A:$A,"&lt;"&amp;EDATE(DATE(2025,2,1),1))</f>
        <v>0</v>
      </c>
    </row>
    <row r="112" customFormat="false" ht="15" hidden="false" customHeight="true" outlineLevel="0" collapsed="false">
      <c r="A112" s="8" t="s">
        <v>67</v>
      </c>
      <c r="B112" s="31" t="n">
        <f aca="false">SUMIFS(Détail!$E:$E,Détail!$D:$D,"NASMIR  EUROPE FRAGRANCES",Détail!$A:$A,"&gt;="&amp;DATE(2025,3,1),Détail!$A:$A,"&lt;"&amp;EDATE(DATE(2025,3,1),1))</f>
        <v>0</v>
      </c>
    </row>
    <row r="113" customFormat="false" ht="15" hidden="false" customHeight="true" outlineLevel="0" collapsed="false">
      <c r="A113" s="8" t="s">
        <v>68</v>
      </c>
      <c r="B113" s="31" t="n">
        <f aca="false">SUMIFS(Détail!$E:$E,Détail!$D:$D,"NASMIR  EUROPE FRAGRANCES",Détail!$A:$A,"&gt;="&amp;DATE(2025,4,1),Détail!$A:$A,"&lt;"&amp;EDATE(DATE(2025,4,1),1))</f>
        <v>0</v>
      </c>
    </row>
    <row r="114" customFormat="false" ht="15" hidden="false" customHeight="true" outlineLevel="0" collapsed="false">
      <c r="A114" s="8" t="s">
        <v>69</v>
      </c>
      <c r="B114" s="31" t="n">
        <f aca="false">SUMIFS(Détail!$E:$E,Détail!$D:$D,"NASMIR  EUROPE FRAGRANCES",Détail!$A:$A,"&gt;="&amp;DATE(2025,5,1),Détail!$A:$A,"&lt;"&amp;EDATE(DATE(2025,5,1),1))</f>
        <v>0</v>
      </c>
    </row>
    <row r="115" customFormat="false" ht="15" hidden="false" customHeight="true" outlineLevel="0" collapsed="false">
      <c r="A115" s="8" t="s">
        <v>70</v>
      </c>
      <c r="B115" s="31" t="n">
        <f aca="false">SUMIFS(Détail!$E:$E,Détail!$D:$D,"NASMIR  EUROPE FRAGRANCES",Détail!$A:$A,"&gt;="&amp;DATE(2025,6,1),Détail!$A:$A,"&lt;"&amp;EDATE(DATE(2025,6,1),1))</f>
        <v>0</v>
      </c>
    </row>
    <row r="116" customFormat="false" ht="15" hidden="false" customHeight="true" outlineLevel="0" collapsed="false">
      <c r="A116" s="8" t="s">
        <v>71</v>
      </c>
      <c r="B116" s="31" t="n">
        <f aca="false">SUMIFS(Détail!$E:$E,Détail!$D:$D,"NASMIR  EUROPE FRAGRANCES",Détail!$A:$A,"&gt;="&amp;DATE(2025,7,1),Détail!$A:$A,"&lt;"&amp;EDATE(DATE(2025,7,1),1))</f>
        <v>0</v>
      </c>
    </row>
    <row r="117" customFormat="false" ht="15" hidden="false" customHeight="true" outlineLevel="0" collapsed="false">
      <c r="A117" s="8" t="s">
        <v>72</v>
      </c>
      <c r="B117" s="31" t="n">
        <f aca="false">SUMIFS(Détail!$E:$E,Détail!$D:$D,"NASMIR  EUROPE FRAGRANCES",Détail!$A:$A,"&gt;="&amp;DATE(2025,8,1),Détail!$A:$A,"&lt;"&amp;EDATE(DATE(2025,8,1),1))</f>
        <v>0</v>
      </c>
    </row>
    <row r="118" customFormat="false" ht="15" hidden="false" customHeight="true" outlineLevel="0" collapsed="false">
      <c r="A118" s="8" t="s">
        <v>73</v>
      </c>
      <c r="B118" s="31" t="n">
        <f aca="false">SUMIFS(Détail!$E:$E,Détail!$D:$D,"NASMIR  EUROPE FRAGRANCES",Détail!$A:$A,"&gt;="&amp;DATE(2025,9,1),Détail!$A:$A,"&lt;"&amp;EDATE(DATE(2025,9,1),1))</f>
        <v>-6010</v>
      </c>
    </row>
    <row r="119" customFormat="false" ht="15" hidden="false" customHeight="true" outlineLevel="0" collapsed="false">
      <c r="A119" s="8" t="s">
        <v>74</v>
      </c>
      <c r="B119" s="31" t="n">
        <f aca="false">SUMIFS(Détail!$E:$E,Détail!$D:$D,"NASMIR  EUROPE FRAGRANCES",Détail!$A:$A,"&gt;="&amp;DATE(2025,10,1),Détail!$A:$A,"&lt;"&amp;EDATE(DATE(2025,10,1),1))</f>
        <v>0</v>
      </c>
    </row>
    <row r="120" customFormat="false" ht="15" hidden="false" customHeight="true" outlineLevel="0" collapsed="false">
      <c r="A120" s="8" t="s">
        <v>76</v>
      </c>
      <c r="B120" s="31" t="n">
        <f aca="false">SUMIFS(Détail!$E:$E,Détail!$D:$D,"NASMIR  EUROPE FRAGRANCES",Détail!$A:$A,"&gt;="&amp;DATE(2025,12,1),Détail!$A:$A,"&lt;"&amp;EDATE(DATE(2025,12,1),1))</f>
        <v>0</v>
      </c>
    </row>
    <row r="123" customFormat="false" ht="15" hidden="false" customHeight="true" outlineLevel="0" collapsed="false">
      <c r="A123" s="29" t="s">
        <v>100</v>
      </c>
      <c r="B123" s="29"/>
      <c r="C123" s="30" t="n">
        <f aca="false">SUMIF(Détail!$D:$D,"SELUZ KIMYA KOZMETIK TIC VE SAN AS",Détail!$E:$E)</f>
        <v>-2950</v>
      </c>
    </row>
    <row r="124" customFormat="false" ht="15" hidden="false" customHeight="true" outlineLevel="0" collapsed="false">
      <c r="A124" s="24" t="s">
        <v>63</v>
      </c>
      <c r="B124" s="24" t="s">
        <v>64</v>
      </c>
    </row>
    <row r="125" customFormat="false" ht="15" hidden="false" customHeight="true" outlineLevel="0" collapsed="false">
      <c r="A125" s="8" t="s">
        <v>65</v>
      </c>
      <c r="B125" s="31" t="n">
        <f aca="false">SUMIFS(Détail!$E:$E,Détail!$D:$D,"SELUZ KIMYA KOZMETIK TIC VE SAN AS",Détail!$A:$A,"&gt;="&amp;DATE(2025,1,1),Détail!$A:$A,"&lt;"&amp;EDATE(DATE(2025,1,1),1))</f>
        <v>-2950</v>
      </c>
    </row>
    <row r="126" customFormat="false" ht="15" hidden="false" customHeight="true" outlineLevel="0" collapsed="false">
      <c r="A126" s="8" t="s">
        <v>66</v>
      </c>
      <c r="B126" s="31" t="n">
        <f aca="false">SUMIFS(Détail!$E:$E,Détail!$D:$D,"SELUZ KIMYA KOZMETIK TIC VE SAN AS",Détail!$A:$A,"&gt;="&amp;DATE(2025,2,1),Détail!$A:$A,"&lt;"&amp;EDATE(DATE(2025,2,1),1))</f>
        <v>0</v>
      </c>
    </row>
    <row r="127" customFormat="false" ht="15" hidden="false" customHeight="true" outlineLevel="0" collapsed="false">
      <c r="A127" s="8" t="s">
        <v>67</v>
      </c>
      <c r="B127" s="31" t="n">
        <f aca="false">SUMIFS(Détail!$E:$E,Détail!$D:$D,"SELUZ KIMYA KOZMETIK TIC VE SAN AS",Détail!$A:$A,"&gt;="&amp;DATE(2025,3,1),Détail!$A:$A,"&lt;"&amp;EDATE(DATE(2025,3,1),1))</f>
        <v>0</v>
      </c>
    </row>
    <row r="128" customFormat="false" ht="15" hidden="false" customHeight="true" outlineLevel="0" collapsed="false">
      <c r="A128" s="8" t="s">
        <v>68</v>
      </c>
      <c r="B128" s="31" t="n">
        <f aca="false">SUMIFS(Détail!$E:$E,Détail!$D:$D,"SELUZ KIMYA KOZMETIK TIC VE SAN AS",Détail!$A:$A,"&gt;="&amp;DATE(2025,4,1),Détail!$A:$A,"&lt;"&amp;EDATE(DATE(2025,4,1),1))</f>
        <v>0</v>
      </c>
    </row>
    <row r="129" customFormat="false" ht="15" hidden="false" customHeight="true" outlineLevel="0" collapsed="false">
      <c r="A129" s="8" t="s">
        <v>69</v>
      </c>
      <c r="B129" s="31" t="n">
        <f aca="false">SUMIFS(Détail!$E:$E,Détail!$D:$D,"SELUZ KIMYA KOZMETIK TIC VE SAN AS",Détail!$A:$A,"&gt;="&amp;DATE(2025,5,1),Détail!$A:$A,"&lt;"&amp;EDATE(DATE(2025,5,1),1))</f>
        <v>0</v>
      </c>
    </row>
    <row r="130" customFormat="false" ht="15" hidden="false" customHeight="true" outlineLevel="0" collapsed="false">
      <c r="A130" s="8" t="s">
        <v>70</v>
      </c>
      <c r="B130" s="31" t="n">
        <f aca="false">SUMIFS(Détail!$E:$E,Détail!$D:$D,"SELUZ KIMYA KOZMETIK TIC VE SAN AS",Détail!$A:$A,"&gt;="&amp;DATE(2025,6,1),Détail!$A:$A,"&lt;"&amp;EDATE(DATE(2025,6,1),1))</f>
        <v>0</v>
      </c>
    </row>
    <row r="131" customFormat="false" ht="15" hidden="false" customHeight="true" outlineLevel="0" collapsed="false">
      <c r="A131" s="8" t="s">
        <v>71</v>
      </c>
      <c r="B131" s="31" t="n">
        <f aca="false">SUMIFS(Détail!$E:$E,Détail!$D:$D,"SELUZ KIMYA KOZMETIK TIC VE SAN AS",Détail!$A:$A,"&gt;="&amp;DATE(2025,7,1),Détail!$A:$A,"&lt;"&amp;EDATE(DATE(2025,7,1),1))</f>
        <v>0</v>
      </c>
    </row>
    <row r="132" customFormat="false" ht="15" hidden="false" customHeight="true" outlineLevel="0" collapsed="false">
      <c r="A132" s="8" t="s">
        <v>72</v>
      </c>
      <c r="B132" s="31" t="n">
        <f aca="false">SUMIFS(Détail!$E:$E,Détail!$D:$D,"SELUZ KIMYA KOZMETIK TIC VE SAN AS",Détail!$A:$A,"&gt;="&amp;DATE(2025,8,1),Détail!$A:$A,"&lt;"&amp;EDATE(DATE(2025,8,1),1))</f>
        <v>0</v>
      </c>
    </row>
    <row r="133" customFormat="false" ht="15" hidden="false" customHeight="true" outlineLevel="0" collapsed="false">
      <c r="A133" s="8" t="s">
        <v>73</v>
      </c>
      <c r="B133" s="31" t="n">
        <f aca="false">SUMIFS(Détail!$E:$E,Détail!$D:$D,"SELUZ KIMYA KOZMETIK TIC VE SAN AS",Détail!$A:$A,"&gt;="&amp;DATE(2025,9,1),Détail!$A:$A,"&lt;"&amp;EDATE(DATE(2025,9,1),1))</f>
        <v>0</v>
      </c>
    </row>
    <row r="134" customFormat="false" ht="15" hidden="false" customHeight="true" outlineLevel="0" collapsed="false">
      <c r="A134" s="8" t="s">
        <v>74</v>
      </c>
      <c r="B134" s="31" t="n">
        <f aca="false">SUMIFS(Détail!$E:$E,Détail!$D:$D,"SELUZ KIMYA KOZMETIK TIC VE SAN AS",Détail!$A:$A,"&gt;="&amp;DATE(2025,10,1),Détail!$A:$A,"&lt;"&amp;EDATE(DATE(2025,10,1),1))</f>
        <v>0</v>
      </c>
    </row>
    <row r="135" customFormat="false" ht="15" hidden="false" customHeight="true" outlineLevel="0" collapsed="false">
      <c r="A135" s="8" t="s">
        <v>76</v>
      </c>
      <c r="B135" s="31" t="n">
        <f aca="false">SUMIFS(Détail!$E:$E,Détail!$D:$D,"SELUZ KIMYA KOZMETIK TIC VE SAN AS",Détail!$A:$A,"&gt;="&amp;DATE(2025,12,1),Détail!$A:$A,"&lt;"&amp;EDATE(DATE(2025,12,1),1))</f>
        <v>0</v>
      </c>
    </row>
  </sheetData>
  <mergeCells count="9">
    <mergeCell ref="A3:B3"/>
    <mergeCell ref="A18:B18"/>
    <mergeCell ref="A33:B33"/>
    <mergeCell ref="A48:B48"/>
    <mergeCell ref="A63:B63"/>
    <mergeCell ref="A78:B78"/>
    <mergeCell ref="A93:B93"/>
    <mergeCell ref="A108:B108"/>
    <mergeCell ref="A123:B1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101</v>
      </c>
    </row>
    <row r="3" customFormat="false" ht="15" hidden="false" customHeight="true" outlineLevel="0" collapsed="false">
      <c r="A3" s="29" t="s">
        <v>102</v>
      </c>
      <c r="B3" s="29"/>
      <c r="C3" s="30" t="n">
        <f aca="false">SUMIF(Détail!$D:$D,"FRANCE CONDITIONNEMENT PARFUM",Détail!$E:$E)</f>
        <v>-282990.43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SUMIFS(Détail!$E:$E,Détail!$D:$D,"FRANCE CONDITIONNEMENT PARFUM",Détail!$A:$A,"&gt;="&amp;DATE(2025,1,1),Détail!$A:$A,"&lt;"&amp;EDATE(DATE(2025,1,1),1))</f>
        <v>-33630.81</v>
      </c>
    </row>
    <row r="6" customFormat="false" ht="15" hidden="false" customHeight="true" outlineLevel="0" collapsed="false">
      <c r="A6" s="8" t="s">
        <v>67</v>
      </c>
      <c r="B6" s="31" t="n">
        <f aca="false">SUMIFS(Détail!$E:$E,Détail!$D:$D,"FRANCE CONDITIONNEMENT PARFUM",Détail!$A:$A,"&gt;="&amp;DATE(2025,3,1),Détail!$A:$A,"&lt;"&amp;EDATE(DATE(2025,3,1),1))</f>
        <v>-9896.52</v>
      </c>
    </row>
    <row r="7" customFormat="false" ht="15" hidden="false" customHeight="true" outlineLevel="0" collapsed="false">
      <c r="A7" s="8" t="s">
        <v>68</v>
      </c>
      <c r="B7" s="31" t="n">
        <f aca="false">SUMIFS(Détail!$E:$E,Détail!$D:$D,"FRANCE CONDITIONNEMENT PARFUM",Détail!$A:$A,"&gt;="&amp;DATE(2025,4,1),Détail!$A:$A,"&lt;"&amp;EDATE(DATE(2025,4,1),1))</f>
        <v>-21066.05</v>
      </c>
    </row>
    <row r="8" customFormat="false" ht="15" hidden="false" customHeight="true" outlineLevel="0" collapsed="false">
      <c r="A8" s="8" t="s">
        <v>69</v>
      </c>
      <c r="B8" s="31" t="n">
        <f aca="false">SUMIFS(Détail!$E:$E,Détail!$D:$D,"FRANCE CONDITIONNEMENT PARFUM",Détail!$A:$A,"&gt;="&amp;DATE(2025,5,1),Détail!$A:$A,"&lt;"&amp;EDATE(DATE(2025,5,1),1))</f>
        <v>-48375.39</v>
      </c>
    </row>
    <row r="9" customFormat="false" ht="15" hidden="false" customHeight="true" outlineLevel="0" collapsed="false">
      <c r="A9" s="8" t="s">
        <v>70</v>
      </c>
      <c r="B9" s="31" t="n">
        <f aca="false">SUMIFS(Détail!$E:$E,Détail!$D:$D,"FRANCE CONDITIONNEMENT PARFUM",Détail!$A:$A,"&gt;="&amp;DATE(2025,6,1),Détail!$A:$A,"&lt;"&amp;EDATE(DATE(2025,6,1),1))</f>
        <v>-3496.58</v>
      </c>
    </row>
    <row r="10" customFormat="false" ht="15" hidden="false" customHeight="true" outlineLevel="0" collapsed="false">
      <c r="A10" s="8" t="s">
        <v>71</v>
      </c>
      <c r="B10" s="31" t="n">
        <f aca="false">SUMIFS(Détail!$E:$E,Détail!$D:$D,"FRANCE CONDITIONNEMENT PARFUM",Détail!$A:$A,"&gt;="&amp;DATE(2025,7,1),Détail!$A:$A,"&lt;"&amp;EDATE(DATE(2025,7,1),1))</f>
        <v>-57951.62</v>
      </c>
    </row>
    <row r="11" customFormat="false" ht="15" hidden="false" customHeight="true" outlineLevel="0" collapsed="false">
      <c r="A11" s="8" t="s">
        <v>73</v>
      </c>
      <c r="B11" s="31" t="n">
        <f aca="false">SUMIFS(Détail!$E:$E,Détail!$D:$D,"FRANCE CONDITIONNEMENT PARFUM",Détail!$A:$A,"&gt;="&amp;DATE(2025,9,1),Détail!$A:$A,"&lt;"&amp;EDATE(DATE(2025,9,1),1))</f>
        <v>-12593.08</v>
      </c>
    </row>
    <row r="12" customFormat="false" ht="15" hidden="false" customHeight="true" outlineLevel="0" collapsed="false">
      <c r="A12" s="8" t="s">
        <v>74</v>
      </c>
      <c r="B12" s="31" t="n">
        <f aca="false">SUMIFS(Détail!$E:$E,Détail!$D:$D,"FRANCE CONDITIONNEMENT PARFUM",Détail!$A:$A,"&gt;="&amp;DATE(2025,10,1),Détail!$A:$A,"&lt;"&amp;EDATE(DATE(2025,10,1),1))</f>
        <v>-73181.32</v>
      </c>
    </row>
    <row r="13" customFormat="false" ht="15" hidden="false" customHeight="true" outlineLevel="0" collapsed="false">
      <c r="A13" s="8" t="s">
        <v>75</v>
      </c>
      <c r="B13" s="31" t="n">
        <f aca="false">SUMIFS(Détail!$E:$E,Détail!$D:$D,"FRANCE CONDITIONNEMENT PARFUM",Détail!$A:$A,"&gt;="&amp;DATE(2025,11,1),Détail!$A:$A,"&lt;"&amp;EDATE(DATE(2025,11,1),1))</f>
        <v>-11848.95</v>
      </c>
    </row>
    <row r="14" customFormat="false" ht="15" hidden="false" customHeight="true" outlineLevel="0" collapsed="false">
      <c r="A14" s="8" t="s">
        <v>76</v>
      </c>
      <c r="B14" s="31" t="n">
        <f aca="false">SUMIFS(Détail!$E:$E,Détail!$D:$D,"FRANCE CONDITIONNEMENT PARFUM",Détail!$A:$A,"&gt;="&amp;DATE(2025,12,1),Détail!$A:$A,"&lt;"&amp;EDATE(DATE(2025,12,1),1))</f>
        <v>-10916.11</v>
      </c>
    </row>
    <row r="17" customFormat="false" ht="15" hidden="false" customHeight="true" outlineLevel="0" collapsed="false">
      <c r="A17" s="29" t="s">
        <v>103</v>
      </c>
      <c r="B17" s="29"/>
      <c r="C17" s="30" t="n">
        <f aca="false">SUMIF(Détail!$D:$D,"AMIVAL",Détail!$E:$E)</f>
        <v>-34183.96</v>
      </c>
    </row>
    <row r="18" customFormat="false" ht="15" hidden="false" customHeight="true" outlineLevel="0" collapsed="false">
      <c r="A18" s="24" t="s">
        <v>63</v>
      </c>
      <c r="B18" s="24" t="s">
        <v>64</v>
      </c>
    </row>
    <row r="19" customFormat="false" ht="15" hidden="false" customHeight="true" outlineLevel="0" collapsed="false">
      <c r="A19" s="8" t="s">
        <v>65</v>
      </c>
      <c r="B19" s="31" t="n">
        <f aca="false">SUMIFS(Détail!$E:$E,Détail!$D:$D,"AMIVAL",Détail!$A:$A,"&gt;="&amp;DATE(2025,1,1),Détail!$A:$A,"&lt;"&amp;EDATE(DATE(2025,1,1),1))</f>
        <v>0</v>
      </c>
    </row>
    <row r="20" customFormat="false" ht="15" hidden="false" customHeight="true" outlineLevel="0" collapsed="false">
      <c r="A20" s="8" t="s">
        <v>67</v>
      </c>
      <c r="B20" s="31" t="n">
        <f aca="false">SUMIFS(Détail!$E:$E,Détail!$D:$D,"AMIVAL",Détail!$A:$A,"&gt;="&amp;DATE(2025,3,1),Détail!$A:$A,"&lt;"&amp;EDATE(DATE(2025,3,1),1))</f>
        <v>0</v>
      </c>
    </row>
    <row r="21" customFormat="false" ht="15" hidden="false" customHeight="true" outlineLevel="0" collapsed="false">
      <c r="A21" s="8" t="s">
        <v>68</v>
      </c>
      <c r="B21" s="31" t="n">
        <f aca="false">SUMIFS(Détail!$E:$E,Détail!$D:$D,"AMIVAL",Détail!$A:$A,"&gt;="&amp;DATE(2025,4,1),Détail!$A:$A,"&lt;"&amp;EDATE(DATE(2025,4,1),1))</f>
        <v>0</v>
      </c>
    </row>
    <row r="22" customFormat="false" ht="15" hidden="false" customHeight="true" outlineLevel="0" collapsed="false">
      <c r="A22" s="8" t="s">
        <v>69</v>
      </c>
      <c r="B22" s="31" t="n">
        <f aca="false">SUMIFS(Détail!$E:$E,Détail!$D:$D,"AMIVAL",Détail!$A:$A,"&gt;="&amp;DATE(2025,5,1),Détail!$A:$A,"&lt;"&amp;EDATE(DATE(2025,5,1),1))</f>
        <v>0</v>
      </c>
    </row>
    <row r="23" customFormat="false" ht="15" hidden="false" customHeight="true" outlineLevel="0" collapsed="false">
      <c r="A23" s="8" t="s">
        <v>70</v>
      </c>
      <c r="B23" s="31" t="n">
        <f aca="false">SUMIFS(Détail!$E:$E,Détail!$D:$D,"AMIVAL",Détail!$A:$A,"&gt;="&amp;DATE(2025,6,1),Détail!$A:$A,"&lt;"&amp;EDATE(DATE(2025,6,1),1))</f>
        <v>-10000</v>
      </c>
    </row>
    <row r="24" customFormat="false" ht="15" hidden="false" customHeight="true" outlineLevel="0" collapsed="false">
      <c r="A24" s="8" t="s">
        <v>71</v>
      </c>
      <c r="B24" s="31" t="n">
        <f aca="false">SUMIFS(Détail!$E:$E,Détail!$D:$D,"AMIVAL",Détail!$A:$A,"&gt;="&amp;DATE(2025,7,1),Détail!$A:$A,"&lt;"&amp;EDATE(DATE(2025,7,1),1))</f>
        <v>-24183.96</v>
      </c>
    </row>
    <row r="25" customFormat="false" ht="15" hidden="false" customHeight="true" outlineLevel="0" collapsed="false">
      <c r="A25" s="8" t="s">
        <v>73</v>
      </c>
      <c r="B25" s="31" t="n">
        <f aca="false">SUMIFS(Détail!$E:$E,Détail!$D:$D,"AMIVAL",Détail!$A:$A,"&gt;="&amp;DATE(2025,9,1),Détail!$A:$A,"&lt;"&amp;EDATE(DATE(2025,9,1),1))</f>
        <v>0</v>
      </c>
    </row>
    <row r="26" customFormat="false" ht="15" hidden="false" customHeight="true" outlineLevel="0" collapsed="false">
      <c r="A26" s="8" t="s">
        <v>74</v>
      </c>
      <c r="B26" s="31" t="n">
        <f aca="false">SUMIFS(Détail!$E:$E,Détail!$D:$D,"AMIVAL",Détail!$A:$A,"&gt;="&amp;DATE(2025,10,1),Détail!$A:$A,"&lt;"&amp;EDATE(DATE(2025,10,1),1))</f>
        <v>0</v>
      </c>
    </row>
    <row r="27" customFormat="false" ht="15" hidden="false" customHeight="true" outlineLevel="0" collapsed="false">
      <c r="A27" s="8" t="s">
        <v>75</v>
      </c>
      <c r="B27" s="31" t="n">
        <f aca="false">SUMIFS(Détail!$E:$E,Détail!$D:$D,"AMIVAL",Détail!$A:$A,"&gt;="&amp;DATE(2025,11,1),Détail!$A:$A,"&lt;"&amp;EDATE(DATE(2025,11,1),1))</f>
        <v>0</v>
      </c>
    </row>
    <row r="28" customFormat="false" ht="15" hidden="false" customHeight="true" outlineLevel="0" collapsed="false">
      <c r="A28" s="8" t="s">
        <v>76</v>
      </c>
      <c r="B28" s="31" t="n">
        <f aca="false">SUMIFS(Détail!$E:$E,Détail!$D:$D,"AMIVAL",Détail!$A:$A,"&gt;="&amp;DATE(2025,12,1),Détail!$A:$A,"&lt;"&amp;EDATE(DATE(2025,12,1),1))</f>
        <v>0</v>
      </c>
    </row>
  </sheetData>
  <mergeCells count="2">
    <mergeCell ref="A3:B3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104</v>
      </c>
    </row>
    <row r="3" customFormat="false" ht="15" hidden="false" customHeight="true" outlineLevel="0" collapsed="false">
      <c r="A3" s="29" t="s">
        <v>105</v>
      </c>
      <c r="B3" s="29"/>
      <c r="C3" s="30" t="n">
        <f aca="false">SUMIF(Détail!$D:$D,"ZHEJIANG BI INDUSTRIAL CO LTD",Détail!$E:$E)</f>
        <v>-245581.16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SUMIFS(Détail!$E:$E,Détail!$D:$D,"ZHEJIANG BI INDUSTRIAL CO LTD",Détail!$A:$A,"&gt;="&amp;DATE(2025,1,1),Détail!$A:$A,"&lt;"&amp;EDATE(DATE(2025,1,1),1))</f>
        <v>0</v>
      </c>
    </row>
    <row r="6" customFormat="false" ht="15" hidden="false" customHeight="true" outlineLevel="0" collapsed="false">
      <c r="A6" s="8" t="s">
        <v>67</v>
      </c>
      <c r="B6" s="31" t="n">
        <f aca="false">SUMIFS(Détail!$E:$E,Détail!$D:$D,"ZHEJIANG BI INDUSTRIAL CO LTD",Détail!$A:$A,"&gt;="&amp;DATE(2025,3,1),Détail!$A:$A,"&lt;"&amp;EDATE(DATE(2025,3,1),1))</f>
        <v>-25738.1</v>
      </c>
    </row>
    <row r="7" customFormat="false" ht="15" hidden="false" customHeight="true" outlineLevel="0" collapsed="false">
      <c r="A7" s="8" t="s">
        <v>68</v>
      </c>
      <c r="B7" s="31" t="n">
        <f aca="false">SUMIFS(Détail!$E:$E,Détail!$D:$D,"ZHEJIANG BI INDUSTRIAL CO LTD",Détail!$A:$A,"&gt;="&amp;DATE(2025,4,1),Détail!$A:$A,"&lt;"&amp;EDATE(DATE(2025,4,1),1))</f>
        <v>0</v>
      </c>
    </row>
    <row r="8" customFormat="false" ht="15" hidden="false" customHeight="true" outlineLevel="0" collapsed="false">
      <c r="A8" s="8" t="s">
        <v>69</v>
      </c>
      <c r="B8" s="31" t="n">
        <f aca="false">SUMIFS(Détail!$E:$E,Détail!$D:$D,"ZHEJIANG BI INDUSTRIAL CO LTD",Détail!$A:$A,"&gt;="&amp;DATE(2025,5,1),Détail!$A:$A,"&lt;"&amp;EDATE(DATE(2025,5,1),1))</f>
        <v>-11187.07</v>
      </c>
    </row>
    <row r="9" customFormat="false" ht="15" hidden="false" customHeight="true" outlineLevel="0" collapsed="false">
      <c r="A9" s="8" t="s">
        <v>70</v>
      </c>
      <c r="B9" s="31" t="n">
        <f aca="false">SUMIFS(Détail!$E:$E,Détail!$D:$D,"ZHEJIANG BI INDUSTRIAL CO LTD",Détail!$A:$A,"&gt;="&amp;DATE(2025,6,1),Détail!$A:$A,"&lt;"&amp;EDATE(DATE(2025,6,1),1))</f>
        <v>-74407.99</v>
      </c>
    </row>
    <row r="10" customFormat="false" ht="15" hidden="false" customHeight="true" outlineLevel="0" collapsed="false">
      <c r="A10" s="8" t="s">
        <v>73</v>
      </c>
      <c r="B10" s="31" t="n">
        <f aca="false">SUMIFS(Détail!$E:$E,Détail!$D:$D,"ZHEJIANG BI INDUSTRIAL CO LTD",Détail!$A:$A,"&gt;="&amp;DATE(2025,9,1),Détail!$A:$A,"&lt;"&amp;EDATE(DATE(2025,9,1),1))</f>
        <v>0</v>
      </c>
    </row>
    <row r="11" customFormat="false" ht="15" hidden="false" customHeight="true" outlineLevel="0" collapsed="false">
      <c r="A11" s="8" t="s">
        <v>74</v>
      </c>
      <c r="B11" s="31" t="n">
        <f aca="false">SUMIFS(Détail!$E:$E,Détail!$D:$D,"ZHEJIANG BI INDUSTRIAL CO LTD",Détail!$A:$A,"&gt;="&amp;DATE(2025,10,1),Détail!$A:$A,"&lt;"&amp;EDATE(DATE(2025,10,1),1))</f>
        <v>0</v>
      </c>
    </row>
    <row r="12" customFormat="false" ht="15" hidden="false" customHeight="true" outlineLevel="0" collapsed="false">
      <c r="A12" s="8" t="s">
        <v>75</v>
      </c>
      <c r="B12" s="31" t="n">
        <f aca="false">SUMIFS(Détail!$E:$E,Détail!$D:$D,"ZHEJIANG BI INDUSTRIAL CO LTD",Détail!$A:$A,"&gt;="&amp;DATE(2025,11,1),Détail!$A:$A,"&lt;"&amp;EDATE(DATE(2025,11,1),1))</f>
        <v>-7264.03</v>
      </c>
    </row>
    <row r="13" customFormat="false" ht="15" hidden="false" customHeight="true" outlineLevel="0" collapsed="false">
      <c r="A13" s="8" t="s">
        <v>76</v>
      </c>
      <c r="B13" s="31" t="n">
        <f aca="false">SUMIFS(Détail!$E:$E,Détail!$D:$D,"ZHEJIANG BI INDUSTRIAL CO LTD",Détail!$A:$A,"&gt;="&amp;DATE(2025,12,1),Détail!$A:$A,"&lt;"&amp;EDATE(DATE(2025,12,1),1))</f>
        <v>-126983.97</v>
      </c>
    </row>
    <row r="16" customFormat="false" ht="15" hidden="false" customHeight="true" outlineLevel="0" collapsed="false">
      <c r="A16" s="29" t="s">
        <v>106</v>
      </c>
      <c r="B16" s="29"/>
      <c r="C16" s="30" t="n">
        <f aca="false">SUMIF(Détail!$D:$D,"LEADERS HARDWARE PLASTIC CO LIMITED",Détail!$E:$E)</f>
        <v>-19669.88</v>
      </c>
    </row>
    <row r="17" customFormat="false" ht="15" hidden="false" customHeight="true" outlineLevel="0" collapsed="false">
      <c r="A17" s="24" t="s">
        <v>63</v>
      </c>
      <c r="B17" s="24" t="s">
        <v>64</v>
      </c>
    </row>
    <row r="18" customFormat="false" ht="15" hidden="false" customHeight="true" outlineLevel="0" collapsed="false">
      <c r="A18" s="8" t="s">
        <v>65</v>
      </c>
      <c r="B18" s="31" t="n">
        <f aca="false">SUMIFS(Détail!$E:$E,Détail!$D:$D,"LEADERS HARDWARE PLASTIC CO LIMITED",Détail!$A:$A,"&gt;="&amp;DATE(2025,1,1),Détail!$A:$A,"&lt;"&amp;EDATE(DATE(2025,1,1),1))</f>
        <v>-5727.66</v>
      </c>
    </row>
    <row r="19" customFormat="false" ht="15" hidden="false" customHeight="true" outlineLevel="0" collapsed="false">
      <c r="A19" s="8" t="s">
        <v>67</v>
      </c>
      <c r="B19" s="31" t="n">
        <f aca="false">SUMIFS(Détail!$E:$E,Détail!$D:$D,"LEADERS HARDWARE PLASTIC CO LIMITED",Détail!$A:$A,"&gt;="&amp;DATE(2025,3,1),Détail!$A:$A,"&lt;"&amp;EDATE(DATE(2025,3,1),1))</f>
        <v>0</v>
      </c>
    </row>
    <row r="20" customFormat="false" ht="15" hidden="false" customHeight="true" outlineLevel="0" collapsed="false">
      <c r="A20" s="8" t="s">
        <v>68</v>
      </c>
      <c r="B20" s="31" t="n">
        <f aca="false">SUMIFS(Détail!$E:$E,Détail!$D:$D,"LEADERS HARDWARE PLASTIC CO LIMITED",Détail!$A:$A,"&gt;="&amp;DATE(2025,4,1),Détail!$A:$A,"&lt;"&amp;EDATE(DATE(2025,4,1),1))</f>
        <v>-5189</v>
      </c>
    </row>
    <row r="21" customFormat="false" ht="15" hidden="false" customHeight="true" outlineLevel="0" collapsed="false">
      <c r="A21" s="8" t="s">
        <v>69</v>
      </c>
      <c r="B21" s="31" t="n">
        <f aca="false">SUMIFS(Détail!$E:$E,Détail!$D:$D,"LEADERS HARDWARE PLASTIC CO LIMITED",Détail!$A:$A,"&gt;="&amp;DATE(2025,5,1),Détail!$A:$A,"&lt;"&amp;EDATE(DATE(2025,5,1),1))</f>
        <v>-1752.85</v>
      </c>
    </row>
    <row r="22" customFormat="false" ht="15" hidden="false" customHeight="true" outlineLevel="0" collapsed="false">
      <c r="A22" s="8" t="s">
        <v>70</v>
      </c>
      <c r="B22" s="31" t="n">
        <f aca="false">SUMIFS(Détail!$E:$E,Détail!$D:$D,"LEADERS HARDWARE PLASTIC CO LIMITED",Détail!$A:$A,"&gt;="&amp;DATE(2025,6,1),Détail!$A:$A,"&lt;"&amp;EDATE(DATE(2025,6,1),1))</f>
        <v>-3332.97</v>
      </c>
    </row>
    <row r="23" customFormat="false" ht="15" hidden="false" customHeight="true" outlineLevel="0" collapsed="false">
      <c r="A23" s="8" t="s">
        <v>73</v>
      </c>
      <c r="B23" s="31" t="n">
        <f aca="false">SUMIFS(Détail!$E:$E,Détail!$D:$D,"LEADERS HARDWARE PLASTIC CO LIMITED",Détail!$A:$A,"&gt;="&amp;DATE(2025,9,1),Détail!$A:$A,"&lt;"&amp;EDATE(DATE(2025,9,1),1))</f>
        <v>-798.78</v>
      </c>
    </row>
    <row r="24" customFormat="false" ht="15" hidden="false" customHeight="true" outlineLevel="0" collapsed="false">
      <c r="A24" s="8" t="s">
        <v>74</v>
      </c>
      <c r="B24" s="31" t="n">
        <f aca="false">SUMIFS(Détail!$E:$E,Détail!$D:$D,"LEADERS HARDWARE PLASTIC CO LIMITED",Détail!$A:$A,"&gt;="&amp;DATE(2025,10,1),Détail!$A:$A,"&lt;"&amp;EDATE(DATE(2025,10,1),1))</f>
        <v>-2868.62</v>
      </c>
    </row>
    <row r="25" customFormat="false" ht="15" hidden="false" customHeight="true" outlineLevel="0" collapsed="false">
      <c r="A25" s="8" t="s">
        <v>75</v>
      </c>
      <c r="B25" s="31" t="n">
        <f aca="false">SUMIFS(Détail!$E:$E,Détail!$D:$D,"LEADERS HARDWARE PLASTIC CO LIMITED",Détail!$A:$A,"&gt;="&amp;DATE(2025,11,1),Détail!$A:$A,"&lt;"&amp;EDATE(DATE(2025,11,1),1))</f>
        <v>0</v>
      </c>
    </row>
    <row r="26" customFormat="false" ht="15" hidden="false" customHeight="true" outlineLevel="0" collapsed="false">
      <c r="A26" s="8" t="s">
        <v>76</v>
      </c>
      <c r="B26" s="31" t="n">
        <f aca="false">SUMIFS(Détail!$E:$E,Détail!$D:$D,"LEADERS HARDWARE PLASTIC CO LIMITED",Détail!$A:$A,"&gt;="&amp;DATE(2025,12,1),Détail!$A:$A,"&lt;"&amp;EDATE(DATE(2025,12,1),1))</f>
        <v>0</v>
      </c>
    </row>
    <row r="29" customFormat="false" ht="15" hidden="false" customHeight="true" outlineLevel="0" collapsed="false">
      <c r="A29" s="29" t="s">
        <v>107</v>
      </c>
      <c r="B29" s="29"/>
      <c r="C29" s="30" t="n">
        <f aca="false">SUMIF(Détail!$D:$D,"SHENZHEN FORTRESS INDUSTRY CO",Détail!$E:$E)</f>
        <v>-13150.78</v>
      </c>
    </row>
    <row r="30" customFormat="false" ht="15" hidden="false" customHeight="true" outlineLevel="0" collapsed="false">
      <c r="A30" s="24" t="s">
        <v>63</v>
      </c>
      <c r="B30" s="24" t="s">
        <v>64</v>
      </c>
    </row>
    <row r="31" customFormat="false" ht="15" hidden="false" customHeight="true" outlineLevel="0" collapsed="false">
      <c r="A31" s="8" t="s">
        <v>65</v>
      </c>
      <c r="B31" s="31" t="n">
        <f aca="false">SUMIFS(Détail!$E:$E,Détail!$D:$D,"SHENZHEN FORTRESS INDUSTRY CO",Détail!$A:$A,"&gt;="&amp;DATE(2025,1,1),Détail!$A:$A,"&lt;"&amp;EDATE(DATE(2025,1,1),1))</f>
        <v>0</v>
      </c>
    </row>
    <row r="32" customFormat="false" ht="15" hidden="false" customHeight="true" outlineLevel="0" collapsed="false">
      <c r="A32" s="8" t="s">
        <v>67</v>
      </c>
      <c r="B32" s="31" t="n">
        <f aca="false">SUMIFS(Détail!$E:$E,Détail!$D:$D,"SHENZHEN FORTRESS INDUSTRY CO",Détail!$A:$A,"&gt;="&amp;DATE(2025,3,1),Détail!$A:$A,"&lt;"&amp;EDATE(DATE(2025,3,1),1))</f>
        <v>0</v>
      </c>
    </row>
    <row r="33" customFormat="false" ht="15" hidden="false" customHeight="true" outlineLevel="0" collapsed="false">
      <c r="A33" s="8" t="s">
        <v>68</v>
      </c>
      <c r="B33" s="31" t="n">
        <f aca="false">SUMIFS(Détail!$E:$E,Détail!$D:$D,"SHENZHEN FORTRESS INDUSTRY CO",Détail!$A:$A,"&gt;="&amp;DATE(2025,4,1),Détail!$A:$A,"&lt;"&amp;EDATE(DATE(2025,4,1),1))</f>
        <v>0</v>
      </c>
    </row>
    <row r="34" customFormat="false" ht="15" hidden="false" customHeight="true" outlineLevel="0" collapsed="false">
      <c r="A34" s="8" t="s">
        <v>69</v>
      </c>
      <c r="B34" s="31" t="n">
        <f aca="false">SUMIFS(Détail!$E:$E,Détail!$D:$D,"SHENZHEN FORTRESS INDUSTRY CO",Détail!$A:$A,"&gt;="&amp;DATE(2025,5,1),Détail!$A:$A,"&lt;"&amp;EDATE(DATE(2025,5,1),1))</f>
        <v>0</v>
      </c>
    </row>
    <row r="35" customFormat="false" ht="15" hidden="false" customHeight="true" outlineLevel="0" collapsed="false">
      <c r="A35" s="8" t="s">
        <v>70</v>
      </c>
      <c r="B35" s="31" t="n">
        <f aca="false">SUMIFS(Détail!$E:$E,Détail!$D:$D,"SHENZHEN FORTRESS INDUSTRY CO",Détail!$A:$A,"&gt;="&amp;DATE(2025,6,1),Détail!$A:$A,"&lt;"&amp;EDATE(DATE(2025,6,1),1))</f>
        <v>0</v>
      </c>
    </row>
    <row r="36" customFormat="false" ht="15" hidden="false" customHeight="true" outlineLevel="0" collapsed="false">
      <c r="A36" s="8" t="s">
        <v>73</v>
      </c>
      <c r="B36" s="31" t="n">
        <f aca="false">SUMIFS(Détail!$E:$E,Détail!$D:$D,"SHENZHEN FORTRESS INDUSTRY CO",Détail!$A:$A,"&gt;="&amp;DATE(2025,9,1),Détail!$A:$A,"&lt;"&amp;EDATE(DATE(2025,9,1),1))</f>
        <v>0</v>
      </c>
    </row>
    <row r="37" customFormat="false" ht="15" hidden="false" customHeight="true" outlineLevel="0" collapsed="false">
      <c r="A37" s="8" t="s">
        <v>74</v>
      </c>
      <c r="B37" s="31" t="n">
        <f aca="false">SUMIFS(Détail!$E:$E,Détail!$D:$D,"SHENZHEN FORTRESS INDUSTRY CO",Détail!$A:$A,"&gt;="&amp;DATE(2025,10,1),Détail!$A:$A,"&lt;"&amp;EDATE(DATE(2025,10,1),1))</f>
        <v>-13150.78</v>
      </c>
    </row>
    <row r="38" customFormat="false" ht="15" hidden="false" customHeight="true" outlineLevel="0" collapsed="false">
      <c r="A38" s="8" t="s">
        <v>75</v>
      </c>
      <c r="B38" s="31" t="n">
        <f aca="false">SUMIFS(Détail!$E:$E,Détail!$D:$D,"SHENZHEN FORTRESS INDUSTRY CO",Détail!$A:$A,"&gt;="&amp;DATE(2025,11,1),Détail!$A:$A,"&lt;"&amp;EDATE(DATE(2025,11,1),1))</f>
        <v>0</v>
      </c>
    </row>
    <row r="39" customFormat="false" ht="15" hidden="false" customHeight="true" outlineLevel="0" collapsed="false">
      <c r="A39" s="8" t="s">
        <v>76</v>
      </c>
      <c r="B39" s="31" t="n">
        <f aca="false">SUMIFS(Détail!$E:$E,Détail!$D:$D,"SHENZHEN FORTRESS INDUSTRY CO",Détail!$A:$A,"&gt;="&amp;DATE(2025,12,1),Détail!$A:$A,"&lt;"&amp;EDATE(DATE(2025,12,1),1))</f>
        <v>0</v>
      </c>
    </row>
    <row r="42" customFormat="false" ht="15" hidden="false" customHeight="true" outlineLevel="0" collapsed="false">
      <c r="A42" s="29" t="s">
        <v>108</v>
      </c>
      <c r="B42" s="29"/>
      <c r="C42" s="30" t="n">
        <f aca="false">SUMIF(Détail!$D:$D,"LUXE PERFUMES FZC",Détail!$E:$E)</f>
        <v>-10208</v>
      </c>
    </row>
    <row r="43" customFormat="false" ht="15" hidden="false" customHeight="true" outlineLevel="0" collapsed="false">
      <c r="A43" s="24" t="s">
        <v>63</v>
      </c>
      <c r="B43" s="24" t="s">
        <v>64</v>
      </c>
    </row>
    <row r="44" customFormat="false" ht="15" hidden="false" customHeight="true" outlineLevel="0" collapsed="false">
      <c r="A44" s="8" t="s">
        <v>65</v>
      </c>
      <c r="B44" s="31" t="n">
        <f aca="false">SUMIFS(Détail!$E:$E,Détail!$D:$D,"LUXE PERFUMES FZC",Détail!$A:$A,"&gt;="&amp;DATE(2025,1,1),Détail!$A:$A,"&lt;"&amp;EDATE(DATE(2025,1,1),1))</f>
        <v>0</v>
      </c>
    </row>
    <row r="45" customFormat="false" ht="15" hidden="false" customHeight="true" outlineLevel="0" collapsed="false">
      <c r="A45" s="8" t="s">
        <v>67</v>
      </c>
      <c r="B45" s="31" t="n">
        <f aca="false">SUMIFS(Détail!$E:$E,Détail!$D:$D,"LUXE PERFUMES FZC",Détail!$A:$A,"&gt;="&amp;DATE(2025,3,1),Détail!$A:$A,"&lt;"&amp;EDATE(DATE(2025,3,1),1))</f>
        <v>0</v>
      </c>
    </row>
    <row r="46" customFormat="false" ht="15" hidden="false" customHeight="true" outlineLevel="0" collapsed="false">
      <c r="A46" s="8" t="s">
        <v>68</v>
      </c>
      <c r="B46" s="31" t="n">
        <f aca="false">SUMIFS(Détail!$E:$E,Détail!$D:$D,"LUXE PERFUMES FZC",Détail!$A:$A,"&gt;="&amp;DATE(2025,4,1),Détail!$A:$A,"&lt;"&amp;EDATE(DATE(2025,4,1),1))</f>
        <v>-10208</v>
      </c>
    </row>
    <row r="47" customFormat="false" ht="15" hidden="false" customHeight="true" outlineLevel="0" collapsed="false">
      <c r="A47" s="8" t="s">
        <v>69</v>
      </c>
      <c r="B47" s="31" t="n">
        <f aca="false">SUMIFS(Détail!$E:$E,Détail!$D:$D,"LUXE PERFUMES FZC",Détail!$A:$A,"&gt;="&amp;DATE(2025,5,1),Détail!$A:$A,"&lt;"&amp;EDATE(DATE(2025,5,1),1))</f>
        <v>0</v>
      </c>
    </row>
    <row r="48" customFormat="false" ht="15" hidden="false" customHeight="true" outlineLevel="0" collapsed="false">
      <c r="A48" s="8" t="s">
        <v>70</v>
      </c>
      <c r="B48" s="31" t="n">
        <f aca="false">SUMIFS(Détail!$E:$E,Détail!$D:$D,"LUXE PERFUMES FZC",Détail!$A:$A,"&gt;="&amp;DATE(2025,6,1),Détail!$A:$A,"&lt;"&amp;EDATE(DATE(2025,6,1),1))</f>
        <v>0</v>
      </c>
    </row>
    <row r="49" customFormat="false" ht="15" hidden="false" customHeight="true" outlineLevel="0" collapsed="false">
      <c r="A49" s="8" t="s">
        <v>73</v>
      </c>
      <c r="B49" s="31" t="n">
        <f aca="false">SUMIFS(Détail!$E:$E,Détail!$D:$D,"LUXE PERFUMES FZC",Détail!$A:$A,"&gt;="&amp;DATE(2025,9,1),Détail!$A:$A,"&lt;"&amp;EDATE(DATE(2025,9,1),1))</f>
        <v>0</v>
      </c>
    </row>
    <row r="50" customFormat="false" ht="15" hidden="false" customHeight="true" outlineLevel="0" collapsed="false">
      <c r="A50" s="8" t="s">
        <v>74</v>
      </c>
      <c r="B50" s="31" t="n">
        <f aca="false">SUMIFS(Détail!$E:$E,Détail!$D:$D,"LUXE PERFUMES FZC",Détail!$A:$A,"&gt;="&amp;DATE(2025,10,1),Détail!$A:$A,"&lt;"&amp;EDATE(DATE(2025,10,1),1))</f>
        <v>0</v>
      </c>
    </row>
    <row r="51" customFormat="false" ht="15" hidden="false" customHeight="true" outlineLevel="0" collapsed="false">
      <c r="A51" s="8" t="s">
        <v>75</v>
      </c>
      <c r="B51" s="31" t="n">
        <f aca="false">SUMIFS(Détail!$E:$E,Détail!$D:$D,"LUXE PERFUMES FZC",Détail!$A:$A,"&gt;="&amp;DATE(2025,11,1),Détail!$A:$A,"&lt;"&amp;EDATE(DATE(2025,11,1),1))</f>
        <v>0</v>
      </c>
    </row>
    <row r="52" customFormat="false" ht="15" hidden="false" customHeight="true" outlineLevel="0" collapsed="false">
      <c r="A52" s="8" t="s">
        <v>76</v>
      </c>
      <c r="B52" s="31" t="n">
        <f aca="false">SUMIFS(Détail!$E:$E,Détail!$D:$D,"LUXE PERFUMES FZC",Détail!$A:$A,"&gt;="&amp;DATE(2025,12,1),Détail!$A:$A,"&lt;"&amp;EDATE(DATE(2025,12,1),1))</f>
        <v>0</v>
      </c>
    </row>
    <row r="55" customFormat="false" ht="15" hidden="false" customHeight="true" outlineLevel="0" collapsed="false">
      <c r="A55" s="29" t="s">
        <v>109</v>
      </c>
      <c r="B55" s="29"/>
      <c r="C55" s="30" t="n">
        <f aca="false">SUMIF(Détail!$D:$D,"GOLD ROCK COMPANY LIMITED",Détail!$E:$E)</f>
        <v>-7217.25</v>
      </c>
    </row>
    <row r="56" customFormat="false" ht="15" hidden="false" customHeight="true" outlineLevel="0" collapsed="false">
      <c r="A56" s="24" t="s">
        <v>63</v>
      </c>
      <c r="B56" s="24" t="s">
        <v>64</v>
      </c>
    </row>
    <row r="57" customFormat="false" ht="15" hidden="false" customHeight="true" outlineLevel="0" collapsed="false">
      <c r="A57" s="8" t="s">
        <v>65</v>
      </c>
      <c r="B57" s="31" t="n">
        <f aca="false">SUMIFS(Détail!$E:$E,Détail!$D:$D,"GOLD ROCK COMPANY LIMITED",Détail!$A:$A,"&gt;="&amp;DATE(2025,1,1),Détail!$A:$A,"&lt;"&amp;EDATE(DATE(2025,1,1),1))</f>
        <v>0</v>
      </c>
    </row>
    <row r="58" customFormat="false" ht="15" hidden="false" customHeight="true" outlineLevel="0" collapsed="false">
      <c r="A58" s="8" t="s">
        <v>67</v>
      </c>
      <c r="B58" s="31" t="n">
        <f aca="false">SUMIFS(Détail!$E:$E,Détail!$D:$D,"GOLD ROCK COMPANY LIMITED",Détail!$A:$A,"&gt;="&amp;DATE(2025,3,1),Détail!$A:$A,"&lt;"&amp;EDATE(DATE(2025,3,1),1))</f>
        <v>-4290.8</v>
      </c>
    </row>
    <row r="59" customFormat="false" ht="15" hidden="false" customHeight="true" outlineLevel="0" collapsed="false">
      <c r="A59" s="8" t="s">
        <v>68</v>
      </c>
      <c r="B59" s="31" t="n">
        <f aca="false">SUMIFS(Détail!$E:$E,Détail!$D:$D,"GOLD ROCK COMPANY LIMITED",Détail!$A:$A,"&gt;="&amp;DATE(2025,4,1),Détail!$A:$A,"&lt;"&amp;EDATE(DATE(2025,4,1),1))</f>
        <v>0</v>
      </c>
    </row>
    <row r="60" customFormat="false" ht="15" hidden="false" customHeight="true" outlineLevel="0" collapsed="false">
      <c r="A60" s="8" t="s">
        <v>69</v>
      </c>
      <c r="B60" s="31" t="n">
        <f aca="false">SUMIFS(Détail!$E:$E,Détail!$D:$D,"GOLD ROCK COMPANY LIMITED",Détail!$A:$A,"&gt;="&amp;DATE(2025,5,1),Détail!$A:$A,"&lt;"&amp;EDATE(DATE(2025,5,1),1))</f>
        <v>0</v>
      </c>
    </row>
    <row r="61" customFormat="false" ht="15" hidden="false" customHeight="true" outlineLevel="0" collapsed="false">
      <c r="A61" s="8" t="s">
        <v>70</v>
      </c>
      <c r="B61" s="31" t="n">
        <f aca="false">SUMIFS(Détail!$E:$E,Détail!$D:$D,"GOLD ROCK COMPANY LIMITED",Détail!$A:$A,"&gt;="&amp;DATE(2025,6,1),Détail!$A:$A,"&lt;"&amp;EDATE(DATE(2025,6,1),1))</f>
        <v>0</v>
      </c>
    </row>
    <row r="62" customFormat="false" ht="15" hidden="false" customHeight="true" outlineLevel="0" collapsed="false">
      <c r="A62" s="8" t="s">
        <v>73</v>
      </c>
      <c r="B62" s="31" t="n">
        <f aca="false">SUMIFS(Détail!$E:$E,Détail!$D:$D,"GOLD ROCK COMPANY LIMITED",Détail!$A:$A,"&gt;="&amp;DATE(2025,9,1),Détail!$A:$A,"&lt;"&amp;EDATE(DATE(2025,9,1),1))</f>
        <v>0</v>
      </c>
    </row>
    <row r="63" customFormat="false" ht="15" hidden="false" customHeight="true" outlineLevel="0" collapsed="false">
      <c r="A63" s="8" t="s">
        <v>74</v>
      </c>
      <c r="B63" s="31" t="n">
        <f aca="false">SUMIFS(Détail!$E:$E,Détail!$D:$D,"GOLD ROCK COMPANY LIMITED",Détail!$A:$A,"&gt;="&amp;DATE(2025,10,1),Détail!$A:$A,"&lt;"&amp;EDATE(DATE(2025,10,1),1))</f>
        <v>0</v>
      </c>
    </row>
    <row r="64" customFormat="false" ht="15" hidden="false" customHeight="true" outlineLevel="0" collapsed="false">
      <c r="A64" s="8" t="s">
        <v>75</v>
      </c>
      <c r="B64" s="31" t="n">
        <f aca="false">SUMIFS(Détail!$E:$E,Détail!$D:$D,"GOLD ROCK COMPANY LIMITED",Détail!$A:$A,"&gt;="&amp;DATE(2025,11,1),Détail!$A:$A,"&lt;"&amp;EDATE(DATE(2025,11,1),1))</f>
        <v>0</v>
      </c>
    </row>
    <row r="65" customFormat="false" ht="15" hidden="false" customHeight="true" outlineLevel="0" collapsed="false">
      <c r="A65" s="8" t="s">
        <v>76</v>
      </c>
      <c r="B65" s="31" t="n">
        <f aca="false">SUMIFS(Détail!$E:$E,Détail!$D:$D,"GOLD ROCK COMPANY LIMITED",Détail!$A:$A,"&gt;="&amp;DATE(2025,12,1),Détail!$A:$A,"&lt;"&amp;EDATE(DATE(2025,12,1),1))</f>
        <v>-2926.45</v>
      </c>
    </row>
    <row r="68" customFormat="false" ht="15" hidden="false" customHeight="true" outlineLevel="0" collapsed="false">
      <c r="A68" s="29" t="s">
        <v>110</v>
      </c>
      <c r="B68" s="29"/>
      <c r="C68" s="30" t="n">
        <f aca="false">SUMIF(Détail!$D:$D,"ALIBABA.COM SIN",Détail!$E:$E)</f>
        <v>-1601.47</v>
      </c>
    </row>
    <row r="69" customFormat="false" ht="15" hidden="false" customHeight="true" outlineLevel="0" collapsed="false">
      <c r="A69" s="24" t="s">
        <v>63</v>
      </c>
      <c r="B69" s="24" t="s">
        <v>64</v>
      </c>
    </row>
    <row r="70" customFormat="false" ht="15" hidden="false" customHeight="true" outlineLevel="0" collapsed="false">
      <c r="A70" s="8" t="s">
        <v>65</v>
      </c>
      <c r="B70" s="31" t="n">
        <f aca="false">SUMIFS(Détail!$E:$E,Détail!$D:$D,"ALIBABA.COM SIN",Détail!$A:$A,"&gt;="&amp;DATE(2025,1,1),Détail!$A:$A,"&lt;"&amp;EDATE(DATE(2025,1,1),1))</f>
        <v>0</v>
      </c>
    </row>
    <row r="71" customFormat="false" ht="15" hidden="false" customHeight="true" outlineLevel="0" collapsed="false">
      <c r="A71" s="8" t="s">
        <v>67</v>
      </c>
      <c r="B71" s="31" t="n">
        <f aca="false">SUMIFS(Détail!$E:$E,Détail!$D:$D,"ALIBABA.COM SIN",Détail!$A:$A,"&gt;="&amp;DATE(2025,3,1),Détail!$A:$A,"&lt;"&amp;EDATE(DATE(2025,3,1),1))</f>
        <v>0</v>
      </c>
    </row>
    <row r="72" customFormat="false" ht="15" hidden="false" customHeight="true" outlineLevel="0" collapsed="false">
      <c r="A72" s="8" t="s">
        <v>68</v>
      </c>
      <c r="B72" s="31" t="n">
        <f aca="false">SUMIFS(Détail!$E:$E,Détail!$D:$D,"ALIBABA.COM SIN",Détail!$A:$A,"&gt;="&amp;DATE(2025,4,1),Détail!$A:$A,"&lt;"&amp;EDATE(DATE(2025,4,1),1))</f>
        <v>0</v>
      </c>
    </row>
    <row r="73" customFormat="false" ht="15" hidden="false" customHeight="true" outlineLevel="0" collapsed="false">
      <c r="A73" s="8" t="s">
        <v>69</v>
      </c>
      <c r="B73" s="31" t="n">
        <f aca="false">SUMIFS(Détail!$E:$E,Détail!$D:$D,"ALIBABA.COM SIN",Détail!$A:$A,"&gt;="&amp;DATE(2025,5,1),Détail!$A:$A,"&lt;"&amp;EDATE(DATE(2025,5,1),1))</f>
        <v>0</v>
      </c>
    </row>
    <row r="74" customFormat="false" ht="15" hidden="false" customHeight="true" outlineLevel="0" collapsed="false">
      <c r="A74" s="8" t="s">
        <v>70</v>
      </c>
      <c r="B74" s="31" t="n">
        <f aca="false">SUMIFS(Détail!$E:$E,Détail!$D:$D,"ALIBABA.COM SIN",Détail!$A:$A,"&gt;="&amp;DATE(2025,6,1),Détail!$A:$A,"&lt;"&amp;EDATE(DATE(2025,6,1),1))</f>
        <v>0</v>
      </c>
    </row>
    <row r="75" customFormat="false" ht="15" hidden="false" customHeight="true" outlineLevel="0" collapsed="false">
      <c r="A75" s="8" t="s">
        <v>73</v>
      </c>
      <c r="B75" s="31" t="n">
        <f aca="false">SUMIFS(Détail!$E:$E,Détail!$D:$D,"ALIBABA.COM SIN",Détail!$A:$A,"&gt;="&amp;DATE(2025,9,1),Détail!$A:$A,"&lt;"&amp;EDATE(DATE(2025,9,1),1))</f>
        <v>-1601.47</v>
      </c>
    </row>
    <row r="76" customFormat="false" ht="15" hidden="false" customHeight="true" outlineLevel="0" collapsed="false">
      <c r="A76" s="8" t="s">
        <v>74</v>
      </c>
      <c r="B76" s="31" t="n">
        <f aca="false">SUMIFS(Détail!$E:$E,Détail!$D:$D,"ALIBABA.COM SIN",Détail!$A:$A,"&gt;="&amp;DATE(2025,10,1),Détail!$A:$A,"&lt;"&amp;EDATE(DATE(2025,10,1),1))</f>
        <v>0</v>
      </c>
    </row>
    <row r="77" customFormat="false" ht="15" hidden="false" customHeight="true" outlineLevel="0" collapsed="false">
      <c r="A77" s="8" t="s">
        <v>75</v>
      </c>
      <c r="B77" s="31" t="n">
        <f aca="false">SUMIFS(Détail!$E:$E,Détail!$D:$D,"ALIBABA.COM SIN",Détail!$A:$A,"&gt;="&amp;DATE(2025,11,1),Détail!$A:$A,"&lt;"&amp;EDATE(DATE(2025,11,1),1))</f>
        <v>0</v>
      </c>
    </row>
    <row r="78" customFormat="false" ht="15" hidden="false" customHeight="true" outlineLevel="0" collapsed="false">
      <c r="A78" s="8" t="s">
        <v>76</v>
      </c>
      <c r="B78" s="31" t="n">
        <f aca="false">SUMIFS(Détail!$E:$E,Détail!$D:$D,"ALIBABA.COM SIN",Détail!$A:$A,"&gt;="&amp;DATE(2025,12,1),Détail!$A:$A,"&lt;"&amp;EDATE(DATE(2025,12,1),1))</f>
        <v>0</v>
      </c>
    </row>
  </sheetData>
  <mergeCells count="6">
    <mergeCell ref="A3:B3"/>
    <mergeCell ref="A16:B16"/>
    <mergeCell ref="A29:B29"/>
    <mergeCell ref="A42:B42"/>
    <mergeCell ref="A55:B55"/>
    <mergeCell ref="A68:B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111</v>
      </c>
    </row>
    <row r="3" customFormat="false" ht="15" hidden="false" customHeight="true" outlineLevel="0" collapsed="false">
      <c r="A3" s="29" t="s">
        <v>112</v>
      </c>
      <c r="B3" s="29"/>
      <c r="C3" s="30" t="n">
        <f aca="false">SUMIF(Détail!$D:$D,"URSSAF D'ILE DE FRANCE",Détail!$E:$E)</f>
        <v>-33018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SUMIFS(Détail!$E:$E,Détail!$D:$D,"URSSAF D'ILE DE FRANCE",Détail!$A:$A,"&gt;="&amp;DATE(2025,1,1),Détail!$A:$A,"&lt;"&amp;EDATE(DATE(2025,1,1),1))</f>
        <v>-1341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SUMIFS(Détail!$E:$E,Détail!$D:$D,"URSSAF D'ILE DE FRANCE",Détail!$A:$A,"&gt;="&amp;DATE(2025,2,1),Détail!$A:$A,"&lt;"&amp;EDATE(DATE(2025,2,1),1))</f>
        <v>-2405</v>
      </c>
    </row>
    <row r="7" customFormat="false" ht="15" hidden="false" customHeight="true" outlineLevel="0" collapsed="false">
      <c r="A7" s="8" t="s">
        <v>67</v>
      </c>
      <c r="B7" s="31" t="n">
        <f aca="false">SUMIFS(Détail!$E:$E,Détail!$D:$D,"URSSAF D'ILE DE FRANCE",Détail!$A:$A,"&gt;="&amp;DATE(2025,3,1),Détail!$A:$A,"&lt;"&amp;EDATE(DATE(2025,3,1),1))</f>
        <v>-2860</v>
      </c>
    </row>
    <row r="8" customFormat="false" ht="15" hidden="false" customHeight="true" outlineLevel="0" collapsed="false">
      <c r="A8" s="8" t="s">
        <v>68</v>
      </c>
      <c r="B8" s="31" t="n">
        <f aca="false">SUMIFS(Détail!$E:$E,Détail!$D:$D,"URSSAF D'ILE DE FRANCE",Détail!$A:$A,"&gt;="&amp;DATE(2025,4,1),Détail!$A:$A,"&lt;"&amp;EDATE(DATE(2025,4,1),1))</f>
        <v>-2839</v>
      </c>
    </row>
    <row r="9" customFormat="false" ht="15" hidden="false" customHeight="true" outlineLevel="0" collapsed="false">
      <c r="A9" s="8" t="s">
        <v>69</v>
      </c>
      <c r="B9" s="31" t="n">
        <f aca="false">SUMIFS(Détail!$E:$E,Détail!$D:$D,"URSSAF D'ILE DE FRANCE",Détail!$A:$A,"&gt;="&amp;DATE(2025,5,1),Détail!$A:$A,"&lt;"&amp;EDATE(DATE(2025,5,1),1))</f>
        <v>-2887</v>
      </c>
    </row>
    <row r="10" customFormat="false" ht="15" hidden="false" customHeight="true" outlineLevel="0" collapsed="false">
      <c r="A10" s="8" t="s">
        <v>70</v>
      </c>
      <c r="B10" s="31" t="n">
        <f aca="false">SUMIFS(Détail!$E:$E,Détail!$D:$D,"URSSAF D'ILE DE FRANCE",Détail!$A:$A,"&gt;="&amp;DATE(2025,6,1),Détail!$A:$A,"&lt;"&amp;EDATE(DATE(2025,6,1),1))</f>
        <v>-2927</v>
      </c>
    </row>
    <row r="11" customFormat="false" ht="15" hidden="false" customHeight="true" outlineLevel="0" collapsed="false">
      <c r="A11" s="8" t="s">
        <v>71</v>
      </c>
      <c r="B11" s="31" t="n">
        <f aca="false">SUMIFS(Détail!$E:$E,Détail!$D:$D,"URSSAF D'ILE DE FRANCE",Détail!$A:$A,"&gt;="&amp;DATE(2025,7,1),Détail!$A:$A,"&lt;"&amp;EDATE(DATE(2025,7,1),1))</f>
        <v>-2924</v>
      </c>
    </row>
    <row r="12" customFormat="false" ht="15" hidden="false" customHeight="true" outlineLevel="0" collapsed="false">
      <c r="A12" s="8" t="s">
        <v>72</v>
      </c>
      <c r="B12" s="31" t="n">
        <f aca="false">SUMIFS(Détail!$E:$E,Détail!$D:$D,"URSSAF D'ILE DE FRANCE",Détail!$A:$A,"&gt;="&amp;DATE(2025,8,1),Détail!$A:$A,"&lt;"&amp;EDATE(DATE(2025,8,1),1))</f>
        <v>-2930</v>
      </c>
    </row>
    <row r="13" customFormat="false" ht="15" hidden="false" customHeight="true" outlineLevel="0" collapsed="false">
      <c r="A13" s="8" t="s">
        <v>73</v>
      </c>
      <c r="B13" s="31" t="n">
        <f aca="false">SUMIFS(Détail!$E:$E,Détail!$D:$D,"URSSAF D'ILE DE FRANCE",Détail!$A:$A,"&gt;="&amp;DATE(2025,9,1),Détail!$A:$A,"&lt;"&amp;EDATE(DATE(2025,9,1),1))</f>
        <v>-3015</v>
      </c>
    </row>
    <row r="14" customFormat="false" ht="15" hidden="false" customHeight="true" outlineLevel="0" collapsed="false">
      <c r="A14" s="8" t="s">
        <v>74</v>
      </c>
      <c r="B14" s="31" t="n">
        <f aca="false">SUMIFS(Détail!$E:$E,Détail!$D:$D,"URSSAF D'ILE DE FRANCE",Détail!$A:$A,"&gt;="&amp;DATE(2025,10,1),Détail!$A:$A,"&lt;"&amp;EDATE(DATE(2025,10,1),1))</f>
        <v>-2927</v>
      </c>
    </row>
    <row r="15" customFormat="false" ht="15" hidden="false" customHeight="true" outlineLevel="0" collapsed="false">
      <c r="A15" s="8" t="s">
        <v>75</v>
      </c>
      <c r="B15" s="31" t="n">
        <f aca="false">SUMIFS(Détail!$E:$E,Détail!$D:$D,"URSSAF D'ILE DE FRANCE",Détail!$A:$A,"&gt;="&amp;DATE(2025,11,1),Détail!$A:$A,"&lt;"&amp;EDATE(DATE(2025,11,1),1))</f>
        <v>-3041</v>
      </c>
    </row>
    <row r="16" customFormat="false" ht="15" hidden="false" customHeight="true" outlineLevel="0" collapsed="false">
      <c r="A16" s="8" t="s">
        <v>76</v>
      </c>
      <c r="B16" s="31" t="n">
        <f aca="false">SUMIFS(Détail!$E:$E,Détail!$D:$D,"URSSAF D'ILE DE FRANCE",Détail!$A:$A,"&gt;="&amp;DATE(2025,12,1),Détail!$A:$A,"&lt;"&amp;EDATE(DATE(2025,12,1),1))</f>
        <v>-2922</v>
      </c>
    </row>
    <row r="19" customFormat="false" ht="15" hidden="false" customHeight="true" outlineLevel="0" collapsed="false">
      <c r="A19" s="29" t="s">
        <v>113</v>
      </c>
      <c r="B19" s="29"/>
      <c r="C19" s="30" t="n">
        <f aca="false">SUMIF(Détail!$D:$D,"AG2R REUNICA",Détail!$E:$E)</f>
        <v>-6882.84</v>
      </c>
    </row>
    <row r="20" customFormat="false" ht="15" hidden="false" customHeight="true" outlineLevel="0" collapsed="false">
      <c r="A20" s="24" t="s">
        <v>63</v>
      </c>
      <c r="B20" s="24" t="s">
        <v>64</v>
      </c>
    </row>
    <row r="21" customFormat="false" ht="15" hidden="false" customHeight="true" outlineLevel="0" collapsed="false">
      <c r="A21" s="8" t="s">
        <v>65</v>
      </c>
      <c r="B21" s="31" t="n">
        <f aca="false">SUMIFS(Détail!$E:$E,Détail!$D:$D,"AG2R REUNICA",Détail!$A:$A,"&gt;="&amp;DATE(2025,1,1),Détail!$A:$A,"&lt;"&amp;EDATE(DATE(2025,1,1),1))</f>
        <v>-268.42</v>
      </c>
    </row>
    <row r="22" customFormat="false" ht="15" hidden="false" customHeight="true" outlineLevel="0" collapsed="false">
      <c r="A22" s="8" t="s">
        <v>66</v>
      </c>
      <c r="B22" s="31" t="n">
        <f aca="false">SUMIFS(Détail!$E:$E,Détail!$D:$D,"AG2R REUNICA",Détail!$A:$A,"&gt;="&amp;DATE(2025,2,1),Détail!$A:$A,"&lt;"&amp;EDATE(DATE(2025,2,1),1))</f>
        <v>-503.88</v>
      </c>
    </row>
    <row r="23" customFormat="false" ht="15" hidden="false" customHeight="true" outlineLevel="0" collapsed="false">
      <c r="A23" s="8" t="s">
        <v>67</v>
      </c>
      <c r="B23" s="31" t="n">
        <f aca="false">SUMIFS(Détail!$E:$E,Détail!$D:$D,"AG2R REUNICA",Détail!$A:$A,"&gt;="&amp;DATE(2025,3,1),Détail!$A:$A,"&lt;"&amp;EDATE(DATE(2025,3,1),1))</f>
        <v>-604.33</v>
      </c>
    </row>
    <row r="24" customFormat="false" ht="15" hidden="false" customHeight="true" outlineLevel="0" collapsed="false">
      <c r="A24" s="8" t="s">
        <v>68</v>
      </c>
      <c r="B24" s="31" t="n">
        <f aca="false">SUMIFS(Détail!$E:$E,Détail!$D:$D,"AG2R REUNICA",Détail!$A:$A,"&gt;="&amp;DATE(2025,4,1),Détail!$A:$A,"&lt;"&amp;EDATE(DATE(2025,4,1),1))</f>
        <v>-600.22</v>
      </c>
    </row>
    <row r="25" customFormat="false" ht="15" hidden="false" customHeight="true" outlineLevel="0" collapsed="false">
      <c r="A25" s="8" t="s">
        <v>69</v>
      </c>
      <c r="B25" s="31" t="n">
        <f aca="false">SUMIFS(Détail!$E:$E,Détail!$D:$D,"AG2R REUNICA",Détail!$A:$A,"&gt;="&amp;DATE(2025,5,1),Détail!$A:$A,"&lt;"&amp;EDATE(DATE(2025,5,1),1))</f>
        <v>-610.81</v>
      </c>
    </row>
    <row r="26" customFormat="false" ht="15" hidden="false" customHeight="true" outlineLevel="0" collapsed="false">
      <c r="A26" s="8" t="s">
        <v>70</v>
      </c>
      <c r="B26" s="31" t="n">
        <f aca="false">SUMIFS(Détail!$E:$E,Détail!$D:$D,"AG2R REUNICA",Détail!$A:$A,"&gt;="&amp;DATE(2025,6,1),Détail!$A:$A,"&lt;"&amp;EDATE(DATE(2025,6,1),1))</f>
        <v>-611.37</v>
      </c>
    </row>
    <row r="27" customFormat="false" ht="15" hidden="false" customHeight="true" outlineLevel="0" collapsed="false">
      <c r="A27" s="8" t="s">
        <v>71</v>
      </c>
      <c r="B27" s="31" t="n">
        <f aca="false">SUMIFS(Détail!$E:$E,Détail!$D:$D,"AG2R REUNICA",Détail!$A:$A,"&gt;="&amp;DATE(2025,7,1),Détail!$A:$A,"&lt;"&amp;EDATE(DATE(2025,7,1),1))</f>
        <v>-610.75</v>
      </c>
    </row>
    <row r="28" customFormat="false" ht="15" hidden="false" customHeight="true" outlineLevel="0" collapsed="false">
      <c r="A28" s="8" t="s">
        <v>72</v>
      </c>
      <c r="B28" s="31" t="n">
        <f aca="false">SUMIFS(Détail!$E:$E,Détail!$D:$D,"AG2R REUNICA",Détail!$A:$A,"&gt;="&amp;DATE(2025,8,1),Détail!$A:$A,"&lt;"&amp;EDATE(DATE(2025,8,1),1))</f>
        <v>-610.68</v>
      </c>
    </row>
    <row r="29" customFormat="false" ht="15" hidden="false" customHeight="true" outlineLevel="0" collapsed="false">
      <c r="A29" s="8" t="s">
        <v>73</v>
      </c>
      <c r="B29" s="31" t="n">
        <f aca="false">SUMIFS(Détail!$E:$E,Détail!$D:$D,"AG2R REUNICA",Détail!$A:$A,"&gt;="&amp;DATE(2025,9,1),Détail!$A:$A,"&lt;"&amp;EDATE(DATE(2025,9,1),1))</f>
        <v>-631.06</v>
      </c>
    </row>
    <row r="30" customFormat="false" ht="15" hidden="false" customHeight="true" outlineLevel="0" collapsed="false">
      <c r="A30" s="8" t="s">
        <v>74</v>
      </c>
      <c r="B30" s="31" t="n">
        <f aca="false">SUMIFS(Détail!$E:$E,Détail!$D:$D,"AG2R REUNICA",Détail!$A:$A,"&gt;="&amp;DATE(2025,10,1),Détail!$A:$A,"&lt;"&amp;EDATE(DATE(2025,10,1),1))</f>
        <v>-610.48</v>
      </c>
    </row>
    <row r="31" customFormat="false" ht="15" hidden="false" customHeight="true" outlineLevel="0" collapsed="false">
      <c r="A31" s="8" t="s">
        <v>75</v>
      </c>
      <c r="B31" s="31" t="n">
        <f aca="false">SUMIFS(Détail!$E:$E,Détail!$D:$D,"AG2R REUNICA",Détail!$A:$A,"&gt;="&amp;DATE(2025,11,1),Détail!$A:$A,"&lt;"&amp;EDATE(DATE(2025,11,1),1))</f>
        <v>-610.23</v>
      </c>
    </row>
    <row r="32" customFormat="false" ht="15" hidden="false" customHeight="true" outlineLevel="0" collapsed="false">
      <c r="A32" s="8" t="s">
        <v>76</v>
      </c>
      <c r="B32" s="31" t="n">
        <f aca="false">SUMIFS(Détail!$E:$E,Détail!$D:$D,"AG2R REUNICA",Détail!$A:$A,"&gt;="&amp;DATE(2025,12,1),Détail!$A:$A,"&lt;"&amp;EDATE(DATE(2025,12,1),1))</f>
        <v>-610.61</v>
      </c>
    </row>
    <row r="35" customFormat="false" ht="15" hidden="false" customHeight="true" outlineLevel="0" collapsed="false">
      <c r="A35" s="29" t="s">
        <v>114</v>
      </c>
      <c r="B35" s="29"/>
      <c r="C35" s="30" t="n">
        <f aca="false">SUMIF(Détail!$D:$D,"DIRECTION GENERALE DES FINANCES PUBLIQUES (DGFIP)",Détail!$E:$E)</f>
        <v>-4795</v>
      </c>
    </row>
    <row r="36" customFormat="false" ht="15" hidden="false" customHeight="true" outlineLevel="0" collapsed="false">
      <c r="A36" s="24" t="s">
        <v>63</v>
      </c>
      <c r="B36" s="24" t="s">
        <v>64</v>
      </c>
    </row>
    <row r="37" customFormat="false" ht="15" hidden="false" customHeight="true" outlineLevel="0" collapsed="false">
      <c r="A37" s="8" t="s">
        <v>65</v>
      </c>
      <c r="B37" s="31" t="n">
        <f aca="false">SUMIFS(Détail!$E:$E,Détail!$D:$D,"DIRECTION GENERALE DES FINANCES PUBLIQUES (DGFIP)",Détail!$A:$A,"&gt;="&amp;DATE(2025,1,1),Détail!$A:$A,"&lt;"&amp;EDATE(DATE(2025,1,1),1))</f>
        <v>-33</v>
      </c>
    </row>
    <row r="38" customFormat="false" ht="15" hidden="false" customHeight="true" outlineLevel="0" collapsed="false">
      <c r="A38" s="8" t="s">
        <v>66</v>
      </c>
      <c r="B38" s="31" t="n">
        <f aca="false">SUMIFS(Détail!$E:$E,Détail!$D:$D,"DIRECTION GENERALE DES FINANCES PUBLIQUES (DGFIP)",Détail!$A:$A,"&gt;="&amp;DATE(2025,2,1),Détail!$A:$A,"&lt;"&amp;EDATE(DATE(2025,2,1),1))</f>
        <v>-143</v>
      </c>
    </row>
    <row r="39" customFormat="false" ht="15" hidden="false" customHeight="true" outlineLevel="0" collapsed="false">
      <c r="A39" s="8" t="s">
        <v>67</v>
      </c>
      <c r="B39" s="31" t="n">
        <f aca="false">SUMIFS(Détail!$E:$E,Détail!$D:$D,"DIRECTION GENERALE DES FINANCES PUBLIQUES (DGFIP)",Détail!$A:$A,"&gt;="&amp;DATE(2025,3,1),Détail!$A:$A,"&lt;"&amp;EDATE(DATE(2025,3,1),1))</f>
        <v>-191</v>
      </c>
    </row>
    <row r="40" customFormat="false" ht="15" hidden="false" customHeight="true" outlineLevel="0" collapsed="false">
      <c r="A40" s="8" t="s">
        <v>68</v>
      </c>
      <c r="B40" s="31" t="n">
        <f aca="false">SUMIFS(Détail!$E:$E,Détail!$D:$D,"DIRECTION GENERALE DES FINANCES PUBLIQUES (DGFIP)",Détail!$A:$A,"&gt;="&amp;DATE(2025,4,1),Détail!$A:$A,"&lt;"&amp;EDATE(DATE(2025,4,1),1))</f>
        <v>-191</v>
      </c>
    </row>
    <row r="41" customFormat="false" ht="15" hidden="false" customHeight="true" outlineLevel="0" collapsed="false">
      <c r="A41" s="8" t="s">
        <v>69</v>
      </c>
      <c r="B41" s="31" t="n">
        <f aca="false">SUMIFS(Détail!$E:$E,Détail!$D:$D,"DIRECTION GENERALE DES FINANCES PUBLIQUES (DGFIP)",Détail!$A:$A,"&gt;="&amp;DATE(2025,5,1),Détail!$A:$A,"&lt;"&amp;EDATE(DATE(2025,5,1),1))</f>
        <v>-191</v>
      </c>
    </row>
    <row r="42" customFormat="false" ht="15" hidden="false" customHeight="true" outlineLevel="0" collapsed="false">
      <c r="A42" s="8" t="s">
        <v>70</v>
      </c>
      <c r="B42" s="31" t="n">
        <f aca="false">SUMIFS(Détail!$E:$E,Détail!$D:$D,"DIRECTION GENERALE DES FINANCES PUBLIQUES (DGFIP)",Détail!$A:$A,"&gt;="&amp;DATE(2025,6,1),Détail!$A:$A,"&lt;"&amp;EDATE(DATE(2025,6,1),1))</f>
        <v>-191</v>
      </c>
    </row>
    <row r="43" customFormat="false" ht="15" hidden="false" customHeight="true" outlineLevel="0" collapsed="false">
      <c r="A43" s="8" t="s">
        <v>71</v>
      </c>
      <c r="B43" s="31" t="n">
        <f aca="false">SUMIFS(Détail!$E:$E,Détail!$D:$D,"DIRECTION GENERALE DES FINANCES PUBLIQUES (DGFIP)",Détail!$A:$A,"&gt;="&amp;DATE(2025,7,1),Détail!$A:$A,"&lt;"&amp;EDATE(DATE(2025,7,1),1))</f>
        <v>-191</v>
      </c>
    </row>
    <row r="44" customFormat="false" ht="15" hidden="false" customHeight="true" outlineLevel="0" collapsed="false">
      <c r="A44" s="8" t="s">
        <v>72</v>
      </c>
      <c r="B44" s="31" t="n">
        <f aca="false">SUMIFS(Détail!$E:$E,Détail!$D:$D,"DIRECTION GENERALE DES FINANCES PUBLIQUES (DGFIP)",Détail!$A:$A,"&gt;="&amp;DATE(2025,8,1),Détail!$A:$A,"&lt;"&amp;EDATE(DATE(2025,8,1),1))</f>
        <v>-190</v>
      </c>
    </row>
    <row r="45" customFormat="false" ht="15" hidden="false" customHeight="true" outlineLevel="0" collapsed="false">
      <c r="A45" s="8" t="s">
        <v>73</v>
      </c>
      <c r="B45" s="31" t="n">
        <f aca="false">SUMIFS(Détail!$E:$E,Détail!$D:$D,"DIRECTION GENERALE DES FINANCES PUBLIQUES (DGFIP)",Détail!$A:$A,"&gt;="&amp;DATE(2025,9,1),Détail!$A:$A,"&lt;"&amp;EDATE(DATE(2025,9,1),1))</f>
        <v>-192</v>
      </c>
    </row>
    <row r="46" customFormat="false" ht="15" hidden="false" customHeight="true" outlineLevel="0" collapsed="false">
      <c r="A46" s="8" t="s">
        <v>74</v>
      </c>
      <c r="B46" s="31" t="n">
        <f aca="false">SUMIFS(Détail!$E:$E,Détail!$D:$D,"DIRECTION GENERALE DES FINANCES PUBLIQUES (DGFIP)",Détail!$A:$A,"&gt;="&amp;DATE(2025,10,1),Détail!$A:$A,"&lt;"&amp;EDATE(DATE(2025,10,1),1))</f>
        <v>-191</v>
      </c>
    </row>
    <row r="47" customFormat="false" ht="15" hidden="false" customHeight="true" outlineLevel="0" collapsed="false">
      <c r="A47" s="8" t="s">
        <v>75</v>
      </c>
      <c r="B47" s="31" t="n">
        <f aca="false">SUMIFS(Détail!$E:$E,Détail!$D:$D,"DIRECTION GENERALE DES FINANCES PUBLIQUES (DGFIP)",Détail!$A:$A,"&gt;="&amp;DATE(2025,11,1),Détail!$A:$A,"&lt;"&amp;EDATE(DATE(2025,11,1),1))</f>
        <v>-236</v>
      </c>
    </row>
    <row r="48" customFormat="false" ht="15" hidden="false" customHeight="true" outlineLevel="0" collapsed="false">
      <c r="A48" s="8" t="s">
        <v>76</v>
      </c>
      <c r="B48" s="31" t="n">
        <f aca="false">SUMIFS(Détail!$E:$E,Détail!$D:$D,"DIRECTION GENERALE DES FINANCES PUBLIQUES (DGFIP)",Détail!$A:$A,"&gt;="&amp;DATE(2025,12,1),Détail!$A:$A,"&lt;"&amp;EDATE(DATE(2025,12,1),1))</f>
        <v>-2855</v>
      </c>
    </row>
    <row r="51" customFormat="false" ht="15" hidden="false" customHeight="true" outlineLevel="0" collapsed="false">
      <c r="A51" s="29" t="s">
        <v>115</v>
      </c>
      <c r="B51" s="29"/>
      <c r="C51" s="30" t="n">
        <f aca="false">SUMIF(Détail!$D:$D,"AG2R LA MONDIALE",Détail!$E:$E)</f>
        <v>-69.62</v>
      </c>
    </row>
    <row r="52" customFormat="false" ht="15" hidden="false" customHeight="true" outlineLevel="0" collapsed="false">
      <c r="A52" s="24" t="s">
        <v>63</v>
      </c>
      <c r="B52" s="24" t="s">
        <v>64</v>
      </c>
    </row>
    <row r="53" customFormat="false" ht="15" hidden="false" customHeight="true" outlineLevel="0" collapsed="false">
      <c r="A53" s="8" t="s">
        <v>65</v>
      </c>
      <c r="B53" s="31" t="n">
        <f aca="false">SUMIFS(Détail!$E:$E,Détail!$D:$D,"AG2R LA MONDIALE",Détail!$A:$A,"&gt;="&amp;DATE(2025,1,1),Détail!$A:$A,"&lt;"&amp;EDATE(DATE(2025,1,1),1))</f>
        <v>0</v>
      </c>
    </row>
    <row r="54" customFormat="false" ht="15" hidden="false" customHeight="true" outlineLevel="0" collapsed="false">
      <c r="A54" s="8" t="s">
        <v>66</v>
      </c>
      <c r="B54" s="31" t="n">
        <f aca="false">SUMIFS(Détail!$E:$E,Détail!$D:$D,"AG2R LA MONDIALE",Détail!$A:$A,"&gt;="&amp;DATE(2025,2,1),Détail!$A:$A,"&lt;"&amp;EDATE(DATE(2025,2,1),1))</f>
        <v>0</v>
      </c>
    </row>
    <row r="55" customFormat="false" ht="15" hidden="false" customHeight="true" outlineLevel="0" collapsed="false">
      <c r="A55" s="8" t="s">
        <v>67</v>
      </c>
      <c r="B55" s="31" t="n">
        <f aca="false">SUMIFS(Détail!$E:$E,Détail!$D:$D,"AG2R LA MONDIALE",Détail!$A:$A,"&gt;="&amp;DATE(2025,3,1),Détail!$A:$A,"&lt;"&amp;EDATE(DATE(2025,3,1),1))</f>
        <v>0</v>
      </c>
    </row>
    <row r="56" customFormat="false" ht="15" hidden="false" customHeight="true" outlineLevel="0" collapsed="false">
      <c r="A56" s="8" t="s">
        <v>68</v>
      </c>
      <c r="B56" s="31" t="n">
        <f aca="false">SUMIFS(Détail!$E:$E,Détail!$D:$D,"AG2R LA MONDIALE",Détail!$A:$A,"&gt;="&amp;DATE(2025,4,1),Détail!$A:$A,"&lt;"&amp;EDATE(DATE(2025,4,1),1))</f>
        <v>0</v>
      </c>
    </row>
    <row r="57" customFormat="false" ht="15" hidden="false" customHeight="true" outlineLevel="0" collapsed="false">
      <c r="A57" s="8" t="s">
        <v>69</v>
      </c>
      <c r="B57" s="31" t="n">
        <f aca="false">SUMIFS(Détail!$E:$E,Détail!$D:$D,"AG2R LA MONDIALE",Détail!$A:$A,"&gt;="&amp;DATE(2025,5,1),Détail!$A:$A,"&lt;"&amp;EDATE(DATE(2025,5,1),1))</f>
        <v>0</v>
      </c>
    </row>
    <row r="58" customFormat="false" ht="15" hidden="false" customHeight="true" outlineLevel="0" collapsed="false">
      <c r="A58" s="8" t="s">
        <v>70</v>
      </c>
      <c r="B58" s="31" t="n">
        <f aca="false">SUMIFS(Détail!$E:$E,Détail!$D:$D,"AG2R LA MONDIALE",Détail!$A:$A,"&gt;="&amp;DATE(2025,6,1),Détail!$A:$A,"&lt;"&amp;EDATE(DATE(2025,6,1),1))</f>
        <v>0</v>
      </c>
    </row>
    <row r="59" customFormat="false" ht="15" hidden="false" customHeight="true" outlineLevel="0" collapsed="false">
      <c r="A59" s="8" t="s">
        <v>71</v>
      </c>
      <c r="B59" s="31" t="n">
        <f aca="false">SUMIFS(Détail!$E:$E,Détail!$D:$D,"AG2R LA MONDIALE",Détail!$A:$A,"&gt;="&amp;DATE(2025,7,1),Détail!$A:$A,"&lt;"&amp;EDATE(DATE(2025,7,1),1))</f>
        <v>-69.62</v>
      </c>
    </row>
    <row r="60" customFormat="false" ht="15" hidden="false" customHeight="true" outlineLevel="0" collapsed="false">
      <c r="A60" s="8" t="s">
        <v>72</v>
      </c>
      <c r="B60" s="31" t="n">
        <f aca="false">SUMIFS(Détail!$E:$E,Détail!$D:$D,"AG2R LA MONDIALE",Détail!$A:$A,"&gt;="&amp;DATE(2025,8,1),Détail!$A:$A,"&lt;"&amp;EDATE(DATE(2025,8,1),1))</f>
        <v>0</v>
      </c>
    </row>
    <row r="61" customFormat="false" ht="15" hidden="false" customHeight="true" outlineLevel="0" collapsed="false">
      <c r="A61" s="8" t="s">
        <v>73</v>
      </c>
      <c r="B61" s="31" t="n">
        <f aca="false">SUMIFS(Détail!$E:$E,Détail!$D:$D,"AG2R LA MONDIALE",Détail!$A:$A,"&gt;="&amp;DATE(2025,9,1),Détail!$A:$A,"&lt;"&amp;EDATE(DATE(2025,9,1),1))</f>
        <v>0</v>
      </c>
    </row>
    <row r="62" customFormat="false" ht="15" hidden="false" customHeight="true" outlineLevel="0" collapsed="false">
      <c r="A62" s="8" t="s">
        <v>74</v>
      </c>
      <c r="B62" s="31" t="n">
        <f aca="false">SUMIFS(Détail!$E:$E,Détail!$D:$D,"AG2R LA MONDIALE",Détail!$A:$A,"&gt;="&amp;DATE(2025,10,1),Détail!$A:$A,"&lt;"&amp;EDATE(DATE(2025,10,1),1))</f>
        <v>0</v>
      </c>
    </row>
    <row r="63" customFormat="false" ht="15" hidden="false" customHeight="true" outlineLevel="0" collapsed="false">
      <c r="A63" s="8" t="s">
        <v>75</v>
      </c>
      <c r="B63" s="31" t="n">
        <f aca="false">SUMIFS(Détail!$E:$E,Détail!$D:$D,"AG2R LA MONDIALE",Détail!$A:$A,"&gt;="&amp;DATE(2025,11,1),Détail!$A:$A,"&lt;"&amp;EDATE(DATE(2025,11,1),1))</f>
        <v>0</v>
      </c>
    </row>
    <row r="64" customFormat="false" ht="15" hidden="false" customHeight="true" outlineLevel="0" collapsed="false">
      <c r="A64" s="8" t="s">
        <v>76</v>
      </c>
      <c r="B64" s="31" t="n">
        <f aca="false">SUMIFS(Détail!$E:$E,Détail!$D:$D,"AG2R LA MONDIALE",Détail!$A:$A,"&gt;="&amp;DATE(2025,12,1),Détail!$A:$A,"&lt;"&amp;EDATE(DATE(2025,12,1),1))</f>
        <v>0</v>
      </c>
    </row>
    <row r="67" customFormat="false" ht="15" hidden="false" customHeight="true" outlineLevel="0" collapsed="false">
      <c r="A67" s="32" t="s">
        <v>116</v>
      </c>
      <c r="C67" s="30" t="n">
        <f aca="false">SUMIF(Détail!$D:$D,"AKTO",Détail!$E:E)</f>
        <v>-150</v>
      </c>
    </row>
    <row r="68" customFormat="false" ht="15" hidden="false" customHeight="true" outlineLevel="0" collapsed="false">
      <c r="A68" s="24" t="s">
        <v>63</v>
      </c>
      <c r="B68" s="24" t="s">
        <v>64</v>
      </c>
    </row>
    <row r="69" customFormat="false" ht="15" hidden="false" customHeight="true" outlineLevel="0" collapsed="false">
      <c r="A69" s="8" t="s">
        <v>65</v>
      </c>
      <c r="B69" s="31" t="n">
        <f aca="false">SUMIFS(Détail!$E:$E,Détail!$D:$D,"AKTO",Détail!$A:$A,"&gt;="&amp;DATE(2025,1,1),Détail!$A:$A,"&lt;"&amp;EDATE(DATE(2025,1,1),1))</f>
        <v>0</v>
      </c>
    </row>
    <row r="70" customFormat="false" ht="15" hidden="false" customHeight="true" outlineLevel="0" collapsed="false">
      <c r="A70" s="8" t="s">
        <v>66</v>
      </c>
      <c r="B70" s="31" t="n">
        <f aca="false">SUMIFS(Détail!$E:$E,Détail!$D:$D,"AKTO",Détail!$A:$A,"&gt;="&amp;DATE(2025,2,1),Détail!$A:$A,"&lt;"&amp;EDATE(DATE(2025,2,1),1))</f>
        <v>0</v>
      </c>
    </row>
    <row r="71" customFormat="false" ht="15" hidden="false" customHeight="true" outlineLevel="0" collapsed="false">
      <c r="A71" s="8" t="s">
        <v>67</v>
      </c>
      <c r="B71" s="31" t="n">
        <f aca="false">SUMIFS(Détail!$E:$E,Détail!$D:$D,"AKTO",Détail!$A:$A,"&gt;="&amp;DATE(2025,3,1),Détail!$A:$A,"&lt;"&amp;EDATE(DATE(2025,3,1),1))</f>
        <v>-150</v>
      </c>
    </row>
    <row r="72" customFormat="false" ht="15" hidden="false" customHeight="true" outlineLevel="0" collapsed="false">
      <c r="A72" s="8" t="s">
        <v>68</v>
      </c>
      <c r="B72" s="31" t="n">
        <f aca="false">SUMIFS(Détail!$E:$E,Détail!$D:$D,"AKTO",Détail!$A:$A,"&gt;="&amp;DATE(2025,4,1),Détail!$A:$A,"&lt;"&amp;EDATE(DATE(2025,4,1),1))</f>
        <v>0</v>
      </c>
    </row>
    <row r="73" customFormat="false" ht="15" hidden="false" customHeight="true" outlineLevel="0" collapsed="false">
      <c r="A73" s="8" t="s">
        <v>69</v>
      </c>
      <c r="B73" s="31" t="n">
        <f aca="false">SUMIFS(Détail!$E:$E,Détail!$D:$D,"AKTO",Détail!$A:$A,"&gt;="&amp;DATE(2025,5,1),Détail!$A:$A,"&lt;"&amp;EDATE(DATE(2025,5,1),1))</f>
        <v>0</v>
      </c>
    </row>
    <row r="74" customFormat="false" ht="15" hidden="false" customHeight="true" outlineLevel="0" collapsed="false">
      <c r="A74" s="8" t="s">
        <v>70</v>
      </c>
      <c r="B74" s="31" t="n">
        <f aca="false">SUMIFS(Détail!$E:$E,Détail!$D:$D,"AKTO",Détail!$A:$A,"&gt;="&amp;DATE(2025,6,1),Détail!$A:$A,"&lt;"&amp;EDATE(DATE(2025,6,1),1))</f>
        <v>0</v>
      </c>
    </row>
    <row r="75" customFormat="false" ht="15" hidden="false" customHeight="true" outlineLevel="0" collapsed="false">
      <c r="A75" s="8" t="s">
        <v>71</v>
      </c>
      <c r="B75" s="31" t="n">
        <f aca="false">SUMIFS(Détail!$E:$E,Détail!$D:$D,"AKTO",Détail!$A:$A,"&gt;="&amp;DATE(2025,7,1),Détail!$A:$A,"&lt;"&amp;EDATE(DATE(2025,7,1),1))</f>
        <v>0</v>
      </c>
    </row>
    <row r="76" customFormat="false" ht="15" hidden="false" customHeight="true" outlineLevel="0" collapsed="false">
      <c r="A76" s="8" t="s">
        <v>72</v>
      </c>
      <c r="B76" s="31" t="n">
        <f aca="false">SUMIFS(Détail!$E:$E,Détail!$D:$D,"AKTO",Détail!$A:$A,"&gt;="&amp;DATE(2025,8,1),Détail!$A:$A,"&lt;"&amp;EDATE(DATE(2025,8,1),1))</f>
        <v>0</v>
      </c>
    </row>
    <row r="77" customFormat="false" ht="15" hidden="false" customHeight="true" outlineLevel="0" collapsed="false">
      <c r="A77" s="8" t="s">
        <v>73</v>
      </c>
      <c r="B77" s="31" t="n">
        <f aca="false">SUMIFS(Détail!$E:$E,Détail!$D:$D,"AKTO",Détail!$A:$A,"&gt;="&amp;DATE(2025,9,1),Détail!$A:$A,"&lt;"&amp;EDATE(DATE(2025,9,1),1))</f>
        <v>0</v>
      </c>
    </row>
    <row r="78" customFormat="false" ht="15" hidden="false" customHeight="true" outlineLevel="0" collapsed="false">
      <c r="A78" s="8" t="s">
        <v>74</v>
      </c>
      <c r="B78" s="31" t="n">
        <f aca="false">SUMIFS(Détail!$E:$E,Détail!$D:$D,"AKTO",Détail!$A:$A,"&gt;="&amp;DATE(2025,10,1),Détail!$A:$A,"&lt;"&amp;EDATE(DATE(2025,10,1),1))</f>
        <v>0</v>
      </c>
    </row>
    <row r="79" customFormat="false" ht="15" hidden="false" customHeight="true" outlineLevel="0" collapsed="false">
      <c r="A79" s="8" t="s">
        <v>75</v>
      </c>
      <c r="B79" s="31" t="n">
        <f aca="false">SUMIFS(Détail!$E:$E,Détail!$D:$D,"AKTO",Détail!$A:$A,"&gt;="&amp;DATE(2025,11,1),Détail!$A:$A,"&lt;"&amp;EDATE(DATE(2025,11,1),1))</f>
        <v>0</v>
      </c>
    </row>
    <row r="80" customFormat="false" ht="15" hidden="false" customHeight="true" outlineLevel="0" collapsed="false">
      <c r="A80" s="8" t="s">
        <v>76</v>
      </c>
      <c r="B80" s="31" t="n">
        <f aca="false">SUMIFS(Détail!$E:$E,Détail!$D:$D,"AKTO",Détail!$A:$A,"&gt;="&amp;DATE(2025,12,1),Détail!$A:$A,"&lt;"&amp;EDATE(DATE(2025,12,1),1))</f>
        <v>0</v>
      </c>
    </row>
  </sheetData>
  <mergeCells count="4">
    <mergeCell ref="A3:B3"/>
    <mergeCell ref="A19:B19"/>
    <mergeCell ref="A35:B35"/>
    <mergeCell ref="A51:B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117</v>
      </c>
    </row>
    <row r="3" customFormat="false" ht="15" hidden="false" customHeight="true" outlineLevel="0" collapsed="false">
      <c r="A3" s="29" t="s">
        <v>118</v>
      </c>
      <c r="B3" s="29"/>
      <c r="C3" s="30" t="n">
        <f aca="false">SUMIF(Détail!$D:$D,"EMIRATES",Détail!$E:$E)</f>
        <v>-10638.18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SUMIFS(Détail!$E:$E,Détail!$D:$D,"EMIRATES",Détail!$A:$A,"&gt;="&amp;DATE(2025,1,1),Détail!$A:$A,"&lt;"&amp;EDATE(DATE(2025,1,1),1))</f>
        <v>0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SUMIFS(Détail!$E:$E,Détail!$D:$D,"EMIRATES",Détail!$A:$A,"&gt;="&amp;DATE(2025,2,1),Détail!$A:$A,"&lt;"&amp;EDATE(DATE(2025,2,1),1))</f>
        <v>0</v>
      </c>
    </row>
    <row r="7" customFormat="false" ht="15" hidden="false" customHeight="true" outlineLevel="0" collapsed="false">
      <c r="A7" s="8" t="s">
        <v>67</v>
      </c>
      <c r="B7" s="31" t="n">
        <f aca="false">SUMIFS(Détail!$E:$E,Détail!$D:$D,"EMIRATES",Détail!$A:$A,"&gt;="&amp;DATE(2025,3,1),Détail!$A:$A,"&lt;"&amp;EDATE(DATE(2025,3,1),1))</f>
        <v>0</v>
      </c>
    </row>
    <row r="8" customFormat="false" ht="15" hidden="false" customHeight="true" outlineLevel="0" collapsed="false">
      <c r="A8" s="8" t="s">
        <v>68</v>
      </c>
      <c r="B8" s="31" t="n">
        <f aca="false">SUMIFS(Détail!$E:$E,Détail!$D:$D,"EMIRATES",Détail!$A:$A,"&gt;="&amp;DATE(2025,4,1),Détail!$A:$A,"&lt;"&amp;EDATE(DATE(2025,4,1),1))</f>
        <v>-2378.04</v>
      </c>
    </row>
    <row r="9" customFormat="false" ht="15" hidden="false" customHeight="true" outlineLevel="0" collapsed="false">
      <c r="A9" s="8" t="s">
        <v>69</v>
      </c>
      <c r="B9" s="31" t="n">
        <f aca="false">SUMIFS(Détail!$E:$E,Détail!$D:$D,"EMIRATES",Détail!$A:$A,"&gt;="&amp;DATE(2025,5,1),Détail!$A:$A,"&lt;"&amp;EDATE(DATE(2025,5,1),1))</f>
        <v>-856.32</v>
      </c>
    </row>
    <row r="10" customFormat="false" ht="15" hidden="false" customHeight="true" outlineLevel="0" collapsed="false">
      <c r="A10" s="8" t="s">
        <v>70</v>
      </c>
      <c r="B10" s="31" t="n">
        <f aca="false">SUMIFS(Détail!$E:$E,Détail!$D:$D,"EMIRATES",Détail!$A:$A,"&gt;="&amp;DATE(2025,6,1),Détail!$A:$A,"&lt;"&amp;EDATE(DATE(2025,6,1),1))</f>
        <v>-916.64</v>
      </c>
    </row>
    <row r="11" customFormat="false" ht="15" hidden="false" customHeight="true" outlineLevel="0" collapsed="false">
      <c r="A11" s="8" t="s">
        <v>71</v>
      </c>
      <c r="B11" s="31" t="n">
        <f aca="false">SUMIFS(Détail!$E:$E,Détail!$D:$D,"EMIRATES",Détail!$A:$A,"&gt;="&amp;DATE(2025,7,1),Détail!$A:$A,"&lt;"&amp;EDATE(DATE(2025,7,1),1))</f>
        <v>-1910.9</v>
      </c>
    </row>
    <row r="12" customFormat="false" ht="15" hidden="false" customHeight="true" outlineLevel="0" collapsed="false">
      <c r="A12" s="8" t="s">
        <v>72</v>
      </c>
      <c r="B12" s="31" t="n">
        <f aca="false">SUMIFS(Détail!$E:$E,Détail!$D:$D,"EMIRATES",Détail!$A:$A,"&gt;="&amp;DATE(2025,8,1),Détail!$A:$A,"&lt;"&amp;EDATE(DATE(2025,8,1),1))</f>
        <v>0</v>
      </c>
    </row>
    <row r="13" customFormat="false" ht="15" hidden="false" customHeight="true" outlineLevel="0" collapsed="false">
      <c r="A13" s="8" t="s">
        <v>73</v>
      </c>
      <c r="B13" s="31" t="n">
        <f aca="false">SUMIFS(Détail!$E:$E,Détail!$D:$D,"EMIRATES",Détail!$A:$A,"&gt;="&amp;DATE(2025,9,1),Détail!$A:$A,"&lt;"&amp;EDATE(DATE(2025,9,1),1))</f>
        <v>-3176.88</v>
      </c>
    </row>
    <row r="14" customFormat="false" ht="15" hidden="false" customHeight="true" outlineLevel="0" collapsed="false">
      <c r="A14" s="8" t="s">
        <v>74</v>
      </c>
      <c r="B14" s="31" t="n">
        <f aca="false">SUMIFS(Détail!$E:$E,Détail!$D:$D,"EMIRATES",Détail!$A:$A,"&gt;="&amp;DATE(2025,10,1),Détail!$A:$A,"&lt;"&amp;EDATE(DATE(2025,10,1),1))</f>
        <v>-1324.8</v>
      </c>
    </row>
    <row r="15" customFormat="false" ht="15" hidden="false" customHeight="true" outlineLevel="0" collapsed="false">
      <c r="A15" s="8" t="s">
        <v>75</v>
      </c>
      <c r="B15" s="31" t="n">
        <f aca="false">SUMIFS(Détail!$E:$E,Détail!$D:$D,"EMIRATES",Détail!$A:$A,"&gt;="&amp;DATE(2025,11,1),Détail!$A:$A,"&lt;"&amp;EDATE(DATE(2025,11,1),1))</f>
        <v>-74.6</v>
      </c>
    </row>
    <row r="16" customFormat="false" ht="15" hidden="false" customHeight="true" outlineLevel="0" collapsed="false">
      <c r="A16" s="8" t="s">
        <v>76</v>
      </c>
      <c r="B16" s="31" t="n">
        <f aca="false">SUMIFS(Détail!$E:$E,Détail!$D:$D,"EMIRATES",Détail!$A:$A,"&gt;="&amp;DATE(2025,12,1),Détail!$A:$A,"&lt;"&amp;EDATE(DATE(2025,12,1),1))</f>
        <v>0</v>
      </c>
    </row>
    <row r="19" customFormat="false" ht="15" hidden="false" customHeight="true" outlineLevel="0" collapsed="false">
      <c r="A19" s="29" t="s">
        <v>119</v>
      </c>
      <c r="B19" s="29"/>
      <c r="C19" s="30" t="n">
        <f aca="false">SUMIF(Détail!$D:$D,"AIR FRANCE",Détail!$E:$E)</f>
        <v>-2218.54</v>
      </c>
    </row>
    <row r="20" customFormat="false" ht="15" hidden="false" customHeight="true" outlineLevel="0" collapsed="false">
      <c r="A20" s="24" t="s">
        <v>63</v>
      </c>
      <c r="B20" s="24" t="s">
        <v>64</v>
      </c>
    </row>
    <row r="21" customFormat="false" ht="15" hidden="false" customHeight="true" outlineLevel="0" collapsed="false">
      <c r="A21" s="8" t="s">
        <v>65</v>
      </c>
      <c r="B21" s="31" t="n">
        <f aca="false">SUMIFS(Détail!$E:$E,Détail!$D:$D,"AIR FRANCE",Détail!$A:$A,"&gt;="&amp;DATE(2025,1,1),Détail!$A:$A,"&lt;"&amp;EDATE(DATE(2025,1,1),1))</f>
        <v>-198.15</v>
      </c>
    </row>
    <row r="22" customFormat="false" ht="15" hidden="false" customHeight="true" outlineLevel="0" collapsed="false">
      <c r="A22" s="8" t="s">
        <v>66</v>
      </c>
      <c r="B22" s="31" t="n">
        <f aca="false">SUMIFS(Détail!$E:$E,Détail!$D:$D,"AIR FRANCE",Détail!$A:$A,"&gt;="&amp;DATE(2025,2,1),Détail!$A:$A,"&lt;"&amp;EDATE(DATE(2025,2,1),1))</f>
        <v>0</v>
      </c>
    </row>
    <row r="23" customFormat="false" ht="15" hidden="false" customHeight="true" outlineLevel="0" collapsed="false">
      <c r="A23" s="8" t="s">
        <v>67</v>
      </c>
      <c r="B23" s="31" t="n">
        <f aca="false">SUMIFS(Détail!$E:$E,Détail!$D:$D,"AIR FRANCE",Détail!$A:$A,"&gt;="&amp;DATE(2025,3,1),Détail!$A:$A,"&lt;"&amp;EDATE(DATE(2025,3,1),1))</f>
        <v>-350.21</v>
      </c>
    </row>
    <row r="24" customFormat="false" ht="15" hidden="false" customHeight="true" outlineLevel="0" collapsed="false">
      <c r="A24" s="8" t="s">
        <v>68</v>
      </c>
      <c r="B24" s="31" t="n">
        <f aca="false">SUMIFS(Détail!$E:$E,Détail!$D:$D,"AIR FRANCE",Détail!$A:$A,"&gt;="&amp;DATE(2025,4,1),Détail!$A:$A,"&lt;"&amp;EDATE(DATE(2025,4,1),1))</f>
        <v>0</v>
      </c>
    </row>
    <row r="25" customFormat="false" ht="15" hidden="false" customHeight="true" outlineLevel="0" collapsed="false">
      <c r="A25" s="8" t="s">
        <v>69</v>
      </c>
      <c r="B25" s="31" t="n">
        <f aca="false">SUMIFS(Détail!$E:$E,Détail!$D:$D,"AIR FRANCE",Détail!$A:$A,"&gt;="&amp;DATE(2025,5,1),Détail!$A:$A,"&lt;"&amp;EDATE(DATE(2025,5,1),1))</f>
        <v>-199.6</v>
      </c>
    </row>
    <row r="26" customFormat="false" ht="15" hidden="false" customHeight="true" outlineLevel="0" collapsed="false">
      <c r="A26" s="8" t="s">
        <v>70</v>
      </c>
      <c r="B26" s="31" t="n">
        <f aca="false">SUMIFS(Détail!$E:$E,Détail!$D:$D,"AIR FRANCE",Détail!$A:$A,"&gt;="&amp;DATE(2025,6,1),Détail!$A:$A,"&lt;"&amp;EDATE(DATE(2025,6,1),1))</f>
        <v>0</v>
      </c>
    </row>
    <row r="27" customFormat="false" ht="15" hidden="false" customHeight="true" outlineLevel="0" collapsed="false">
      <c r="A27" s="8" t="s">
        <v>71</v>
      </c>
      <c r="B27" s="31" t="n">
        <f aca="false">SUMIFS(Détail!$E:$E,Détail!$D:$D,"AIR FRANCE",Détail!$A:$A,"&gt;="&amp;DATE(2025,7,1),Détail!$A:$A,"&lt;"&amp;EDATE(DATE(2025,7,1),1))</f>
        <v>0</v>
      </c>
    </row>
    <row r="28" customFormat="false" ht="15" hidden="false" customHeight="true" outlineLevel="0" collapsed="false">
      <c r="A28" s="8" t="s">
        <v>72</v>
      </c>
      <c r="B28" s="31" t="n">
        <f aca="false">SUMIFS(Détail!$E:$E,Détail!$D:$D,"AIR FRANCE",Détail!$A:$A,"&gt;="&amp;DATE(2025,8,1),Détail!$A:$A,"&lt;"&amp;EDATE(DATE(2025,8,1),1))</f>
        <v>-831.75</v>
      </c>
    </row>
    <row r="29" customFormat="false" ht="15" hidden="false" customHeight="true" outlineLevel="0" collapsed="false">
      <c r="A29" s="8" t="s">
        <v>73</v>
      </c>
      <c r="B29" s="31" t="n">
        <f aca="false">SUMIFS(Détail!$E:$E,Détail!$D:$D,"AIR FRANCE",Détail!$A:$A,"&gt;="&amp;DATE(2025,9,1),Détail!$A:$A,"&lt;"&amp;EDATE(DATE(2025,9,1),1))</f>
        <v>0</v>
      </c>
    </row>
    <row r="30" customFormat="false" ht="15" hidden="false" customHeight="true" outlineLevel="0" collapsed="false">
      <c r="A30" s="8" t="s">
        <v>74</v>
      </c>
      <c r="B30" s="31" t="n">
        <f aca="false">SUMIFS(Détail!$E:$E,Détail!$D:$D,"AIR FRANCE",Détail!$A:$A,"&gt;="&amp;DATE(2025,10,1),Détail!$A:$A,"&lt;"&amp;EDATE(DATE(2025,10,1),1))</f>
        <v>0</v>
      </c>
    </row>
    <row r="31" customFormat="false" ht="15" hidden="false" customHeight="true" outlineLevel="0" collapsed="false">
      <c r="A31" s="8" t="s">
        <v>75</v>
      </c>
      <c r="B31" s="31" t="n">
        <f aca="false">SUMIFS(Détail!$E:$E,Détail!$D:$D,"AIR FRANCE",Détail!$A:$A,"&gt;="&amp;DATE(2025,11,1),Détail!$A:$A,"&lt;"&amp;EDATE(DATE(2025,11,1),1))</f>
        <v>-267.08</v>
      </c>
    </row>
    <row r="32" customFormat="false" ht="15" hidden="false" customHeight="true" outlineLevel="0" collapsed="false">
      <c r="A32" s="8" t="s">
        <v>76</v>
      </c>
      <c r="B32" s="31" t="n">
        <f aca="false">SUMIFS(Détail!$E:$E,Détail!$D:$D,"AIR FRANCE",Détail!$A:$A,"&gt;="&amp;DATE(2025,12,1),Détail!$A:$A,"&lt;"&amp;EDATE(DATE(2025,12,1),1))</f>
        <v>-371.75</v>
      </c>
    </row>
    <row r="35" customFormat="false" ht="15" hidden="false" customHeight="true" outlineLevel="0" collapsed="false">
      <c r="A35" s="29" t="s">
        <v>120</v>
      </c>
      <c r="B35" s="29"/>
      <c r="C35" s="30" t="n">
        <f aca="false">SUMIF(Détail!$D:$D,"SONDER.COM",Détail!$E:$E)</f>
        <v>-1586.9</v>
      </c>
    </row>
    <row r="36" customFormat="false" ht="15" hidden="false" customHeight="true" outlineLevel="0" collapsed="false">
      <c r="A36" s="24" t="s">
        <v>63</v>
      </c>
      <c r="B36" s="24" t="s">
        <v>64</v>
      </c>
    </row>
    <row r="37" customFormat="false" ht="15" hidden="false" customHeight="true" outlineLevel="0" collapsed="false">
      <c r="A37" s="8" t="s">
        <v>65</v>
      </c>
      <c r="B37" s="31" t="n">
        <f aca="false">SUMIFS(Détail!$E:$E,Détail!$D:$D,"SONDER.COM",Détail!$A:$A,"&gt;="&amp;DATE(2025,1,1),Détail!$A:$A,"&lt;"&amp;EDATE(DATE(2025,1,1),1))</f>
        <v>0</v>
      </c>
    </row>
    <row r="38" customFormat="false" ht="15" hidden="false" customHeight="true" outlineLevel="0" collapsed="false">
      <c r="A38" s="8" t="s">
        <v>66</v>
      </c>
      <c r="B38" s="31" t="n">
        <f aca="false">SUMIFS(Détail!$E:$E,Détail!$D:$D,"SONDER.COM",Détail!$A:$A,"&gt;="&amp;DATE(2025,2,1),Détail!$A:$A,"&lt;"&amp;EDATE(DATE(2025,2,1),1))</f>
        <v>0</v>
      </c>
    </row>
    <row r="39" customFormat="false" ht="15" hidden="false" customHeight="true" outlineLevel="0" collapsed="false">
      <c r="A39" s="8" t="s">
        <v>67</v>
      </c>
      <c r="B39" s="31" t="n">
        <f aca="false">SUMIFS(Détail!$E:$E,Détail!$D:$D,"SONDER.COM",Détail!$A:$A,"&gt;="&amp;DATE(2025,3,1),Détail!$A:$A,"&lt;"&amp;EDATE(DATE(2025,3,1),1))</f>
        <v>0</v>
      </c>
    </row>
    <row r="40" customFormat="false" ht="15" hidden="false" customHeight="true" outlineLevel="0" collapsed="false">
      <c r="A40" s="8" t="s">
        <v>68</v>
      </c>
      <c r="B40" s="31" t="n">
        <f aca="false">SUMIFS(Détail!$E:$E,Détail!$D:$D,"SONDER.COM",Détail!$A:$A,"&gt;="&amp;DATE(2025,4,1),Détail!$A:$A,"&lt;"&amp;EDATE(DATE(2025,4,1),1))</f>
        <v>0</v>
      </c>
    </row>
    <row r="41" customFormat="false" ht="15" hidden="false" customHeight="true" outlineLevel="0" collapsed="false">
      <c r="A41" s="8" t="s">
        <v>69</v>
      </c>
      <c r="B41" s="31" t="n">
        <f aca="false">SUMIFS(Détail!$E:$E,Détail!$D:$D,"SONDER.COM",Détail!$A:$A,"&gt;="&amp;DATE(2025,5,1),Détail!$A:$A,"&lt;"&amp;EDATE(DATE(2025,5,1),1))</f>
        <v>0</v>
      </c>
    </row>
    <row r="42" customFormat="false" ht="15" hidden="false" customHeight="true" outlineLevel="0" collapsed="false">
      <c r="A42" s="8" t="s">
        <v>70</v>
      </c>
      <c r="B42" s="31" t="n">
        <f aca="false">SUMIFS(Détail!$E:$E,Détail!$D:$D,"SONDER.COM",Détail!$A:$A,"&gt;="&amp;DATE(2025,6,1),Détail!$A:$A,"&lt;"&amp;EDATE(DATE(2025,6,1),1))</f>
        <v>0</v>
      </c>
    </row>
    <row r="43" customFormat="false" ht="15" hidden="false" customHeight="true" outlineLevel="0" collapsed="false">
      <c r="A43" s="8" t="s">
        <v>71</v>
      </c>
      <c r="B43" s="31" t="n">
        <f aca="false">SUMIFS(Détail!$E:$E,Détail!$D:$D,"SONDER.COM",Détail!$A:$A,"&gt;="&amp;DATE(2025,7,1),Détail!$A:$A,"&lt;"&amp;EDATE(DATE(2025,7,1),1))</f>
        <v>0</v>
      </c>
    </row>
    <row r="44" customFormat="false" ht="15" hidden="false" customHeight="true" outlineLevel="0" collapsed="false">
      <c r="A44" s="8" t="s">
        <v>72</v>
      </c>
      <c r="B44" s="31" t="n">
        <f aca="false">SUMIFS(Détail!$E:$E,Détail!$D:$D,"SONDER.COM",Détail!$A:$A,"&gt;="&amp;DATE(2025,8,1),Détail!$A:$A,"&lt;"&amp;EDATE(DATE(2025,8,1),1))</f>
        <v>0</v>
      </c>
    </row>
    <row r="45" customFormat="false" ht="15" hidden="false" customHeight="true" outlineLevel="0" collapsed="false">
      <c r="A45" s="8" t="s">
        <v>73</v>
      </c>
      <c r="B45" s="31" t="n">
        <f aca="false">SUMIFS(Détail!$E:$E,Détail!$D:$D,"SONDER.COM",Détail!$A:$A,"&gt;="&amp;DATE(2025,9,1),Détail!$A:$A,"&lt;"&amp;EDATE(DATE(2025,9,1),1))</f>
        <v>0</v>
      </c>
    </row>
    <row r="46" customFormat="false" ht="15" hidden="false" customHeight="true" outlineLevel="0" collapsed="false">
      <c r="A46" s="8" t="s">
        <v>74</v>
      </c>
      <c r="B46" s="31" t="n">
        <f aca="false">SUMIFS(Détail!$E:$E,Détail!$D:$D,"SONDER.COM",Détail!$A:$A,"&gt;="&amp;DATE(2025,10,1),Détail!$A:$A,"&lt;"&amp;EDATE(DATE(2025,10,1),1))</f>
        <v>-1586.9</v>
      </c>
    </row>
    <row r="47" customFormat="false" ht="15" hidden="false" customHeight="true" outlineLevel="0" collapsed="false">
      <c r="A47" s="8" t="s">
        <v>75</v>
      </c>
      <c r="B47" s="31" t="n">
        <f aca="false">SUMIFS(Détail!$E:$E,Détail!$D:$D,"SONDER.COM",Détail!$A:$A,"&gt;="&amp;DATE(2025,11,1),Détail!$A:$A,"&lt;"&amp;EDATE(DATE(2025,11,1),1))</f>
        <v>0</v>
      </c>
    </row>
    <row r="48" customFormat="false" ht="15" hidden="false" customHeight="true" outlineLevel="0" collapsed="false">
      <c r="A48" s="8" t="s">
        <v>76</v>
      </c>
      <c r="B48" s="31" t="n">
        <f aca="false">SUMIFS(Détail!$E:$E,Détail!$D:$D,"SONDER.COM",Détail!$A:$A,"&gt;="&amp;DATE(2025,12,1),Détail!$A:$A,"&lt;"&amp;EDATE(DATE(2025,12,1),1))</f>
        <v>0</v>
      </c>
    </row>
    <row r="51" customFormat="false" ht="15" hidden="false" customHeight="true" outlineLevel="0" collapsed="false">
      <c r="A51" s="29" t="s">
        <v>121</v>
      </c>
      <c r="B51" s="29"/>
      <c r="C51" s="30" t="n">
        <f aca="false">SUMIF(Détail!$D:$D,"FIVE LUXE HOTEL",Détail!$E:$E)</f>
        <v>-1402.94</v>
      </c>
    </row>
    <row r="52" customFormat="false" ht="15" hidden="false" customHeight="true" outlineLevel="0" collapsed="false">
      <c r="A52" s="24" t="s">
        <v>63</v>
      </c>
      <c r="B52" s="24" t="s">
        <v>64</v>
      </c>
    </row>
    <row r="53" customFormat="false" ht="15" hidden="false" customHeight="true" outlineLevel="0" collapsed="false">
      <c r="A53" s="8" t="s">
        <v>65</v>
      </c>
      <c r="B53" s="31" t="n">
        <f aca="false">SUMIFS(Détail!$E:$E,Détail!$D:$D,"FIVE LUXE HOTEL",Détail!$A:$A,"&gt;="&amp;DATE(2025,1,1),Détail!$A:$A,"&lt;"&amp;EDATE(DATE(2025,1,1),1))</f>
        <v>0</v>
      </c>
    </row>
    <row r="54" customFormat="false" ht="15" hidden="false" customHeight="true" outlineLevel="0" collapsed="false">
      <c r="A54" s="8" t="s">
        <v>66</v>
      </c>
      <c r="B54" s="31" t="n">
        <f aca="false">SUMIFS(Détail!$E:$E,Détail!$D:$D,"FIVE LUXE HOTEL",Détail!$A:$A,"&gt;="&amp;DATE(2025,2,1),Détail!$A:$A,"&lt;"&amp;EDATE(DATE(2025,2,1),1))</f>
        <v>0</v>
      </c>
    </row>
    <row r="55" customFormat="false" ht="15" hidden="false" customHeight="true" outlineLevel="0" collapsed="false">
      <c r="A55" s="8" t="s">
        <v>67</v>
      </c>
      <c r="B55" s="31" t="n">
        <f aca="false">SUMIFS(Détail!$E:$E,Détail!$D:$D,"FIVE LUXE HOTEL",Détail!$A:$A,"&gt;="&amp;DATE(2025,3,1),Détail!$A:$A,"&lt;"&amp;EDATE(DATE(2025,3,1),1))</f>
        <v>0</v>
      </c>
    </row>
    <row r="56" customFormat="false" ht="15" hidden="false" customHeight="true" outlineLevel="0" collapsed="false">
      <c r="A56" s="8" t="s">
        <v>68</v>
      </c>
      <c r="B56" s="31" t="n">
        <f aca="false">SUMIFS(Détail!$E:$E,Détail!$D:$D,"FIVE LUXE HOTEL",Détail!$A:$A,"&gt;="&amp;DATE(2025,4,1),Détail!$A:$A,"&lt;"&amp;EDATE(DATE(2025,4,1),1))</f>
        <v>-1402.94</v>
      </c>
    </row>
    <row r="57" customFormat="false" ht="15" hidden="false" customHeight="true" outlineLevel="0" collapsed="false">
      <c r="A57" s="8" t="s">
        <v>69</v>
      </c>
      <c r="B57" s="31" t="n">
        <f aca="false">SUMIFS(Détail!$E:$E,Détail!$D:$D,"FIVE LUXE HOTEL",Détail!$A:$A,"&gt;="&amp;DATE(2025,5,1),Détail!$A:$A,"&lt;"&amp;EDATE(DATE(2025,5,1),1))</f>
        <v>0</v>
      </c>
    </row>
    <row r="58" customFormat="false" ht="15" hidden="false" customHeight="true" outlineLevel="0" collapsed="false">
      <c r="A58" s="8" t="s">
        <v>70</v>
      </c>
      <c r="B58" s="31" t="n">
        <f aca="false">SUMIFS(Détail!$E:$E,Détail!$D:$D,"FIVE LUXE HOTEL",Détail!$A:$A,"&gt;="&amp;DATE(2025,6,1),Détail!$A:$A,"&lt;"&amp;EDATE(DATE(2025,6,1),1))</f>
        <v>0</v>
      </c>
    </row>
    <row r="59" customFormat="false" ht="15" hidden="false" customHeight="true" outlineLevel="0" collapsed="false">
      <c r="A59" s="8" t="s">
        <v>71</v>
      </c>
      <c r="B59" s="31" t="n">
        <f aca="false">SUMIFS(Détail!$E:$E,Détail!$D:$D,"FIVE LUXE HOTEL",Détail!$A:$A,"&gt;="&amp;DATE(2025,7,1),Détail!$A:$A,"&lt;"&amp;EDATE(DATE(2025,7,1),1))</f>
        <v>0</v>
      </c>
    </row>
    <row r="60" customFormat="false" ht="15" hidden="false" customHeight="true" outlineLevel="0" collapsed="false">
      <c r="A60" s="8" t="s">
        <v>72</v>
      </c>
      <c r="B60" s="31" t="n">
        <f aca="false">SUMIFS(Détail!$E:$E,Détail!$D:$D,"FIVE LUXE HOTEL",Détail!$A:$A,"&gt;="&amp;DATE(2025,8,1),Détail!$A:$A,"&lt;"&amp;EDATE(DATE(2025,8,1),1))</f>
        <v>0</v>
      </c>
    </row>
    <row r="61" customFormat="false" ht="15" hidden="false" customHeight="true" outlineLevel="0" collapsed="false">
      <c r="A61" s="8" t="s">
        <v>73</v>
      </c>
      <c r="B61" s="31" t="n">
        <f aca="false">SUMIFS(Détail!$E:$E,Détail!$D:$D,"FIVE LUXE HOTEL",Détail!$A:$A,"&gt;="&amp;DATE(2025,9,1),Détail!$A:$A,"&lt;"&amp;EDATE(DATE(2025,9,1),1))</f>
        <v>0</v>
      </c>
    </row>
    <row r="62" customFormat="false" ht="15" hidden="false" customHeight="true" outlineLevel="0" collapsed="false">
      <c r="A62" s="8" t="s">
        <v>74</v>
      </c>
      <c r="B62" s="31" t="n">
        <f aca="false">SUMIFS(Détail!$E:$E,Détail!$D:$D,"FIVE LUXE HOTEL",Détail!$A:$A,"&gt;="&amp;DATE(2025,10,1),Détail!$A:$A,"&lt;"&amp;EDATE(DATE(2025,10,1),1))</f>
        <v>0</v>
      </c>
    </row>
    <row r="63" customFormat="false" ht="15" hidden="false" customHeight="true" outlineLevel="0" collapsed="false">
      <c r="A63" s="8" t="s">
        <v>75</v>
      </c>
      <c r="B63" s="31" t="n">
        <f aca="false">SUMIFS(Détail!$E:$E,Détail!$D:$D,"FIVE LUXE HOTEL",Détail!$A:$A,"&gt;="&amp;DATE(2025,11,1),Détail!$A:$A,"&lt;"&amp;EDATE(DATE(2025,11,1),1))</f>
        <v>0</v>
      </c>
    </row>
    <row r="64" customFormat="false" ht="15" hidden="false" customHeight="true" outlineLevel="0" collapsed="false">
      <c r="A64" s="8" t="s">
        <v>76</v>
      </c>
      <c r="B64" s="31" t="n">
        <f aca="false">SUMIFS(Détail!$E:$E,Détail!$D:$D,"FIVE LUXE HOTEL",Détail!$A:$A,"&gt;="&amp;DATE(2025,12,1),Détail!$A:$A,"&lt;"&amp;EDATE(DATE(2025,12,1),1))</f>
        <v>0</v>
      </c>
    </row>
    <row r="67" customFormat="false" ht="15" hidden="false" customHeight="true" outlineLevel="0" collapsed="false">
      <c r="A67" s="29" t="s">
        <v>122</v>
      </c>
      <c r="B67" s="29"/>
      <c r="C67" s="30" t="n">
        <f aca="false">SUMIF(Détail!$D:$D,"LORD BYRON",Détail!$E:$E)</f>
        <v>-1273.6</v>
      </c>
    </row>
    <row r="68" customFormat="false" ht="15" hidden="false" customHeight="true" outlineLevel="0" collapsed="false">
      <c r="A68" s="24" t="s">
        <v>63</v>
      </c>
      <c r="B68" s="24" t="s">
        <v>64</v>
      </c>
    </row>
    <row r="69" customFormat="false" ht="15" hidden="false" customHeight="true" outlineLevel="0" collapsed="false">
      <c r="A69" s="8" t="s">
        <v>65</v>
      </c>
      <c r="B69" s="31" t="n">
        <f aca="false">SUMIFS(Détail!$E:$E,Détail!$D:$D,"LORD BYRON",Détail!$A:$A,"&gt;="&amp;DATE(2025,1,1),Détail!$A:$A,"&lt;"&amp;EDATE(DATE(2025,1,1),1))</f>
        <v>0</v>
      </c>
    </row>
    <row r="70" customFormat="false" ht="15" hidden="false" customHeight="true" outlineLevel="0" collapsed="false">
      <c r="A70" s="8" t="s">
        <v>66</v>
      </c>
      <c r="B70" s="31" t="n">
        <f aca="false">SUMIFS(Détail!$E:$E,Détail!$D:$D,"LORD BYRON",Détail!$A:$A,"&gt;="&amp;DATE(2025,2,1),Détail!$A:$A,"&lt;"&amp;EDATE(DATE(2025,2,1),1))</f>
        <v>0</v>
      </c>
    </row>
    <row r="71" customFormat="false" ht="15" hidden="false" customHeight="true" outlineLevel="0" collapsed="false">
      <c r="A71" s="8" t="s">
        <v>67</v>
      </c>
      <c r="B71" s="31" t="n">
        <f aca="false">SUMIFS(Détail!$E:$E,Détail!$D:$D,"LORD BYRON",Détail!$A:$A,"&gt;="&amp;DATE(2025,3,1),Détail!$A:$A,"&lt;"&amp;EDATE(DATE(2025,3,1),1))</f>
        <v>0</v>
      </c>
    </row>
    <row r="72" customFormat="false" ht="15" hidden="false" customHeight="true" outlineLevel="0" collapsed="false">
      <c r="A72" s="8" t="s">
        <v>68</v>
      </c>
      <c r="B72" s="31" t="n">
        <f aca="false">SUMIFS(Détail!$E:$E,Détail!$D:$D,"LORD BYRON",Détail!$A:$A,"&gt;="&amp;DATE(2025,4,1),Détail!$A:$A,"&lt;"&amp;EDATE(DATE(2025,4,1),1))</f>
        <v>0</v>
      </c>
    </row>
    <row r="73" customFormat="false" ht="15" hidden="false" customHeight="true" outlineLevel="0" collapsed="false">
      <c r="A73" s="8" t="s">
        <v>69</v>
      </c>
      <c r="B73" s="31" t="n">
        <f aca="false">SUMIFS(Détail!$E:$E,Détail!$D:$D,"LORD BYRON",Détail!$A:$A,"&gt;="&amp;DATE(2025,5,1),Détail!$A:$A,"&lt;"&amp;EDATE(DATE(2025,5,1),1))</f>
        <v>0</v>
      </c>
    </row>
    <row r="74" customFormat="false" ht="15" hidden="false" customHeight="true" outlineLevel="0" collapsed="false">
      <c r="A74" s="8" t="s">
        <v>70</v>
      </c>
      <c r="B74" s="31" t="n">
        <f aca="false">SUMIFS(Détail!$E:$E,Détail!$D:$D,"LORD BYRON",Détail!$A:$A,"&gt;="&amp;DATE(2025,6,1),Détail!$A:$A,"&lt;"&amp;EDATE(DATE(2025,6,1),1))</f>
        <v>0</v>
      </c>
    </row>
    <row r="75" customFormat="false" ht="15" hidden="false" customHeight="true" outlineLevel="0" collapsed="false">
      <c r="A75" s="8" t="s">
        <v>71</v>
      </c>
      <c r="B75" s="31" t="n">
        <f aca="false">SUMIFS(Détail!$E:$E,Détail!$D:$D,"LORD BYRON",Détail!$A:$A,"&gt;="&amp;DATE(2025,7,1),Détail!$A:$A,"&lt;"&amp;EDATE(DATE(2025,7,1),1))</f>
        <v>0</v>
      </c>
    </row>
    <row r="76" customFormat="false" ht="15" hidden="false" customHeight="true" outlineLevel="0" collapsed="false">
      <c r="A76" s="8" t="s">
        <v>72</v>
      </c>
      <c r="B76" s="31" t="n">
        <f aca="false">SUMIFS(Détail!$E:$E,Détail!$D:$D,"LORD BYRON",Détail!$A:$A,"&gt;="&amp;DATE(2025,8,1),Détail!$A:$A,"&lt;"&amp;EDATE(DATE(2025,8,1),1))</f>
        <v>0</v>
      </c>
    </row>
    <row r="77" customFormat="false" ht="15" hidden="false" customHeight="true" outlineLevel="0" collapsed="false">
      <c r="A77" s="8" t="s">
        <v>73</v>
      </c>
      <c r="B77" s="31" t="n">
        <f aca="false">SUMIFS(Détail!$E:$E,Détail!$D:$D,"LORD BYRON",Détail!$A:$A,"&gt;="&amp;DATE(2025,9,1),Détail!$A:$A,"&lt;"&amp;EDATE(DATE(2025,9,1),1))</f>
        <v>0</v>
      </c>
    </row>
    <row r="78" customFormat="false" ht="15" hidden="false" customHeight="true" outlineLevel="0" collapsed="false">
      <c r="A78" s="8" t="s">
        <v>74</v>
      </c>
      <c r="B78" s="31" t="n">
        <f aca="false">SUMIFS(Détail!$E:$E,Détail!$D:$D,"LORD BYRON",Détail!$A:$A,"&gt;="&amp;DATE(2025,10,1),Détail!$A:$A,"&lt;"&amp;EDATE(DATE(2025,10,1),1))</f>
        <v>0</v>
      </c>
    </row>
    <row r="79" customFormat="false" ht="15" hidden="false" customHeight="true" outlineLevel="0" collapsed="false">
      <c r="A79" s="8" t="s">
        <v>75</v>
      </c>
      <c r="B79" s="31" t="n">
        <f aca="false">SUMIFS(Détail!$E:$E,Détail!$D:$D,"LORD BYRON",Détail!$A:$A,"&gt;="&amp;DATE(2025,11,1),Détail!$A:$A,"&lt;"&amp;EDATE(DATE(2025,11,1),1))</f>
        <v>-1273.6</v>
      </c>
    </row>
    <row r="80" customFormat="false" ht="15" hidden="false" customHeight="true" outlineLevel="0" collapsed="false">
      <c r="A80" s="8" t="s">
        <v>76</v>
      </c>
      <c r="B80" s="31" t="n">
        <f aca="false">SUMIFS(Détail!$E:$E,Détail!$D:$D,"LORD BYRON",Détail!$A:$A,"&gt;="&amp;DATE(2025,12,1),Détail!$A:$A,"&lt;"&amp;EDATE(DATE(2025,12,1),1))</f>
        <v>0</v>
      </c>
    </row>
    <row r="83" customFormat="false" ht="15" hidden="false" customHeight="true" outlineLevel="0" collapsed="false">
      <c r="A83" s="29" t="s">
        <v>123</v>
      </c>
      <c r="B83" s="29"/>
      <c r="C83" s="30" t="n">
        <f aca="false">SUMIF(Détail!$D:$D,"LA VIE VACATION HOMES RENTAL LLC",Détail!$E:$E)</f>
        <v>-813</v>
      </c>
    </row>
    <row r="84" customFormat="false" ht="15" hidden="false" customHeight="true" outlineLevel="0" collapsed="false">
      <c r="A84" s="24" t="s">
        <v>63</v>
      </c>
      <c r="B84" s="24" t="s">
        <v>64</v>
      </c>
    </row>
    <row r="85" customFormat="false" ht="15" hidden="false" customHeight="true" outlineLevel="0" collapsed="false">
      <c r="A85" s="8" t="s">
        <v>65</v>
      </c>
      <c r="B85" s="31" t="n">
        <f aca="false">SUMIFS(Détail!$E:$E,Détail!$D:$D,"LA VIE VACATION HOMES RENTAL LLC",Détail!$A:$A,"&gt;="&amp;DATE(2025,1,1),Détail!$A:$A,"&lt;"&amp;EDATE(DATE(2025,1,1),1))</f>
        <v>0</v>
      </c>
    </row>
    <row r="86" customFormat="false" ht="15" hidden="false" customHeight="true" outlineLevel="0" collapsed="false">
      <c r="A86" s="8" t="s">
        <v>66</v>
      </c>
      <c r="B86" s="31" t="n">
        <f aca="false">SUMIFS(Détail!$E:$E,Détail!$D:$D,"LA VIE VACATION HOMES RENTAL LLC",Détail!$A:$A,"&gt;="&amp;DATE(2025,2,1),Détail!$A:$A,"&lt;"&amp;EDATE(DATE(2025,2,1),1))</f>
        <v>0</v>
      </c>
    </row>
    <row r="87" customFormat="false" ht="15" hidden="false" customHeight="true" outlineLevel="0" collapsed="false">
      <c r="A87" s="8" t="s">
        <v>67</v>
      </c>
      <c r="B87" s="31" t="n">
        <f aca="false">SUMIFS(Détail!$E:$E,Détail!$D:$D,"LA VIE VACATION HOMES RENTAL LLC",Détail!$A:$A,"&gt;="&amp;DATE(2025,3,1),Détail!$A:$A,"&lt;"&amp;EDATE(DATE(2025,3,1),1))</f>
        <v>0</v>
      </c>
    </row>
    <row r="88" customFormat="false" ht="15" hidden="false" customHeight="true" outlineLevel="0" collapsed="false">
      <c r="A88" s="8" t="s">
        <v>68</v>
      </c>
      <c r="B88" s="31" t="n">
        <f aca="false">SUMIFS(Détail!$E:$E,Détail!$D:$D,"LA VIE VACATION HOMES RENTAL LLC",Détail!$A:$A,"&gt;="&amp;DATE(2025,4,1),Détail!$A:$A,"&lt;"&amp;EDATE(DATE(2025,4,1),1))</f>
        <v>0</v>
      </c>
    </row>
    <row r="89" customFormat="false" ht="15" hidden="false" customHeight="true" outlineLevel="0" collapsed="false">
      <c r="A89" s="8" t="s">
        <v>69</v>
      </c>
      <c r="B89" s="31" t="n">
        <f aca="false">SUMIFS(Détail!$E:$E,Détail!$D:$D,"LA VIE VACATION HOMES RENTAL LLC",Détail!$A:$A,"&gt;="&amp;DATE(2025,5,1),Détail!$A:$A,"&lt;"&amp;EDATE(DATE(2025,5,1),1))</f>
        <v>0</v>
      </c>
    </row>
    <row r="90" customFormat="false" ht="15" hidden="false" customHeight="true" outlineLevel="0" collapsed="false">
      <c r="A90" s="8" t="s">
        <v>70</v>
      </c>
      <c r="B90" s="31" t="n">
        <f aca="false">SUMIFS(Détail!$E:$E,Détail!$D:$D,"LA VIE VACATION HOMES RENTAL LLC",Détail!$A:$A,"&gt;="&amp;DATE(2025,6,1),Détail!$A:$A,"&lt;"&amp;EDATE(DATE(2025,6,1),1))</f>
        <v>0</v>
      </c>
    </row>
    <row r="91" customFormat="false" ht="15" hidden="false" customHeight="true" outlineLevel="0" collapsed="false">
      <c r="A91" s="8" t="s">
        <v>71</v>
      </c>
      <c r="B91" s="31" t="n">
        <f aca="false">SUMIFS(Détail!$E:$E,Détail!$D:$D,"LA VIE VACATION HOMES RENTAL LLC",Détail!$A:$A,"&gt;="&amp;DATE(2025,7,1),Détail!$A:$A,"&lt;"&amp;EDATE(DATE(2025,7,1),1))</f>
        <v>0</v>
      </c>
    </row>
    <row r="92" customFormat="false" ht="15" hidden="false" customHeight="true" outlineLevel="0" collapsed="false">
      <c r="A92" s="8" t="s">
        <v>72</v>
      </c>
      <c r="B92" s="31" t="n">
        <f aca="false">SUMIFS(Détail!$E:$E,Détail!$D:$D,"LA VIE VACATION HOMES RENTAL LLC",Détail!$A:$A,"&gt;="&amp;DATE(2025,8,1),Détail!$A:$A,"&lt;"&amp;EDATE(DATE(2025,8,1),1))</f>
        <v>0</v>
      </c>
    </row>
    <row r="93" customFormat="false" ht="15" hidden="false" customHeight="true" outlineLevel="0" collapsed="false">
      <c r="A93" s="8" t="s">
        <v>73</v>
      </c>
      <c r="B93" s="31" t="n">
        <f aca="false">SUMIFS(Détail!$E:$E,Détail!$D:$D,"LA VIE VACATION HOMES RENTAL LLC",Détail!$A:$A,"&gt;="&amp;DATE(2025,9,1),Détail!$A:$A,"&lt;"&amp;EDATE(DATE(2025,9,1),1))</f>
        <v>-813</v>
      </c>
    </row>
    <row r="94" customFormat="false" ht="15" hidden="false" customHeight="true" outlineLevel="0" collapsed="false">
      <c r="A94" s="8" t="s">
        <v>74</v>
      </c>
      <c r="B94" s="31" t="n">
        <f aca="false">SUMIFS(Détail!$E:$E,Détail!$D:$D,"LA VIE VACATION HOMES RENTAL LLC",Détail!$A:$A,"&gt;="&amp;DATE(2025,10,1),Détail!$A:$A,"&lt;"&amp;EDATE(DATE(2025,10,1),1))</f>
        <v>0</v>
      </c>
    </row>
    <row r="95" customFormat="false" ht="15" hidden="false" customHeight="true" outlineLevel="0" collapsed="false">
      <c r="A95" s="8" t="s">
        <v>75</v>
      </c>
      <c r="B95" s="31" t="n">
        <f aca="false">SUMIFS(Détail!$E:$E,Détail!$D:$D,"LA VIE VACATION HOMES RENTAL LLC",Détail!$A:$A,"&gt;="&amp;DATE(2025,11,1),Détail!$A:$A,"&lt;"&amp;EDATE(DATE(2025,11,1),1))</f>
        <v>0</v>
      </c>
    </row>
    <row r="96" customFormat="false" ht="15" hidden="false" customHeight="true" outlineLevel="0" collapsed="false">
      <c r="A96" s="8" t="s">
        <v>76</v>
      </c>
      <c r="B96" s="31" t="n">
        <f aca="false">SUMIFS(Détail!$E:$E,Détail!$D:$D,"LA VIE VACATION HOMES RENTAL LLC",Détail!$A:$A,"&gt;="&amp;DATE(2025,12,1),Détail!$A:$A,"&lt;"&amp;EDATE(DATE(2025,12,1),1))</f>
        <v>0</v>
      </c>
    </row>
    <row r="99" customFormat="false" ht="15" hidden="false" customHeight="true" outlineLevel="0" collapsed="false">
      <c r="A99" s="29" t="s">
        <v>124</v>
      </c>
      <c r="B99" s="29"/>
      <c r="C99" s="30" t="n">
        <f aca="false">SUMIF(Détail!$D:$D,"TRAVEL RESERVAT",Détail!$E:$E)</f>
        <v>-737.42</v>
      </c>
    </row>
    <row r="100" customFormat="false" ht="15" hidden="false" customHeight="true" outlineLevel="0" collapsed="false">
      <c r="A100" s="24" t="s">
        <v>63</v>
      </c>
      <c r="B100" s="24" t="s">
        <v>64</v>
      </c>
    </row>
    <row r="101" customFormat="false" ht="15" hidden="false" customHeight="true" outlineLevel="0" collapsed="false">
      <c r="A101" s="8" t="s">
        <v>65</v>
      </c>
      <c r="B101" s="31" t="n">
        <f aca="false">SUMIFS(Détail!$E:$E,Détail!$D:$D,"TRAVEL RESERVAT",Détail!$A:$A,"&gt;="&amp;DATE(2025,1,1),Détail!$A:$A,"&lt;"&amp;EDATE(DATE(2025,1,1),1))</f>
        <v>0</v>
      </c>
    </row>
    <row r="102" customFormat="false" ht="15" hidden="false" customHeight="true" outlineLevel="0" collapsed="false">
      <c r="A102" s="8" t="s">
        <v>66</v>
      </c>
      <c r="B102" s="31" t="n">
        <f aca="false">SUMIFS(Détail!$E:$E,Détail!$D:$D,"TRAVEL RESERVAT",Détail!$A:$A,"&gt;="&amp;DATE(2025,2,1),Détail!$A:$A,"&lt;"&amp;EDATE(DATE(2025,2,1),1))</f>
        <v>0</v>
      </c>
    </row>
    <row r="103" customFormat="false" ht="15" hidden="false" customHeight="true" outlineLevel="0" collapsed="false">
      <c r="A103" s="8" t="s">
        <v>67</v>
      </c>
      <c r="B103" s="31" t="n">
        <f aca="false">SUMIFS(Détail!$E:$E,Détail!$D:$D,"TRAVEL RESERVAT",Détail!$A:$A,"&gt;="&amp;DATE(2025,3,1),Détail!$A:$A,"&lt;"&amp;EDATE(DATE(2025,3,1),1))</f>
        <v>0</v>
      </c>
    </row>
    <row r="104" customFormat="false" ht="15" hidden="false" customHeight="true" outlineLevel="0" collapsed="false">
      <c r="A104" s="8" t="s">
        <v>68</v>
      </c>
      <c r="B104" s="31" t="n">
        <f aca="false">SUMIFS(Détail!$E:$E,Détail!$D:$D,"TRAVEL RESERVAT",Détail!$A:$A,"&gt;="&amp;DATE(2025,4,1),Détail!$A:$A,"&lt;"&amp;EDATE(DATE(2025,4,1),1))</f>
        <v>-737.42</v>
      </c>
    </row>
    <row r="105" customFormat="false" ht="15" hidden="false" customHeight="true" outlineLevel="0" collapsed="false">
      <c r="A105" s="8" t="s">
        <v>69</v>
      </c>
      <c r="B105" s="31" t="n">
        <f aca="false">SUMIFS(Détail!$E:$E,Détail!$D:$D,"TRAVEL RESERVAT",Détail!$A:$A,"&gt;="&amp;DATE(2025,5,1),Détail!$A:$A,"&lt;"&amp;EDATE(DATE(2025,5,1),1))</f>
        <v>0</v>
      </c>
    </row>
    <row r="106" customFormat="false" ht="15" hidden="false" customHeight="true" outlineLevel="0" collapsed="false">
      <c r="A106" s="8" t="s">
        <v>70</v>
      </c>
      <c r="B106" s="31" t="n">
        <f aca="false">SUMIFS(Détail!$E:$E,Détail!$D:$D,"TRAVEL RESERVAT",Détail!$A:$A,"&gt;="&amp;DATE(2025,6,1),Détail!$A:$A,"&lt;"&amp;EDATE(DATE(2025,6,1),1))</f>
        <v>0</v>
      </c>
    </row>
    <row r="107" customFormat="false" ht="15" hidden="false" customHeight="true" outlineLevel="0" collapsed="false">
      <c r="A107" s="8" t="s">
        <v>71</v>
      </c>
      <c r="B107" s="31" t="n">
        <f aca="false">SUMIFS(Détail!$E:$E,Détail!$D:$D,"TRAVEL RESERVAT",Détail!$A:$A,"&gt;="&amp;DATE(2025,7,1),Détail!$A:$A,"&lt;"&amp;EDATE(DATE(2025,7,1),1))</f>
        <v>0</v>
      </c>
    </row>
    <row r="108" customFormat="false" ht="15" hidden="false" customHeight="true" outlineLevel="0" collapsed="false">
      <c r="A108" s="8" t="s">
        <v>72</v>
      </c>
      <c r="B108" s="31" t="n">
        <f aca="false">SUMIFS(Détail!$E:$E,Détail!$D:$D,"TRAVEL RESERVAT",Détail!$A:$A,"&gt;="&amp;DATE(2025,8,1),Détail!$A:$A,"&lt;"&amp;EDATE(DATE(2025,8,1),1))</f>
        <v>0</v>
      </c>
    </row>
    <row r="109" customFormat="false" ht="15" hidden="false" customHeight="true" outlineLevel="0" collapsed="false">
      <c r="A109" s="8" t="s">
        <v>73</v>
      </c>
      <c r="B109" s="31" t="n">
        <f aca="false">SUMIFS(Détail!$E:$E,Détail!$D:$D,"TRAVEL RESERVAT",Détail!$A:$A,"&gt;="&amp;DATE(2025,9,1),Détail!$A:$A,"&lt;"&amp;EDATE(DATE(2025,9,1),1))</f>
        <v>0</v>
      </c>
    </row>
    <row r="110" customFormat="false" ht="15" hidden="false" customHeight="true" outlineLevel="0" collapsed="false">
      <c r="A110" s="8" t="s">
        <v>74</v>
      </c>
      <c r="B110" s="31" t="n">
        <f aca="false">SUMIFS(Détail!$E:$E,Détail!$D:$D,"TRAVEL RESERVAT",Détail!$A:$A,"&gt;="&amp;DATE(2025,10,1),Détail!$A:$A,"&lt;"&amp;EDATE(DATE(2025,10,1),1))</f>
        <v>0</v>
      </c>
    </row>
    <row r="111" customFormat="false" ht="15" hidden="false" customHeight="true" outlineLevel="0" collapsed="false">
      <c r="A111" s="8" t="s">
        <v>75</v>
      </c>
      <c r="B111" s="31" t="n">
        <f aca="false">SUMIFS(Détail!$E:$E,Détail!$D:$D,"TRAVEL RESERVAT",Détail!$A:$A,"&gt;="&amp;DATE(2025,11,1),Détail!$A:$A,"&lt;"&amp;EDATE(DATE(2025,11,1),1))</f>
        <v>0</v>
      </c>
    </row>
    <row r="112" customFormat="false" ht="15" hidden="false" customHeight="true" outlineLevel="0" collapsed="false">
      <c r="A112" s="8" t="s">
        <v>76</v>
      </c>
      <c r="B112" s="31" t="n">
        <f aca="false">SUMIFS(Détail!$E:$E,Détail!$D:$D,"TRAVEL RESERVAT",Détail!$A:$A,"&gt;="&amp;DATE(2025,12,1),Détail!$A:$A,"&lt;"&amp;EDATE(DATE(2025,12,1),1))</f>
        <v>0</v>
      </c>
    </row>
    <row r="115" customFormat="false" ht="15" hidden="false" customHeight="true" outlineLevel="0" collapsed="false">
      <c r="A115" s="29" t="s">
        <v>125</v>
      </c>
      <c r="B115" s="29"/>
      <c r="C115" s="30" t="n">
        <f aca="false">SUMIF(Détail!$D:$D,"DUBAI WORLD TRA",Détail!$E:$E)</f>
        <v>-585.13</v>
      </c>
    </row>
    <row r="116" customFormat="false" ht="15" hidden="false" customHeight="true" outlineLevel="0" collapsed="false">
      <c r="A116" s="24" t="s">
        <v>63</v>
      </c>
      <c r="B116" s="24" t="s">
        <v>64</v>
      </c>
    </row>
    <row r="117" customFormat="false" ht="15" hidden="false" customHeight="true" outlineLevel="0" collapsed="false">
      <c r="A117" s="8" t="s">
        <v>65</v>
      </c>
      <c r="B117" s="31" t="n">
        <f aca="false">SUMIFS(Détail!$E:$E,Détail!$D:$D,"DUBAI WORLD TRA",Détail!$A:$A,"&gt;="&amp;DATE(2025,1,1),Détail!$A:$A,"&lt;"&amp;EDATE(DATE(2025,1,1),1))</f>
        <v>0</v>
      </c>
    </row>
    <row r="118" customFormat="false" ht="15" hidden="false" customHeight="true" outlineLevel="0" collapsed="false">
      <c r="A118" s="8" t="s">
        <v>66</v>
      </c>
      <c r="B118" s="31" t="n">
        <f aca="false">SUMIFS(Détail!$E:$E,Détail!$D:$D,"DUBAI WORLD TRA",Détail!$A:$A,"&gt;="&amp;DATE(2025,2,1),Détail!$A:$A,"&lt;"&amp;EDATE(DATE(2025,2,1),1))</f>
        <v>0</v>
      </c>
    </row>
    <row r="119" customFormat="false" ht="15" hidden="false" customHeight="true" outlineLevel="0" collapsed="false">
      <c r="A119" s="8" t="s">
        <v>67</v>
      </c>
      <c r="B119" s="31" t="n">
        <f aca="false">SUMIFS(Détail!$E:$E,Détail!$D:$D,"DUBAI WORLD TRA",Détail!$A:$A,"&gt;="&amp;DATE(2025,3,1),Détail!$A:$A,"&lt;"&amp;EDATE(DATE(2025,3,1),1))</f>
        <v>0</v>
      </c>
    </row>
    <row r="120" customFormat="false" ht="15" hidden="false" customHeight="true" outlineLevel="0" collapsed="false">
      <c r="A120" s="8" t="s">
        <v>68</v>
      </c>
      <c r="B120" s="31" t="n">
        <f aca="false">SUMIFS(Détail!$E:$E,Détail!$D:$D,"DUBAI WORLD TRA",Détail!$A:$A,"&gt;="&amp;DATE(2025,4,1),Détail!$A:$A,"&lt;"&amp;EDATE(DATE(2025,4,1),1))</f>
        <v>0</v>
      </c>
    </row>
    <row r="121" customFormat="false" ht="15" hidden="false" customHeight="true" outlineLevel="0" collapsed="false">
      <c r="A121" s="8" t="s">
        <v>69</v>
      </c>
      <c r="B121" s="31" t="n">
        <f aca="false">SUMIFS(Détail!$E:$E,Détail!$D:$D,"DUBAI WORLD TRA",Détail!$A:$A,"&gt;="&amp;DATE(2025,5,1),Détail!$A:$A,"&lt;"&amp;EDATE(DATE(2025,5,1),1))</f>
        <v>0</v>
      </c>
    </row>
    <row r="122" customFormat="false" ht="15" hidden="false" customHeight="true" outlineLevel="0" collapsed="false">
      <c r="A122" s="8" t="s">
        <v>70</v>
      </c>
      <c r="B122" s="31" t="n">
        <f aca="false">SUMIFS(Détail!$E:$E,Détail!$D:$D,"DUBAI WORLD TRA",Détail!$A:$A,"&gt;="&amp;DATE(2025,6,1),Détail!$A:$A,"&lt;"&amp;EDATE(DATE(2025,6,1),1))</f>
        <v>0</v>
      </c>
    </row>
    <row r="123" customFormat="false" ht="15" hidden="false" customHeight="true" outlineLevel="0" collapsed="false">
      <c r="A123" s="8" t="s">
        <v>71</v>
      </c>
      <c r="B123" s="31" t="n">
        <f aca="false">SUMIFS(Détail!$E:$E,Détail!$D:$D,"DUBAI WORLD TRA",Détail!$A:$A,"&gt;="&amp;DATE(2025,7,1),Détail!$A:$A,"&lt;"&amp;EDATE(DATE(2025,7,1),1))</f>
        <v>0</v>
      </c>
    </row>
    <row r="124" customFormat="false" ht="15" hidden="false" customHeight="true" outlineLevel="0" collapsed="false">
      <c r="A124" s="8" t="s">
        <v>72</v>
      </c>
      <c r="B124" s="31" t="n">
        <f aca="false">SUMIFS(Détail!$E:$E,Détail!$D:$D,"DUBAI WORLD TRA",Détail!$A:$A,"&gt;="&amp;DATE(2025,8,1),Détail!$A:$A,"&lt;"&amp;EDATE(DATE(2025,8,1),1))</f>
        <v>0</v>
      </c>
    </row>
    <row r="125" customFormat="false" ht="15" hidden="false" customHeight="true" outlineLevel="0" collapsed="false">
      <c r="A125" s="8" t="s">
        <v>73</v>
      </c>
      <c r="B125" s="31" t="n">
        <f aca="false">SUMIFS(Détail!$E:$E,Détail!$D:$D,"DUBAI WORLD TRA",Détail!$A:$A,"&gt;="&amp;DATE(2025,9,1),Détail!$A:$A,"&lt;"&amp;EDATE(DATE(2025,9,1),1))</f>
        <v>0</v>
      </c>
    </row>
    <row r="126" customFormat="false" ht="15" hidden="false" customHeight="true" outlineLevel="0" collapsed="false">
      <c r="A126" s="8" t="s">
        <v>74</v>
      </c>
      <c r="B126" s="31" t="n">
        <f aca="false">SUMIFS(Détail!$E:$E,Détail!$D:$D,"DUBAI WORLD TRA",Détail!$A:$A,"&gt;="&amp;DATE(2025,10,1),Détail!$A:$A,"&lt;"&amp;EDATE(DATE(2025,10,1),1))</f>
        <v>-585.13</v>
      </c>
    </row>
    <row r="127" customFormat="false" ht="15" hidden="false" customHeight="true" outlineLevel="0" collapsed="false">
      <c r="A127" s="8" t="s">
        <v>75</v>
      </c>
      <c r="B127" s="31" t="n">
        <f aca="false">SUMIFS(Détail!$E:$E,Détail!$D:$D,"DUBAI WORLD TRA",Détail!$A:$A,"&gt;="&amp;DATE(2025,11,1),Détail!$A:$A,"&lt;"&amp;EDATE(DATE(2025,11,1),1))</f>
        <v>0</v>
      </c>
    </row>
    <row r="128" customFormat="false" ht="15" hidden="false" customHeight="true" outlineLevel="0" collapsed="false">
      <c r="A128" s="8" t="s">
        <v>76</v>
      </c>
      <c r="B128" s="31" t="n">
        <f aca="false">SUMIFS(Détail!$E:$E,Détail!$D:$D,"DUBAI WORLD TRA",Détail!$A:$A,"&gt;="&amp;DATE(2025,12,1),Détail!$A:$A,"&lt;"&amp;EDATE(DATE(2025,12,1),1))</f>
        <v>0</v>
      </c>
    </row>
    <row r="131" customFormat="false" ht="15" hidden="false" customHeight="true" outlineLevel="0" collapsed="false">
      <c r="A131" s="29" t="s">
        <v>126</v>
      </c>
      <c r="B131" s="29"/>
      <c r="C131" s="30" t="n">
        <f aca="false">SUMIF(Détail!$D:$D,"GETAROUND* RESE",Détail!$E:$E)</f>
        <v>-409.1</v>
      </c>
    </row>
    <row r="132" customFormat="false" ht="15" hidden="false" customHeight="true" outlineLevel="0" collapsed="false">
      <c r="A132" s="24" t="s">
        <v>63</v>
      </c>
      <c r="B132" s="24" t="s">
        <v>64</v>
      </c>
    </row>
    <row r="133" customFormat="false" ht="15" hidden="false" customHeight="true" outlineLevel="0" collapsed="false">
      <c r="A133" s="8" t="s">
        <v>65</v>
      </c>
      <c r="B133" s="31" t="n">
        <f aca="false">SUMIFS(Détail!$E:$E,Détail!$D:$D,"GETAROUND* RESE",Détail!$A:$A,"&gt;="&amp;DATE(2025,1,1),Détail!$A:$A,"&lt;"&amp;EDATE(DATE(2025,1,1),1))</f>
        <v>0</v>
      </c>
    </row>
    <row r="134" customFormat="false" ht="15" hidden="false" customHeight="true" outlineLevel="0" collapsed="false">
      <c r="A134" s="8" t="s">
        <v>66</v>
      </c>
      <c r="B134" s="31" t="n">
        <f aca="false">SUMIFS(Détail!$E:$E,Détail!$D:$D,"GETAROUND* RESE",Détail!$A:$A,"&gt;="&amp;DATE(2025,2,1),Détail!$A:$A,"&lt;"&amp;EDATE(DATE(2025,2,1),1))</f>
        <v>0</v>
      </c>
    </row>
    <row r="135" customFormat="false" ht="15" hidden="false" customHeight="true" outlineLevel="0" collapsed="false">
      <c r="A135" s="8" t="s">
        <v>67</v>
      </c>
      <c r="B135" s="31" t="n">
        <f aca="false">SUMIFS(Détail!$E:$E,Détail!$D:$D,"GETAROUND* RESE",Détail!$A:$A,"&gt;="&amp;DATE(2025,3,1),Détail!$A:$A,"&lt;"&amp;EDATE(DATE(2025,3,1),1))</f>
        <v>-409.1</v>
      </c>
    </row>
    <row r="136" customFormat="false" ht="15" hidden="false" customHeight="true" outlineLevel="0" collapsed="false">
      <c r="A136" s="8" t="s">
        <v>68</v>
      </c>
      <c r="B136" s="31" t="n">
        <f aca="false">SUMIFS(Détail!$E:$E,Détail!$D:$D,"GETAROUND* RESE",Détail!$A:$A,"&gt;="&amp;DATE(2025,4,1),Détail!$A:$A,"&lt;"&amp;EDATE(DATE(2025,4,1),1))</f>
        <v>0</v>
      </c>
    </row>
    <row r="137" customFormat="false" ht="15" hidden="false" customHeight="true" outlineLevel="0" collapsed="false">
      <c r="A137" s="8" t="s">
        <v>69</v>
      </c>
      <c r="B137" s="31" t="n">
        <f aca="false">SUMIFS(Détail!$E:$E,Détail!$D:$D,"GETAROUND* RESE",Détail!$A:$A,"&gt;="&amp;DATE(2025,5,1),Détail!$A:$A,"&lt;"&amp;EDATE(DATE(2025,5,1),1))</f>
        <v>0</v>
      </c>
    </row>
    <row r="138" customFormat="false" ht="15" hidden="false" customHeight="true" outlineLevel="0" collapsed="false">
      <c r="A138" s="8" t="s">
        <v>70</v>
      </c>
      <c r="B138" s="31" t="n">
        <f aca="false">SUMIFS(Détail!$E:$E,Détail!$D:$D,"GETAROUND* RESE",Détail!$A:$A,"&gt;="&amp;DATE(2025,6,1),Détail!$A:$A,"&lt;"&amp;EDATE(DATE(2025,6,1),1))</f>
        <v>0</v>
      </c>
    </row>
    <row r="139" customFormat="false" ht="15" hidden="false" customHeight="true" outlineLevel="0" collapsed="false">
      <c r="A139" s="8" t="s">
        <v>71</v>
      </c>
      <c r="B139" s="31" t="n">
        <f aca="false">SUMIFS(Détail!$E:$E,Détail!$D:$D,"GETAROUND* RESE",Détail!$A:$A,"&gt;="&amp;DATE(2025,7,1),Détail!$A:$A,"&lt;"&amp;EDATE(DATE(2025,7,1),1))</f>
        <v>0</v>
      </c>
    </row>
    <row r="140" customFormat="false" ht="15" hidden="false" customHeight="true" outlineLevel="0" collapsed="false">
      <c r="A140" s="8" t="s">
        <v>72</v>
      </c>
      <c r="B140" s="31" t="n">
        <f aca="false">SUMIFS(Détail!$E:$E,Détail!$D:$D,"GETAROUND* RESE",Détail!$A:$A,"&gt;="&amp;DATE(2025,8,1),Détail!$A:$A,"&lt;"&amp;EDATE(DATE(2025,8,1),1))</f>
        <v>0</v>
      </c>
    </row>
    <row r="141" customFormat="false" ht="15" hidden="false" customHeight="true" outlineLevel="0" collapsed="false">
      <c r="A141" s="8" t="s">
        <v>73</v>
      </c>
      <c r="B141" s="31" t="n">
        <f aca="false">SUMIFS(Détail!$E:$E,Détail!$D:$D,"GETAROUND* RESE",Détail!$A:$A,"&gt;="&amp;DATE(2025,9,1),Détail!$A:$A,"&lt;"&amp;EDATE(DATE(2025,9,1),1))</f>
        <v>0</v>
      </c>
    </row>
    <row r="142" customFormat="false" ht="15" hidden="false" customHeight="true" outlineLevel="0" collapsed="false">
      <c r="A142" s="8" t="s">
        <v>74</v>
      </c>
      <c r="B142" s="31" t="n">
        <f aca="false">SUMIFS(Détail!$E:$E,Détail!$D:$D,"GETAROUND* RESE",Détail!$A:$A,"&gt;="&amp;DATE(2025,10,1),Détail!$A:$A,"&lt;"&amp;EDATE(DATE(2025,10,1),1))</f>
        <v>0</v>
      </c>
    </row>
    <row r="143" customFormat="false" ht="15" hidden="false" customHeight="true" outlineLevel="0" collapsed="false">
      <c r="A143" s="8" t="s">
        <v>75</v>
      </c>
      <c r="B143" s="31" t="n">
        <f aca="false">SUMIFS(Détail!$E:$E,Détail!$D:$D,"GETAROUND* RESE",Détail!$A:$A,"&gt;="&amp;DATE(2025,11,1),Détail!$A:$A,"&lt;"&amp;EDATE(DATE(2025,11,1),1))</f>
        <v>0</v>
      </c>
    </row>
    <row r="144" customFormat="false" ht="15" hidden="false" customHeight="true" outlineLevel="0" collapsed="false">
      <c r="A144" s="8" t="s">
        <v>76</v>
      </c>
      <c r="B144" s="31" t="n">
        <f aca="false">SUMIFS(Détail!$E:$E,Détail!$D:$D,"GETAROUND* RESE",Détail!$A:$A,"&gt;="&amp;DATE(2025,12,1),Détail!$A:$A,"&lt;"&amp;EDATE(DATE(2025,12,1),1))</f>
        <v>0</v>
      </c>
    </row>
    <row r="147" customFormat="false" ht="15" hidden="false" customHeight="true" outlineLevel="0" collapsed="false">
      <c r="A147" s="29" t="s">
        <v>127</v>
      </c>
      <c r="B147" s="29"/>
      <c r="C147" s="30" t="n">
        <f aca="false">SUMIF(Détail!$D:$D,"AIRBNB",Détail!$E:$E)</f>
        <v>-329.5</v>
      </c>
    </row>
    <row r="148" customFormat="false" ht="15" hidden="false" customHeight="true" outlineLevel="0" collapsed="false">
      <c r="A148" s="24" t="s">
        <v>63</v>
      </c>
      <c r="B148" s="24" t="s">
        <v>64</v>
      </c>
    </row>
    <row r="149" customFormat="false" ht="15" hidden="false" customHeight="true" outlineLevel="0" collapsed="false">
      <c r="A149" s="8" t="s">
        <v>65</v>
      </c>
      <c r="B149" s="31" t="n">
        <f aca="false">SUMIFS(Détail!$E:$E,Détail!$D:$D,"AIRBNB",Détail!$A:$A,"&gt;="&amp;DATE(2025,1,1),Détail!$A:$A,"&lt;"&amp;EDATE(DATE(2025,1,1),1))</f>
        <v>0</v>
      </c>
    </row>
    <row r="150" customFormat="false" ht="15" hidden="false" customHeight="true" outlineLevel="0" collapsed="false">
      <c r="A150" s="8" t="s">
        <v>66</v>
      </c>
      <c r="B150" s="31" t="n">
        <f aca="false">SUMIFS(Détail!$E:$E,Détail!$D:$D,"AIRBNB",Détail!$A:$A,"&gt;="&amp;DATE(2025,2,1),Détail!$A:$A,"&lt;"&amp;EDATE(DATE(2025,2,1),1))</f>
        <v>0</v>
      </c>
    </row>
    <row r="151" customFormat="false" ht="15" hidden="false" customHeight="true" outlineLevel="0" collapsed="false">
      <c r="A151" s="8" t="s">
        <v>67</v>
      </c>
      <c r="B151" s="31" t="n">
        <f aca="false">SUMIFS(Détail!$E:$E,Détail!$D:$D,"AIRBNB",Détail!$A:$A,"&gt;="&amp;DATE(2025,3,1),Détail!$A:$A,"&lt;"&amp;EDATE(DATE(2025,3,1),1))</f>
        <v>0</v>
      </c>
    </row>
    <row r="152" customFormat="false" ht="15" hidden="false" customHeight="true" outlineLevel="0" collapsed="false">
      <c r="A152" s="8" t="s">
        <v>68</v>
      </c>
      <c r="B152" s="31" t="n">
        <f aca="false">SUMIFS(Détail!$E:$E,Détail!$D:$D,"AIRBNB",Détail!$A:$A,"&gt;="&amp;DATE(2025,4,1),Détail!$A:$A,"&lt;"&amp;EDATE(DATE(2025,4,1),1))</f>
        <v>0</v>
      </c>
    </row>
    <row r="153" customFormat="false" ht="15" hidden="false" customHeight="true" outlineLevel="0" collapsed="false">
      <c r="A153" s="8" t="s">
        <v>69</v>
      </c>
      <c r="B153" s="31" t="n">
        <f aca="false">SUMIFS(Détail!$E:$E,Détail!$D:$D,"AIRBNB",Détail!$A:$A,"&gt;="&amp;DATE(2025,5,1),Détail!$A:$A,"&lt;"&amp;EDATE(DATE(2025,5,1),1))</f>
        <v>0</v>
      </c>
    </row>
    <row r="154" customFormat="false" ht="15" hidden="false" customHeight="true" outlineLevel="0" collapsed="false">
      <c r="A154" s="8" t="s">
        <v>70</v>
      </c>
      <c r="B154" s="31" t="n">
        <f aca="false">SUMIFS(Détail!$E:$E,Détail!$D:$D,"AIRBNB",Détail!$A:$A,"&gt;="&amp;DATE(2025,6,1),Détail!$A:$A,"&lt;"&amp;EDATE(DATE(2025,6,1),1))</f>
        <v>0</v>
      </c>
    </row>
    <row r="155" customFormat="false" ht="15" hidden="false" customHeight="true" outlineLevel="0" collapsed="false">
      <c r="A155" s="8" t="s">
        <v>71</v>
      </c>
      <c r="B155" s="31" t="n">
        <f aca="false">SUMIFS(Détail!$E:$E,Détail!$D:$D,"AIRBNB",Détail!$A:$A,"&gt;="&amp;DATE(2025,7,1),Détail!$A:$A,"&lt;"&amp;EDATE(DATE(2025,7,1),1))</f>
        <v>-95.38</v>
      </c>
    </row>
    <row r="156" customFormat="false" ht="15" hidden="false" customHeight="true" outlineLevel="0" collapsed="false">
      <c r="A156" s="8" t="s">
        <v>72</v>
      </c>
      <c r="B156" s="31" t="n">
        <f aca="false">SUMIFS(Détail!$E:$E,Détail!$D:$D,"AIRBNB",Détail!$A:$A,"&gt;="&amp;DATE(2025,8,1),Détail!$A:$A,"&lt;"&amp;EDATE(DATE(2025,8,1),1))</f>
        <v>0</v>
      </c>
    </row>
    <row r="157" customFormat="false" ht="15" hidden="false" customHeight="true" outlineLevel="0" collapsed="false">
      <c r="A157" s="8" t="s">
        <v>73</v>
      </c>
      <c r="B157" s="31" t="n">
        <f aca="false">SUMIFS(Détail!$E:$E,Détail!$D:$D,"AIRBNB",Détail!$A:$A,"&gt;="&amp;DATE(2025,9,1),Détail!$A:$A,"&lt;"&amp;EDATE(DATE(2025,9,1),1))</f>
        <v>-234.12</v>
      </c>
    </row>
    <row r="158" customFormat="false" ht="15" hidden="false" customHeight="true" outlineLevel="0" collapsed="false">
      <c r="A158" s="8" t="s">
        <v>74</v>
      </c>
      <c r="B158" s="31" t="n">
        <f aca="false">SUMIFS(Détail!$E:$E,Détail!$D:$D,"AIRBNB",Détail!$A:$A,"&gt;="&amp;DATE(2025,10,1),Détail!$A:$A,"&lt;"&amp;EDATE(DATE(2025,10,1),1))</f>
        <v>0</v>
      </c>
    </row>
    <row r="159" customFormat="false" ht="15" hidden="false" customHeight="true" outlineLevel="0" collapsed="false">
      <c r="A159" s="8" t="s">
        <v>75</v>
      </c>
      <c r="B159" s="31" t="n">
        <f aca="false">SUMIFS(Détail!$E:$E,Détail!$D:$D,"AIRBNB",Détail!$A:$A,"&gt;="&amp;DATE(2025,11,1),Détail!$A:$A,"&lt;"&amp;EDATE(DATE(2025,11,1),1))</f>
        <v>0</v>
      </c>
    </row>
    <row r="160" customFormat="false" ht="15" hidden="false" customHeight="true" outlineLevel="0" collapsed="false">
      <c r="A160" s="8" t="s">
        <v>76</v>
      </c>
      <c r="B160" s="31" t="n">
        <f aca="false">SUMIFS(Détail!$E:$E,Détail!$D:$D,"AIRBNB",Détail!$A:$A,"&gt;="&amp;DATE(2025,12,1),Détail!$A:$A,"&lt;"&amp;EDATE(DATE(2025,12,1),1))</f>
        <v>0</v>
      </c>
    </row>
    <row r="163" customFormat="false" ht="15" hidden="false" customHeight="true" outlineLevel="0" collapsed="false">
      <c r="A163" s="29" t="s">
        <v>128</v>
      </c>
      <c r="B163" s="29"/>
      <c r="C163" s="30" t="n">
        <f aca="false">SUMIF(Détail!$D:$D,"SAUDI AIR 065",Détail!$E:$E)</f>
        <v>-309.7</v>
      </c>
    </row>
    <row r="164" customFormat="false" ht="15" hidden="false" customHeight="true" outlineLevel="0" collapsed="false">
      <c r="A164" s="24" t="s">
        <v>63</v>
      </c>
      <c r="B164" s="24" t="s">
        <v>64</v>
      </c>
    </row>
    <row r="165" customFormat="false" ht="15" hidden="false" customHeight="true" outlineLevel="0" collapsed="false">
      <c r="A165" s="8" t="s">
        <v>65</v>
      </c>
      <c r="B165" s="31" t="n">
        <f aca="false">SUMIFS(Détail!$E:$E,Détail!$D:$D,"SAUDI AIR 065",Détail!$A:$A,"&gt;="&amp;DATE(2025,1,1),Détail!$A:$A,"&lt;"&amp;EDATE(DATE(2025,1,1),1))</f>
        <v>0</v>
      </c>
    </row>
    <row r="166" customFormat="false" ht="15" hidden="false" customHeight="true" outlineLevel="0" collapsed="false">
      <c r="A166" s="8" t="s">
        <v>66</v>
      </c>
      <c r="B166" s="31" t="n">
        <f aca="false">SUMIFS(Détail!$E:$E,Détail!$D:$D,"SAUDI AIR 065",Détail!$A:$A,"&gt;="&amp;DATE(2025,2,1),Détail!$A:$A,"&lt;"&amp;EDATE(DATE(2025,2,1),1))</f>
        <v>0</v>
      </c>
    </row>
    <row r="167" customFormat="false" ht="15" hidden="false" customHeight="true" outlineLevel="0" collapsed="false">
      <c r="A167" s="8" t="s">
        <v>67</v>
      </c>
      <c r="B167" s="31" t="n">
        <f aca="false">SUMIFS(Détail!$E:$E,Détail!$D:$D,"SAUDI AIR 065",Détail!$A:$A,"&gt;="&amp;DATE(2025,3,1),Détail!$A:$A,"&lt;"&amp;EDATE(DATE(2025,3,1),1))</f>
        <v>0</v>
      </c>
    </row>
    <row r="168" customFormat="false" ht="15" hidden="false" customHeight="true" outlineLevel="0" collapsed="false">
      <c r="A168" s="8" t="s">
        <v>68</v>
      </c>
      <c r="B168" s="31" t="n">
        <f aca="false">SUMIFS(Détail!$E:$E,Détail!$D:$D,"SAUDI AIR 065",Détail!$A:$A,"&gt;="&amp;DATE(2025,4,1),Détail!$A:$A,"&lt;"&amp;EDATE(DATE(2025,4,1),1))</f>
        <v>-309.7</v>
      </c>
    </row>
    <row r="169" customFormat="false" ht="15" hidden="false" customHeight="true" outlineLevel="0" collapsed="false">
      <c r="A169" s="8" t="s">
        <v>69</v>
      </c>
      <c r="B169" s="31" t="n">
        <f aca="false">SUMIFS(Détail!$E:$E,Détail!$D:$D,"SAUDI AIR 065",Détail!$A:$A,"&gt;="&amp;DATE(2025,5,1),Détail!$A:$A,"&lt;"&amp;EDATE(DATE(2025,5,1),1))</f>
        <v>0</v>
      </c>
    </row>
    <row r="170" customFormat="false" ht="15" hidden="false" customHeight="true" outlineLevel="0" collapsed="false">
      <c r="A170" s="8" t="s">
        <v>70</v>
      </c>
      <c r="B170" s="31" t="n">
        <f aca="false">SUMIFS(Détail!$E:$E,Détail!$D:$D,"SAUDI AIR 065",Détail!$A:$A,"&gt;="&amp;DATE(2025,6,1),Détail!$A:$A,"&lt;"&amp;EDATE(DATE(2025,6,1),1))</f>
        <v>0</v>
      </c>
    </row>
    <row r="171" customFormat="false" ht="15" hidden="false" customHeight="true" outlineLevel="0" collapsed="false">
      <c r="A171" s="8" t="s">
        <v>71</v>
      </c>
      <c r="B171" s="31" t="n">
        <f aca="false">SUMIFS(Détail!$E:$E,Détail!$D:$D,"SAUDI AIR 065",Détail!$A:$A,"&gt;="&amp;DATE(2025,7,1),Détail!$A:$A,"&lt;"&amp;EDATE(DATE(2025,7,1),1))</f>
        <v>0</v>
      </c>
    </row>
    <row r="172" customFormat="false" ht="15" hidden="false" customHeight="true" outlineLevel="0" collapsed="false">
      <c r="A172" s="8" t="s">
        <v>72</v>
      </c>
      <c r="B172" s="31" t="n">
        <f aca="false">SUMIFS(Détail!$E:$E,Détail!$D:$D,"SAUDI AIR 065",Détail!$A:$A,"&gt;="&amp;DATE(2025,8,1),Détail!$A:$A,"&lt;"&amp;EDATE(DATE(2025,8,1),1))</f>
        <v>0</v>
      </c>
    </row>
    <row r="173" customFormat="false" ht="15" hidden="false" customHeight="true" outlineLevel="0" collapsed="false">
      <c r="A173" s="8" t="s">
        <v>73</v>
      </c>
      <c r="B173" s="31" t="n">
        <f aca="false">SUMIFS(Détail!$E:$E,Détail!$D:$D,"SAUDI AIR 065",Détail!$A:$A,"&gt;="&amp;DATE(2025,9,1),Détail!$A:$A,"&lt;"&amp;EDATE(DATE(2025,9,1),1))</f>
        <v>0</v>
      </c>
    </row>
    <row r="174" customFormat="false" ht="15" hidden="false" customHeight="true" outlineLevel="0" collapsed="false">
      <c r="A174" s="8" t="s">
        <v>74</v>
      </c>
      <c r="B174" s="31" t="n">
        <f aca="false">SUMIFS(Détail!$E:$E,Détail!$D:$D,"SAUDI AIR 065",Détail!$A:$A,"&gt;="&amp;DATE(2025,10,1),Détail!$A:$A,"&lt;"&amp;EDATE(DATE(2025,10,1),1))</f>
        <v>0</v>
      </c>
    </row>
    <row r="175" customFormat="false" ht="15" hidden="false" customHeight="true" outlineLevel="0" collapsed="false">
      <c r="A175" s="8" t="s">
        <v>75</v>
      </c>
      <c r="B175" s="31" t="n">
        <f aca="false">SUMIFS(Détail!$E:$E,Détail!$D:$D,"SAUDI AIR 065",Détail!$A:$A,"&gt;="&amp;DATE(2025,11,1),Détail!$A:$A,"&lt;"&amp;EDATE(DATE(2025,11,1),1))</f>
        <v>0</v>
      </c>
    </row>
    <row r="176" customFormat="false" ht="15" hidden="false" customHeight="true" outlineLevel="0" collapsed="false">
      <c r="A176" s="8" t="s">
        <v>76</v>
      </c>
      <c r="B176" s="31" t="n">
        <f aca="false">SUMIFS(Détail!$E:$E,Détail!$D:$D,"SAUDI AIR 065",Détail!$A:$A,"&gt;="&amp;DATE(2025,12,1),Détail!$A:$A,"&lt;"&amp;EDATE(DATE(2025,12,1),1))</f>
        <v>0</v>
      </c>
    </row>
    <row r="179" customFormat="false" ht="15" hidden="false" customHeight="true" outlineLevel="0" collapsed="false">
      <c r="A179" s="29" t="s">
        <v>129</v>
      </c>
      <c r="B179" s="29"/>
      <c r="C179" s="30" t="n">
        <f aca="false">SUMIF(Détail!$D:$D,"DUBAI DUTY FREE",Détail!$E:$E)</f>
        <v>-216.88</v>
      </c>
    </row>
    <row r="180" customFormat="false" ht="15" hidden="false" customHeight="true" outlineLevel="0" collapsed="false">
      <c r="A180" s="24" t="s">
        <v>63</v>
      </c>
      <c r="B180" s="24" t="s">
        <v>64</v>
      </c>
    </row>
    <row r="181" customFormat="false" ht="15" hidden="false" customHeight="true" outlineLevel="0" collapsed="false">
      <c r="A181" s="8" t="s">
        <v>65</v>
      </c>
      <c r="B181" s="31" t="n">
        <f aca="false">SUMIFS(Détail!$E:$E,Détail!$D:$D,"DUBAI DUTY FREE",Détail!$A:$A,"&gt;="&amp;DATE(2025,1,1),Détail!$A:$A,"&lt;"&amp;EDATE(DATE(2025,1,1),1))</f>
        <v>0</v>
      </c>
    </row>
    <row r="182" customFormat="false" ht="15" hidden="false" customHeight="true" outlineLevel="0" collapsed="false">
      <c r="A182" s="8" t="s">
        <v>66</v>
      </c>
      <c r="B182" s="31" t="n">
        <f aca="false">SUMIFS(Détail!$E:$E,Détail!$D:$D,"DUBAI DUTY FREE",Détail!$A:$A,"&gt;="&amp;DATE(2025,2,1),Détail!$A:$A,"&lt;"&amp;EDATE(DATE(2025,2,1),1))</f>
        <v>0</v>
      </c>
    </row>
    <row r="183" customFormat="false" ht="15" hidden="false" customHeight="true" outlineLevel="0" collapsed="false">
      <c r="A183" s="8" t="s">
        <v>67</v>
      </c>
      <c r="B183" s="31" t="n">
        <f aca="false">SUMIFS(Détail!$E:$E,Détail!$D:$D,"DUBAI DUTY FREE",Détail!$A:$A,"&gt;="&amp;DATE(2025,3,1),Détail!$A:$A,"&lt;"&amp;EDATE(DATE(2025,3,1),1))</f>
        <v>0</v>
      </c>
    </row>
    <row r="184" customFormat="false" ht="15" hidden="false" customHeight="true" outlineLevel="0" collapsed="false">
      <c r="A184" s="8" t="s">
        <v>68</v>
      </c>
      <c r="B184" s="31" t="n">
        <f aca="false">SUMIFS(Détail!$E:$E,Détail!$D:$D,"DUBAI DUTY FREE",Détail!$A:$A,"&gt;="&amp;DATE(2025,4,1),Détail!$A:$A,"&lt;"&amp;EDATE(DATE(2025,4,1),1))</f>
        <v>0</v>
      </c>
    </row>
    <row r="185" customFormat="false" ht="15" hidden="false" customHeight="true" outlineLevel="0" collapsed="false">
      <c r="A185" s="8" t="s">
        <v>69</v>
      </c>
      <c r="B185" s="31" t="n">
        <f aca="false">SUMIFS(Détail!$E:$E,Détail!$D:$D,"DUBAI DUTY FREE",Détail!$A:$A,"&gt;="&amp;DATE(2025,5,1),Détail!$A:$A,"&lt;"&amp;EDATE(DATE(2025,5,1),1))</f>
        <v>0</v>
      </c>
    </row>
    <row r="186" customFormat="false" ht="15" hidden="false" customHeight="true" outlineLevel="0" collapsed="false">
      <c r="A186" s="8" t="s">
        <v>70</v>
      </c>
      <c r="B186" s="31" t="n">
        <f aca="false">SUMIFS(Détail!$E:$E,Détail!$D:$D,"DUBAI DUTY FREE",Détail!$A:$A,"&gt;="&amp;DATE(2025,6,1),Détail!$A:$A,"&lt;"&amp;EDATE(DATE(2025,6,1),1))</f>
        <v>0</v>
      </c>
    </row>
    <row r="187" customFormat="false" ht="15" hidden="false" customHeight="true" outlineLevel="0" collapsed="false">
      <c r="A187" s="8" t="s">
        <v>71</v>
      </c>
      <c r="B187" s="31" t="n">
        <f aca="false">SUMIFS(Détail!$E:$E,Détail!$D:$D,"DUBAI DUTY FREE",Détail!$A:$A,"&gt;="&amp;DATE(2025,7,1),Détail!$A:$A,"&lt;"&amp;EDATE(DATE(2025,7,1),1))</f>
        <v>0</v>
      </c>
    </row>
    <row r="188" customFormat="false" ht="15" hidden="false" customHeight="true" outlineLevel="0" collapsed="false">
      <c r="A188" s="8" t="s">
        <v>72</v>
      </c>
      <c r="B188" s="31" t="n">
        <f aca="false">SUMIFS(Détail!$E:$E,Détail!$D:$D,"DUBAI DUTY FREE",Détail!$A:$A,"&gt;="&amp;DATE(2025,8,1),Détail!$A:$A,"&lt;"&amp;EDATE(DATE(2025,8,1),1))</f>
        <v>0</v>
      </c>
    </row>
    <row r="189" customFormat="false" ht="15" hidden="false" customHeight="true" outlineLevel="0" collapsed="false">
      <c r="A189" s="8" t="s">
        <v>73</v>
      </c>
      <c r="B189" s="31" t="n">
        <f aca="false">SUMIFS(Détail!$E:$E,Détail!$D:$D,"DUBAI DUTY FREE",Détail!$A:$A,"&gt;="&amp;DATE(2025,9,1),Détail!$A:$A,"&lt;"&amp;EDATE(DATE(2025,9,1),1))</f>
        <v>0</v>
      </c>
    </row>
    <row r="190" customFormat="false" ht="15" hidden="false" customHeight="true" outlineLevel="0" collapsed="false">
      <c r="A190" s="8" t="s">
        <v>74</v>
      </c>
      <c r="B190" s="31" t="n">
        <f aca="false">SUMIFS(Détail!$E:$E,Détail!$D:$D,"DUBAI DUTY FREE",Détail!$A:$A,"&gt;="&amp;DATE(2025,10,1),Détail!$A:$A,"&lt;"&amp;EDATE(DATE(2025,10,1),1))</f>
        <v>0</v>
      </c>
    </row>
    <row r="191" customFormat="false" ht="15" hidden="false" customHeight="true" outlineLevel="0" collapsed="false">
      <c r="A191" s="8" t="s">
        <v>75</v>
      </c>
      <c r="B191" s="31" t="n">
        <f aca="false">SUMIFS(Détail!$E:$E,Détail!$D:$D,"DUBAI DUTY FREE",Détail!$A:$A,"&gt;="&amp;DATE(2025,11,1),Détail!$A:$A,"&lt;"&amp;EDATE(DATE(2025,11,1),1))</f>
        <v>-216.88</v>
      </c>
    </row>
    <row r="192" customFormat="false" ht="15" hidden="false" customHeight="true" outlineLevel="0" collapsed="false">
      <c r="A192" s="8" t="s">
        <v>76</v>
      </c>
      <c r="B192" s="31" t="n">
        <f aca="false">SUMIFS(Détail!$E:$E,Détail!$D:$D,"DUBAI DUTY FREE",Détail!$A:$A,"&gt;="&amp;DATE(2025,12,1),Détail!$A:$A,"&lt;"&amp;EDATE(DATE(2025,12,1),1))</f>
        <v>0</v>
      </c>
    </row>
    <row r="195" customFormat="false" ht="15" hidden="false" customHeight="true" outlineLevel="0" collapsed="false">
      <c r="A195" s="29" t="s">
        <v>130</v>
      </c>
      <c r="B195" s="29"/>
      <c r="C195" s="30" t="n">
        <f aca="false">SUMIF(Détail!$D:$D,"TERME MILANO S.",Détail!$E:$E)</f>
        <v>-206</v>
      </c>
    </row>
    <row r="196" customFormat="false" ht="15" hidden="false" customHeight="true" outlineLevel="0" collapsed="false">
      <c r="A196" s="24" t="s">
        <v>63</v>
      </c>
      <c r="B196" s="24" t="s">
        <v>64</v>
      </c>
    </row>
    <row r="197" customFormat="false" ht="15" hidden="false" customHeight="true" outlineLevel="0" collapsed="false">
      <c r="A197" s="8" t="s">
        <v>65</v>
      </c>
      <c r="B197" s="31" t="n">
        <f aca="false">SUMIFS(Détail!$E:$E,Détail!$D:$D,"TERME MILANO S.",Détail!$A:$A,"&gt;="&amp;DATE(2025,1,1),Détail!$A:$A,"&lt;"&amp;EDATE(DATE(2025,1,1),1))</f>
        <v>0</v>
      </c>
    </row>
    <row r="198" customFormat="false" ht="15" hidden="false" customHeight="true" outlineLevel="0" collapsed="false">
      <c r="A198" s="8" t="s">
        <v>66</v>
      </c>
      <c r="B198" s="31" t="n">
        <f aca="false">SUMIFS(Détail!$E:$E,Détail!$D:$D,"TERME MILANO S.",Détail!$A:$A,"&gt;="&amp;DATE(2025,2,1),Détail!$A:$A,"&lt;"&amp;EDATE(DATE(2025,2,1),1))</f>
        <v>-206</v>
      </c>
    </row>
    <row r="199" customFormat="false" ht="15" hidden="false" customHeight="true" outlineLevel="0" collapsed="false">
      <c r="A199" s="8" t="s">
        <v>67</v>
      </c>
      <c r="B199" s="31" t="n">
        <f aca="false">SUMIFS(Détail!$E:$E,Détail!$D:$D,"TERME MILANO S.",Détail!$A:$A,"&gt;="&amp;DATE(2025,3,1),Détail!$A:$A,"&lt;"&amp;EDATE(DATE(2025,3,1),1))</f>
        <v>0</v>
      </c>
    </row>
    <row r="200" customFormat="false" ht="15" hidden="false" customHeight="true" outlineLevel="0" collapsed="false">
      <c r="A200" s="8" t="s">
        <v>68</v>
      </c>
      <c r="B200" s="31" t="n">
        <f aca="false">SUMIFS(Détail!$E:$E,Détail!$D:$D,"TERME MILANO S.",Détail!$A:$A,"&gt;="&amp;DATE(2025,4,1),Détail!$A:$A,"&lt;"&amp;EDATE(DATE(2025,4,1),1))</f>
        <v>0</v>
      </c>
    </row>
    <row r="201" customFormat="false" ht="15" hidden="false" customHeight="true" outlineLevel="0" collapsed="false">
      <c r="A201" s="8" t="s">
        <v>69</v>
      </c>
      <c r="B201" s="31" t="n">
        <f aca="false">SUMIFS(Détail!$E:$E,Détail!$D:$D,"TERME MILANO S.",Détail!$A:$A,"&gt;="&amp;DATE(2025,5,1),Détail!$A:$A,"&lt;"&amp;EDATE(DATE(2025,5,1),1))</f>
        <v>0</v>
      </c>
    </row>
    <row r="202" customFormat="false" ht="15" hidden="false" customHeight="true" outlineLevel="0" collapsed="false">
      <c r="A202" s="8" t="s">
        <v>70</v>
      </c>
      <c r="B202" s="31" t="n">
        <f aca="false">SUMIFS(Détail!$E:$E,Détail!$D:$D,"TERME MILANO S.",Détail!$A:$A,"&gt;="&amp;DATE(2025,6,1),Détail!$A:$A,"&lt;"&amp;EDATE(DATE(2025,6,1),1))</f>
        <v>0</v>
      </c>
    </row>
    <row r="203" customFormat="false" ht="15" hidden="false" customHeight="true" outlineLevel="0" collapsed="false">
      <c r="A203" s="8" t="s">
        <v>71</v>
      </c>
      <c r="B203" s="31" t="n">
        <f aca="false">SUMIFS(Détail!$E:$E,Détail!$D:$D,"TERME MILANO S.",Détail!$A:$A,"&gt;="&amp;DATE(2025,7,1),Détail!$A:$A,"&lt;"&amp;EDATE(DATE(2025,7,1),1))</f>
        <v>0</v>
      </c>
    </row>
    <row r="204" customFormat="false" ht="15" hidden="false" customHeight="true" outlineLevel="0" collapsed="false">
      <c r="A204" s="8" t="s">
        <v>72</v>
      </c>
      <c r="B204" s="31" t="n">
        <f aca="false">SUMIFS(Détail!$E:$E,Détail!$D:$D,"TERME MILANO S.",Détail!$A:$A,"&gt;="&amp;DATE(2025,8,1),Détail!$A:$A,"&lt;"&amp;EDATE(DATE(2025,8,1),1))</f>
        <v>0</v>
      </c>
    </row>
    <row r="205" customFormat="false" ht="15" hidden="false" customHeight="true" outlineLevel="0" collapsed="false">
      <c r="A205" s="8" t="s">
        <v>73</v>
      </c>
      <c r="B205" s="31" t="n">
        <f aca="false">SUMIFS(Détail!$E:$E,Détail!$D:$D,"TERME MILANO S.",Détail!$A:$A,"&gt;="&amp;DATE(2025,9,1),Détail!$A:$A,"&lt;"&amp;EDATE(DATE(2025,9,1),1))</f>
        <v>0</v>
      </c>
    </row>
    <row r="206" customFormat="false" ht="15" hidden="false" customHeight="true" outlineLevel="0" collapsed="false">
      <c r="A206" s="8" t="s">
        <v>74</v>
      </c>
      <c r="B206" s="31" t="n">
        <f aca="false">SUMIFS(Détail!$E:$E,Détail!$D:$D,"TERME MILANO S.",Détail!$A:$A,"&gt;="&amp;DATE(2025,10,1),Détail!$A:$A,"&lt;"&amp;EDATE(DATE(2025,10,1),1))</f>
        <v>0</v>
      </c>
    </row>
    <row r="207" customFormat="false" ht="15" hidden="false" customHeight="true" outlineLevel="0" collapsed="false">
      <c r="A207" s="8" t="s">
        <v>75</v>
      </c>
      <c r="B207" s="31" t="n">
        <f aca="false">SUMIFS(Détail!$E:$E,Détail!$D:$D,"TERME MILANO S.",Détail!$A:$A,"&gt;="&amp;DATE(2025,11,1),Détail!$A:$A,"&lt;"&amp;EDATE(DATE(2025,11,1),1))</f>
        <v>0</v>
      </c>
    </row>
    <row r="208" customFormat="false" ht="15" hidden="false" customHeight="true" outlineLevel="0" collapsed="false">
      <c r="A208" s="8" t="s">
        <v>76</v>
      </c>
      <c r="B208" s="31" t="n">
        <f aca="false">SUMIFS(Détail!$E:$E,Détail!$D:$D,"TERME MILANO S.",Détail!$A:$A,"&gt;="&amp;DATE(2025,12,1),Détail!$A:$A,"&lt;"&amp;EDATE(DATE(2025,12,1),1))</f>
        <v>0</v>
      </c>
    </row>
    <row r="211" customFormat="false" ht="15" hidden="false" customHeight="true" outlineLevel="0" collapsed="false">
      <c r="A211" s="29" t="s">
        <v>131</v>
      </c>
      <c r="B211" s="29"/>
      <c r="C211" s="30" t="n">
        <f aca="false">SUMIF(Détail!$D:$D,"UBER",Détail!$E:$E)</f>
        <v>-176.85</v>
      </c>
    </row>
    <row r="212" customFormat="false" ht="15" hidden="false" customHeight="true" outlineLevel="0" collapsed="false">
      <c r="A212" s="24" t="s">
        <v>63</v>
      </c>
      <c r="B212" s="24" t="s">
        <v>64</v>
      </c>
    </row>
    <row r="213" customFormat="false" ht="15" hidden="false" customHeight="true" outlineLevel="0" collapsed="false">
      <c r="A213" s="8" t="s">
        <v>65</v>
      </c>
      <c r="B213" s="31" t="n">
        <f aca="false">SUMIFS(Détail!$E:$E,Détail!$D:$D,"UBER",Détail!$A:$A,"&gt;="&amp;DATE(2025,1,1),Détail!$A:$A,"&lt;"&amp;EDATE(DATE(2025,1,1),1))</f>
        <v>0</v>
      </c>
    </row>
    <row r="214" customFormat="false" ht="15" hidden="false" customHeight="true" outlineLevel="0" collapsed="false">
      <c r="A214" s="8" t="s">
        <v>66</v>
      </c>
      <c r="B214" s="31" t="n">
        <f aca="false">SUMIFS(Détail!$E:$E,Détail!$D:$D,"UBER",Détail!$A:$A,"&gt;="&amp;DATE(2025,2,1),Détail!$A:$A,"&lt;"&amp;EDATE(DATE(2025,2,1),1))</f>
        <v>0</v>
      </c>
    </row>
    <row r="215" customFormat="false" ht="15" hidden="false" customHeight="true" outlineLevel="0" collapsed="false">
      <c r="A215" s="8" t="s">
        <v>67</v>
      </c>
      <c r="B215" s="31" t="n">
        <f aca="false">SUMIFS(Détail!$E:$E,Détail!$D:$D,"UBER",Détail!$A:$A,"&gt;="&amp;DATE(2025,3,1),Détail!$A:$A,"&lt;"&amp;EDATE(DATE(2025,3,1),1))</f>
        <v>0</v>
      </c>
    </row>
    <row r="216" customFormat="false" ht="15" hidden="false" customHeight="true" outlineLevel="0" collapsed="false">
      <c r="A216" s="8" t="s">
        <v>68</v>
      </c>
      <c r="B216" s="31" t="n">
        <f aca="false">SUMIFS(Détail!$E:$E,Détail!$D:$D,"UBER",Détail!$A:$A,"&gt;="&amp;DATE(2025,4,1),Détail!$A:$A,"&lt;"&amp;EDATE(DATE(2025,4,1),1))</f>
        <v>0</v>
      </c>
    </row>
    <row r="217" customFormat="false" ht="15" hidden="false" customHeight="true" outlineLevel="0" collapsed="false">
      <c r="A217" s="8" t="s">
        <v>69</v>
      </c>
      <c r="B217" s="31" t="n">
        <f aca="false">SUMIFS(Détail!$E:$E,Détail!$D:$D,"UBER",Détail!$A:$A,"&gt;="&amp;DATE(2025,5,1),Détail!$A:$A,"&lt;"&amp;EDATE(DATE(2025,5,1),1))</f>
        <v>0</v>
      </c>
    </row>
    <row r="218" customFormat="false" ht="15" hidden="false" customHeight="true" outlineLevel="0" collapsed="false">
      <c r="A218" s="8" t="s">
        <v>70</v>
      </c>
      <c r="B218" s="31" t="n">
        <f aca="false">SUMIFS(Détail!$E:$E,Détail!$D:$D,"UBER",Détail!$A:$A,"&gt;="&amp;DATE(2025,6,1),Détail!$A:$A,"&lt;"&amp;EDATE(DATE(2025,6,1),1))</f>
        <v>0</v>
      </c>
    </row>
    <row r="219" customFormat="false" ht="15" hidden="false" customHeight="true" outlineLevel="0" collapsed="false">
      <c r="A219" s="8" t="s">
        <v>71</v>
      </c>
      <c r="B219" s="31" t="n">
        <f aca="false">SUMIFS(Détail!$E:$E,Détail!$D:$D,"UBER",Détail!$A:$A,"&gt;="&amp;DATE(2025,7,1),Détail!$A:$A,"&lt;"&amp;EDATE(DATE(2025,7,1),1))</f>
        <v>-12.25</v>
      </c>
    </row>
    <row r="220" customFormat="false" ht="15" hidden="false" customHeight="true" outlineLevel="0" collapsed="false">
      <c r="A220" s="8" t="s">
        <v>72</v>
      </c>
      <c r="B220" s="31" t="n">
        <f aca="false">SUMIFS(Détail!$E:$E,Détail!$D:$D,"UBER",Détail!$A:$A,"&gt;="&amp;DATE(2025,8,1),Détail!$A:$A,"&lt;"&amp;EDATE(DATE(2025,8,1),1))</f>
        <v>-38.41</v>
      </c>
    </row>
    <row r="221" customFormat="false" ht="15" hidden="false" customHeight="true" outlineLevel="0" collapsed="false">
      <c r="A221" s="8" t="s">
        <v>73</v>
      </c>
      <c r="B221" s="31" t="n">
        <f aca="false">SUMIFS(Détail!$E:$E,Détail!$D:$D,"UBER",Détail!$A:$A,"&gt;="&amp;DATE(2025,9,1),Détail!$A:$A,"&lt;"&amp;EDATE(DATE(2025,9,1),1))</f>
        <v>-92.49</v>
      </c>
    </row>
    <row r="222" customFormat="false" ht="15" hidden="false" customHeight="true" outlineLevel="0" collapsed="false">
      <c r="A222" s="8" t="s">
        <v>74</v>
      </c>
      <c r="B222" s="31" t="n">
        <f aca="false">SUMIFS(Détail!$E:$E,Détail!$D:$D,"UBER",Détail!$A:$A,"&gt;="&amp;DATE(2025,10,1),Détail!$A:$A,"&lt;"&amp;EDATE(DATE(2025,10,1),1))</f>
        <v>0</v>
      </c>
    </row>
    <row r="223" customFormat="false" ht="15" hidden="false" customHeight="true" outlineLevel="0" collapsed="false">
      <c r="A223" s="8" t="s">
        <v>75</v>
      </c>
      <c r="B223" s="31" t="n">
        <f aca="false">SUMIFS(Détail!$E:$E,Détail!$D:$D,"UBER",Détail!$A:$A,"&gt;="&amp;DATE(2025,11,1),Détail!$A:$A,"&lt;"&amp;EDATE(DATE(2025,11,1),1))</f>
        <v>0</v>
      </c>
    </row>
    <row r="224" customFormat="false" ht="15" hidden="false" customHeight="true" outlineLevel="0" collapsed="false">
      <c r="A224" s="8" t="s">
        <v>76</v>
      </c>
      <c r="B224" s="31" t="n">
        <f aca="false">SUMIFS(Détail!$E:$E,Détail!$D:$D,"UBER",Détail!$A:$A,"&gt;="&amp;DATE(2025,12,1),Détail!$A:$A,"&lt;"&amp;EDATE(DATE(2025,12,1),1))</f>
        <v>-33.7</v>
      </c>
    </row>
    <row r="227" customFormat="false" ht="15" hidden="false" customHeight="true" outlineLevel="0" collapsed="false">
      <c r="A227" s="29" t="s">
        <v>132</v>
      </c>
      <c r="B227" s="29"/>
      <c r="C227" s="30" t="n">
        <f aca="false">SUMIF(Détail!$D:$D,"SP HOLAFLY.COM",Détail!$E:$E)</f>
        <v>-46.9</v>
      </c>
    </row>
    <row r="228" customFormat="false" ht="15" hidden="false" customHeight="true" outlineLevel="0" collapsed="false">
      <c r="A228" s="24" t="s">
        <v>63</v>
      </c>
      <c r="B228" s="24" t="s">
        <v>64</v>
      </c>
    </row>
    <row r="229" customFormat="false" ht="15" hidden="false" customHeight="true" outlineLevel="0" collapsed="false">
      <c r="A229" s="8" t="s">
        <v>65</v>
      </c>
      <c r="B229" s="31" t="n">
        <f aca="false">SUMIFS(Détail!$E:$E,Détail!$D:$D,"SP HOLAFLY.COM",Détail!$A:$A,"&gt;="&amp;DATE(2025,1,1),Détail!$A:$A,"&lt;"&amp;EDATE(DATE(2025,1,1),1))</f>
        <v>0</v>
      </c>
    </row>
    <row r="230" customFormat="false" ht="15" hidden="false" customHeight="true" outlineLevel="0" collapsed="false">
      <c r="A230" s="8" t="s">
        <v>66</v>
      </c>
      <c r="B230" s="31" t="n">
        <f aca="false">SUMIFS(Détail!$E:$E,Détail!$D:$D,"SP HOLAFLY.COM",Détail!$A:$A,"&gt;="&amp;DATE(2025,2,1),Détail!$A:$A,"&lt;"&amp;EDATE(DATE(2025,2,1),1))</f>
        <v>0</v>
      </c>
    </row>
    <row r="231" customFormat="false" ht="15" hidden="false" customHeight="true" outlineLevel="0" collapsed="false">
      <c r="A231" s="8" t="s">
        <v>67</v>
      </c>
      <c r="B231" s="31" t="n">
        <f aca="false">SUMIFS(Détail!$E:$E,Détail!$D:$D,"SP HOLAFLY.COM",Détail!$A:$A,"&gt;="&amp;DATE(2025,3,1),Détail!$A:$A,"&lt;"&amp;EDATE(DATE(2025,3,1),1))</f>
        <v>0</v>
      </c>
    </row>
    <row r="232" customFormat="false" ht="15" hidden="false" customHeight="true" outlineLevel="0" collapsed="false">
      <c r="A232" s="8" t="s">
        <v>68</v>
      </c>
      <c r="B232" s="31" t="n">
        <f aca="false">SUMIFS(Détail!$E:$E,Détail!$D:$D,"SP HOLAFLY.COM",Détail!$A:$A,"&gt;="&amp;DATE(2025,4,1),Détail!$A:$A,"&lt;"&amp;EDATE(DATE(2025,4,1),1))</f>
        <v>-46.9</v>
      </c>
    </row>
    <row r="233" customFormat="false" ht="15" hidden="false" customHeight="true" outlineLevel="0" collapsed="false">
      <c r="A233" s="8" t="s">
        <v>69</v>
      </c>
      <c r="B233" s="31" t="n">
        <f aca="false">SUMIFS(Détail!$E:$E,Détail!$D:$D,"SP HOLAFLY.COM",Détail!$A:$A,"&gt;="&amp;DATE(2025,5,1),Détail!$A:$A,"&lt;"&amp;EDATE(DATE(2025,5,1),1))</f>
        <v>0</v>
      </c>
    </row>
    <row r="234" customFormat="false" ht="15" hidden="false" customHeight="true" outlineLevel="0" collapsed="false">
      <c r="A234" s="8" t="s">
        <v>70</v>
      </c>
      <c r="B234" s="31" t="n">
        <f aca="false">SUMIFS(Détail!$E:$E,Détail!$D:$D,"SP HOLAFLY.COM",Détail!$A:$A,"&gt;="&amp;DATE(2025,6,1),Détail!$A:$A,"&lt;"&amp;EDATE(DATE(2025,6,1),1))</f>
        <v>0</v>
      </c>
    </row>
    <row r="235" customFormat="false" ht="15" hidden="false" customHeight="true" outlineLevel="0" collapsed="false">
      <c r="A235" s="8" t="s">
        <v>71</v>
      </c>
      <c r="B235" s="31" t="n">
        <f aca="false">SUMIFS(Détail!$E:$E,Détail!$D:$D,"SP HOLAFLY.COM",Détail!$A:$A,"&gt;="&amp;DATE(2025,7,1),Détail!$A:$A,"&lt;"&amp;EDATE(DATE(2025,7,1),1))</f>
        <v>0</v>
      </c>
    </row>
    <row r="236" customFormat="false" ht="15" hidden="false" customHeight="true" outlineLevel="0" collapsed="false">
      <c r="A236" s="8" t="s">
        <v>72</v>
      </c>
      <c r="B236" s="31" t="n">
        <f aca="false">SUMIFS(Détail!$E:$E,Détail!$D:$D,"SP HOLAFLY.COM",Détail!$A:$A,"&gt;="&amp;DATE(2025,8,1),Détail!$A:$A,"&lt;"&amp;EDATE(DATE(2025,8,1),1))</f>
        <v>0</v>
      </c>
    </row>
    <row r="237" customFormat="false" ht="15" hidden="false" customHeight="true" outlineLevel="0" collapsed="false">
      <c r="A237" s="8" t="s">
        <v>73</v>
      </c>
      <c r="B237" s="31" t="n">
        <f aca="false">SUMIFS(Détail!$E:$E,Détail!$D:$D,"SP HOLAFLY.COM",Détail!$A:$A,"&gt;="&amp;DATE(2025,9,1),Détail!$A:$A,"&lt;"&amp;EDATE(DATE(2025,9,1),1))</f>
        <v>0</v>
      </c>
    </row>
    <row r="238" customFormat="false" ht="15" hidden="false" customHeight="true" outlineLevel="0" collapsed="false">
      <c r="A238" s="8" t="s">
        <v>74</v>
      </c>
      <c r="B238" s="31" t="n">
        <f aca="false">SUMIFS(Détail!$E:$E,Détail!$D:$D,"SP HOLAFLY.COM",Détail!$A:$A,"&gt;="&amp;DATE(2025,10,1),Détail!$A:$A,"&lt;"&amp;EDATE(DATE(2025,10,1),1))</f>
        <v>0</v>
      </c>
    </row>
    <row r="239" customFormat="false" ht="15" hidden="false" customHeight="true" outlineLevel="0" collapsed="false">
      <c r="A239" s="8" t="s">
        <v>75</v>
      </c>
      <c r="B239" s="31" t="n">
        <f aca="false">SUMIFS(Détail!$E:$E,Détail!$D:$D,"SP HOLAFLY.COM",Détail!$A:$A,"&gt;="&amp;DATE(2025,11,1),Détail!$A:$A,"&lt;"&amp;EDATE(DATE(2025,11,1),1))</f>
        <v>0</v>
      </c>
    </row>
    <row r="240" customFormat="false" ht="15" hidden="false" customHeight="true" outlineLevel="0" collapsed="false">
      <c r="A240" s="8" t="s">
        <v>76</v>
      </c>
      <c r="B240" s="31" t="n">
        <f aca="false">SUMIFS(Détail!$E:$E,Détail!$D:$D,"SP HOLAFLY.COM",Détail!$A:$A,"&gt;="&amp;DATE(2025,12,1),Détail!$A:$A,"&lt;"&amp;EDATE(DATE(2025,12,1),1))</f>
        <v>0</v>
      </c>
    </row>
    <row r="243" customFormat="false" ht="15" hidden="false" customHeight="true" outlineLevel="0" collapsed="false">
      <c r="A243" s="29" t="s">
        <v>133</v>
      </c>
      <c r="B243" s="29"/>
      <c r="C243" s="30" t="n">
        <f aca="false">SUMIF(Détail!$D:$D,"RELAIS MILLAU L",Détail!$E:$E)</f>
        <v>-41.19</v>
      </c>
    </row>
    <row r="244" customFormat="false" ht="15" hidden="false" customHeight="true" outlineLevel="0" collapsed="false">
      <c r="A244" s="24" t="s">
        <v>63</v>
      </c>
      <c r="B244" s="24" t="s">
        <v>64</v>
      </c>
    </row>
    <row r="245" customFormat="false" ht="15" hidden="false" customHeight="true" outlineLevel="0" collapsed="false">
      <c r="A245" s="8" t="s">
        <v>65</v>
      </c>
      <c r="B245" s="31" t="n">
        <f aca="false">SUMIFS(Détail!$E:$E,Détail!$D:$D,"RELAIS MILLAU L",Détail!$A:$A,"&gt;="&amp;DATE(2025,1,1),Détail!$A:$A,"&lt;"&amp;EDATE(DATE(2025,1,1),1))</f>
        <v>0</v>
      </c>
    </row>
    <row r="246" customFormat="false" ht="15" hidden="false" customHeight="true" outlineLevel="0" collapsed="false">
      <c r="A246" s="8" t="s">
        <v>66</v>
      </c>
      <c r="B246" s="31" t="n">
        <f aca="false">SUMIFS(Détail!$E:$E,Détail!$D:$D,"RELAIS MILLAU L",Détail!$A:$A,"&gt;="&amp;DATE(2025,2,1),Détail!$A:$A,"&lt;"&amp;EDATE(DATE(2025,2,1),1))</f>
        <v>0</v>
      </c>
    </row>
    <row r="247" customFormat="false" ht="15" hidden="false" customHeight="true" outlineLevel="0" collapsed="false">
      <c r="A247" s="8" t="s">
        <v>67</v>
      </c>
      <c r="B247" s="31" t="n">
        <f aca="false">SUMIFS(Détail!$E:$E,Détail!$D:$D,"RELAIS MILLAU L",Détail!$A:$A,"&gt;="&amp;DATE(2025,3,1),Détail!$A:$A,"&lt;"&amp;EDATE(DATE(2025,3,1),1))</f>
        <v>0</v>
      </c>
    </row>
    <row r="248" customFormat="false" ht="15" hidden="false" customHeight="true" outlineLevel="0" collapsed="false">
      <c r="A248" s="8" t="s">
        <v>68</v>
      </c>
      <c r="B248" s="31" t="n">
        <f aca="false">SUMIFS(Détail!$E:$E,Détail!$D:$D,"RELAIS MILLAU L",Détail!$A:$A,"&gt;="&amp;DATE(2025,4,1),Détail!$A:$A,"&lt;"&amp;EDATE(DATE(2025,4,1),1))</f>
        <v>0</v>
      </c>
    </row>
    <row r="249" customFormat="false" ht="15" hidden="false" customHeight="true" outlineLevel="0" collapsed="false">
      <c r="A249" s="8" t="s">
        <v>69</v>
      </c>
      <c r="B249" s="31" t="n">
        <f aca="false">SUMIFS(Détail!$E:$E,Détail!$D:$D,"RELAIS MILLAU L",Détail!$A:$A,"&gt;="&amp;DATE(2025,5,1),Détail!$A:$A,"&lt;"&amp;EDATE(DATE(2025,5,1),1))</f>
        <v>0</v>
      </c>
    </row>
    <row r="250" customFormat="false" ht="15" hidden="false" customHeight="true" outlineLevel="0" collapsed="false">
      <c r="A250" s="8" t="s">
        <v>70</v>
      </c>
      <c r="B250" s="31" t="n">
        <f aca="false">SUMIFS(Détail!$E:$E,Détail!$D:$D,"RELAIS MILLAU L",Détail!$A:$A,"&gt;="&amp;DATE(2025,6,1),Détail!$A:$A,"&lt;"&amp;EDATE(DATE(2025,6,1),1))</f>
        <v>0</v>
      </c>
    </row>
    <row r="251" customFormat="false" ht="15" hidden="false" customHeight="true" outlineLevel="0" collapsed="false">
      <c r="A251" s="8" t="s">
        <v>71</v>
      </c>
      <c r="B251" s="31" t="n">
        <f aca="false">SUMIFS(Détail!$E:$E,Détail!$D:$D,"RELAIS MILLAU L",Détail!$A:$A,"&gt;="&amp;DATE(2025,7,1),Détail!$A:$A,"&lt;"&amp;EDATE(DATE(2025,7,1),1))</f>
        <v>0</v>
      </c>
    </row>
    <row r="252" customFormat="false" ht="15" hidden="false" customHeight="true" outlineLevel="0" collapsed="false">
      <c r="A252" s="8" t="s">
        <v>72</v>
      </c>
      <c r="B252" s="31" t="n">
        <f aca="false">SUMIFS(Détail!$E:$E,Détail!$D:$D,"RELAIS MILLAU L",Détail!$A:$A,"&gt;="&amp;DATE(2025,8,1),Détail!$A:$A,"&lt;"&amp;EDATE(DATE(2025,8,1),1))</f>
        <v>-41.19</v>
      </c>
    </row>
    <row r="253" customFormat="false" ht="15" hidden="false" customHeight="true" outlineLevel="0" collapsed="false">
      <c r="A253" s="8" t="s">
        <v>73</v>
      </c>
      <c r="B253" s="31" t="n">
        <f aca="false">SUMIFS(Détail!$E:$E,Détail!$D:$D,"RELAIS MILLAU L",Détail!$A:$A,"&gt;="&amp;DATE(2025,9,1),Détail!$A:$A,"&lt;"&amp;EDATE(DATE(2025,9,1),1))</f>
        <v>0</v>
      </c>
    </row>
    <row r="254" customFormat="false" ht="15" hidden="false" customHeight="true" outlineLevel="0" collapsed="false">
      <c r="A254" s="8" t="s">
        <v>74</v>
      </c>
      <c r="B254" s="31" t="n">
        <f aca="false">SUMIFS(Détail!$E:$E,Détail!$D:$D,"RELAIS MILLAU L",Détail!$A:$A,"&gt;="&amp;DATE(2025,10,1),Détail!$A:$A,"&lt;"&amp;EDATE(DATE(2025,10,1),1))</f>
        <v>0</v>
      </c>
    </row>
    <row r="255" customFormat="false" ht="15" hidden="false" customHeight="true" outlineLevel="0" collapsed="false">
      <c r="A255" s="8" t="s">
        <v>75</v>
      </c>
      <c r="B255" s="31" t="n">
        <f aca="false">SUMIFS(Détail!$E:$E,Détail!$D:$D,"RELAIS MILLAU L",Détail!$A:$A,"&gt;="&amp;DATE(2025,11,1),Détail!$A:$A,"&lt;"&amp;EDATE(DATE(2025,11,1),1))</f>
        <v>0</v>
      </c>
    </row>
    <row r="256" customFormat="false" ht="15" hidden="false" customHeight="true" outlineLevel="0" collapsed="false">
      <c r="A256" s="8" t="s">
        <v>76</v>
      </c>
      <c r="B256" s="31" t="n">
        <f aca="false">SUMIFS(Détail!$E:$E,Détail!$D:$D,"RELAIS MILLAU L",Détail!$A:$A,"&gt;="&amp;DATE(2025,12,1),Détail!$A:$A,"&lt;"&amp;EDATE(DATE(2025,12,1),1))</f>
        <v>0</v>
      </c>
    </row>
    <row r="259" customFormat="false" ht="15" hidden="false" customHeight="true" outlineLevel="0" collapsed="false">
      <c r="A259" s="29" t="s">
        <v>134</v>
      </c>
      <c r="B259" s="29"/>
      <c r="C259" s="30" t="n">
        <f aca="false">SUMIF(Détail!$D:$D,"ISTANBUL TAXIM",Détail!$E:$E)</f>
        <v>-32</v>
      </c>
    </row>
    <row r="260" customFormat="false" ht="15" hidden="false" customHeight="true" outlineLevel="0" collapsed="false">
      <c r="A260" s="24" t="s">
        <v>63</v>
      </c>
      <c r="B260" s="24" t="s">
        <v>64</v>
      </c>
    </row>
    <row r="261" customFormat="false" ht="15" hidden="false" customHeight="true" outlineLevel="0" collapsed="false">
      <c r="A261" s="8" t="s">
        <v>65</v>
      </c>
      <c r="B261" s="31" t="n">
        <f aca="false">SUMIFS(Détail!$E:$E,Détail!$D:$D,"ISTANBUL TAXIM",Détail!$A:$A,"&gt;="&amp;DATE(2025,1,1),Détail!$A:$A,"&lt;"&amp;EDATE(DATE(2025,1,1),1))</f>
        <v>0</v>
      </c>
    </row>
    <row r="262" customFormat="false" ht="15" hidden="false" customHeight="true" outlineLevel="0" collapsed="false">
      <c r="A262" s="8" t="s">
        <v>66</v>
      </c>
      <c r="B262" s="31" t="n">
        <f aca="false">SUMIFS(Détail!$E:$E,Détail!$D:$D,"ISTANBUL TAXIM",Détail!$A:$A,"&gt;="&amp;DATE(2025,2,1),Détail!$A:$A,"&lt;"&amp;EDATE(DATE(2025,2,1),1))</f>
        <v>-32</v>
      </c>
    </row>
    <row r="263" customFormat="false" ht="15" hidden="false" customHeight="true" outlineLevel="0" collapsed="false">
      <c r="A263" s="8" t="s">
        <v>67</v>
      </c>
      <c r="B263" s="31" t="n">
        <f aca="false">SUMIFS(Détail!$E:$E,Détail!$D:$D,"ISTANBUL TAXIM",Détail!$A:$A,"&gt;="&amp;DATE(2025,3,1),Détail!$A:$A,"&lt;"&amp;EDATE(DATE(2025,3,1),1))</f>
        <v>0</v>
      </c>
    </row>
    <row r="264" customFormat="false" ht="15" hidden="false" customHeight="true" outlineLevel="0" collapsed="false">
      <c r="A264" s="8" t="s">
        <v>68</v>
      </c>
      <c r="B264" s="31" t="n">
        <f aca="false">SUMIFS(Détail!$E:$E,Détail!$D:$D,"ISTANBUL TAXIM",Détail!$A:$A,"&gt;="&amp;DATE(2025,4,1),Détail!$A:$A,"&lt;"&amp;EDATE(DATE(2025,4,1),1))</f>
        <v>0</v>
      </c>
    </row>
    <row r="265" customFormat="false" ht="15" hidden="false" customHeight="true" outlineLevel="0" collapsed="false">
      <c r="A265" s="8" t="s">
        <v>69</v>
      </c>
      <c r="B265" s="31" t="n">
        <f aca="false">SUMIFS(Détail!$E:$E,Détail!$D:$D,"ISTANBUL TAXIM",Détail!$A:$A,"&gt;="&amp;DATE(2025,5,1),Détail!$A:$A,"&lt;"&amp;EDATE(DATE(2025,5,1),1))</f>
        <v>0</v>
      </c>
    </row>
    <row r="266" customFormat="false" ht="15" hidden="false" customHeight="true" outlineLevel="0" collapsed="false">
      <c r="A266" s="8" t="s">
        <v>70</v>
      </c>
      <c r="B266" s="31" t="n">
        <f aca="false">SUMIFS(Détail!$E:$E,Détail!$D:$D,"ISTANBUL TAXIM",Détail!$A:$A,"&gt;="&amp;DATE(2025,6,1),Détail!$A:$A,"&lt;"&amp;EDATE(DATE(2025,6,1),1))</f>
        <v>0</v>
      </c>
    </row>
    <row r="267" customFormat="false" ht="15" hidden="false" customHeight="true" outlineLevel="0" collapsed="false">
      <c r="A267" s="8" t="s">
        <v>71</v>
      </c>
      <c r="B267" s="31" t="n">
        <f aca="false">SUMIFS(Détail!$E:$E,Détail!$D:$D,"ISTANBUL TAXIM",Détail!$A:$A,"&gt;="&amp;DATE(2025,7,1),Détail!$A:$A,"&lt;"&amp;EDATE(DATE(2025,7,1),1))</f>
        <v>0</v>
      </c>
    </row>
    <row r="268" customFormat="false" ht="15" hidden="false" customHeight="true" outlineLevel="0" collapsed="false">
      <c r="A268" s="8" t="s">
        <v>72</v>
      </c>
      <c r="B268" s="31" t="n">
        <f aca="false">SUMIFS(Détail!$E:$E,Détail!$D:$D,"ISTANBUL TAXIM",Détail!$A:$A,"&gt;="&amp;DATE(2025,8,1),Détail!$A:$A,"&lt;"&amp;EDATE(DATE(2025,8,1),1))</f>
        <v>0</v>
      </c>
    </row>
    <row r="269" customFormat="false" ht="15" hidden="false" customHeight="true" outlineLevel="0" collapsed="false">
      <c r="A269" s="8" t="s">
        <v>73</v>
      </c>
      <c r="B269" s="31" t="n">
        <f aca="false">SUMIFS(Détail!$E:$E,Détail!$D:$D,"ISTANBUL TAXIM",Détail!$A:$A,"&gt;="&amp;DATE(2025,9,1),Détail!$A:$A,"&lt;"&amp;EDATE(DATE(2025,9,1),1))</f>
        <v>0</v>
      </c>
    </row>
    <row r="270" customFormat="false" ht="15" hidden="false" customHeight="true" outlineLevel="0" collapsed="false">
      <c r="A270" s="8" t="s">
        <v>74</v>
      </c>
      <c r="B270" s="31" t="n">
        <f aca="false">SUMIFS(Détail!$E:$E,Détail!$D:$D,"ISTANBUL TAXIM",Détail!$A:$A,"&gt;="&amp;DATE(2025,10,1),Détail!$A:$A,"&lt;"&amp;EDATE(DATE(2025,10,1),1))</f>
        <v>0</v>
      </c>
    </row>
    <row r="271" customFormat="false" ht="15" hidden="false" customHeight="true" outlineLevel="0" collapsed="false">
      <c r="A271" s="8" t="s">
        <v>75</v>
      </c>
      <c r="B271" s="31" t="n">
        <f aca="false">SUMIFS(Détail!$E:$E,Détail!$D:$D,"ISTANBUL TAXIM",Détail!$A:$A,"&gt;="&amp;DATE(2025,11,1),Détail!$A:$A,"&lt;"&amp;EDATE(DATE(2025,11,1),1))</f>
        <v>0</v>
      </c>
    </row>
    <row r="272" customFormat="false" ht="15" hidden="false" customHeight="true" outlineLevel="0" collapsed="false">
      <c r="A272" s="8" t="s">
        <v>76</v>
      </c>
      <c r="B272" s="31" t="n">
        <f aca="false">SUMIFS(Détail!$E:$E,Détail!$D:$D,"ISTANBUL TAXIM",Détail!$A:$A,"&gt;="&amp;DATE(2025,12,1),Détail!$A:$A,"&lt;"&amp;EDATE(DATE(2025,12,1),1))</f>
        <v>0</v>
      </c>
    </row>
    <row r="275" customFormat="false" ht="15" hidden="false" customHeight="true" outlineLevel="0" collapsed="false">
      <c r="A275" s="29" t="s">
        <v>135</v>
      </c>
      <c r="B275" s="29"/>
      <c r="C275" s="30" t="n">
        <f aca="false">SUMIF(Détail!$D:$D,"DUBAI TAXI",Détail!$E:$E)</f>
        <v>-32.5</v>
      </c>
    </row>
    <row r="276" customFormat="false" ht="15" hidden="false" customHeight="true" outlineLevel="0" collapsed="false">
      <c r="A276" s="24" t="s">
        <v>63</v>
      </c>
      <c r="B276" s="24" t="s">
        <v>64</v>
      </c>
    </row>
    <row r="277" customFormat="false" ht="15" hidden="false" customHeight="true" outlineLevel="0" collapsed="false">
      <c r="A277" s="8" t="s">
        <v>65</v>
      </c>
      <c r="B277" s="31" t="n">
        <f aca="false">SUMIFS(Détail!$E:$E,Détail!$D:$D,"DUBAI TAXI",Détail!$A:$A,"&gt;="&amp;DATE(2025,1,1),Détail!$A:$A,"&lt;"&amp;EDATE(DATE(2025,1,1),1))</f>
        <v>0</v>
      </c>
    </row>
    <row r="278" customFormat="false" ht="15" hidden="false" customHeight="true" outlineLevel="0" collapsed="false">
      <c r="A278" s="8" t="s">
        <v>66</v>
      </c>
      <c r="B278" s="31" t="n">
        <f aca="false">SUMIFS(Détail!$E:$E,Détail!$D:$D,"DUBAI TAXI",Détail!$A:$A,"&gt;="&amp;DATE(2025,2,1),Détail!$A:$A,"&lt;"&amp;EDATE(DATE(2025,2,1),1))</f>
        <v>0</v>
      </c>
    </row>
    <row r="279" customFormat="false" ht="15" hidden="false" customHeight="true" outlineLevel="0" collapsed="false">
      <c r="A279" s="8" t="s">
        <v>67</v>
      </c>
      <c r="B279" s="31" t="n">
        <f aca="false">SUMIFS(Détail!$E:$E,Détail!$D:$D,"DUBAI TAXI",Détail!$A:$A,"&gt;="&amp;DATE(2025,3,1),Détail!$A:$A,"&lt;"&amp;EDATE(DATE(2025,3,1),1))</f>
        <v>0</v>
      </c>
    </row>
    <row r="280" customFormat="false" ht="15" hidden="false" customHeight="true" outlineLevel="0" collapsed="false">
      <c r="A280" s="8" t="s">
        <v>68</v>
      </c>
      <c r="B280" s="31" t="n">
        <f aca="false">SUMIFS(Détail!$E:$E,Détail!$D:$D,"DUBAI TAXI",Détail!$A:$A,"&gt;="&amp;DATE(2025,4,1),Détail!$A:$A,"&lt;"&amp;EDATE(DATE(2025,4,1),1))</f>
        <v>0</v>
      </c>
    </row>
    <row r="281" customFormat="false" ht="15" hidden="false" customHeight="true" outlineLevel="0" collapsed="false">
      <c r="A281" s="8" t="s">
        <v>69</v>
      </c>
      <c r="B281" s="31" t="n">
        <f aca="false">SUMIFS(Détail!$E:$E,Détail!$D:$D,"DUBAI TAXI",Détail!$A:$A,"&gt;="&amp;DATE(2025,5,1),Détail!$A:$A,"&lt;"&amp;EDATE(DATE(2025,5,1),1))</f>
        <v>0</v>
      </c>
    </row>
    <row r="282" customFormat="false" ht="15" hidden="false" customHeight="true" outlineLevel="0" collapsed="false">
      <c r="A282" s="8" t="s">
        <v>70</v>
      </c>
      <c r="B282" s="31" t="n">
        <f aca="false">SUMIFS(Détail!$E:$E,Détail!$D:$D,"DUBAI TAXI",Détail!$A:$A,"&gt;="&amp;DATE(2025,6,1),Détail!$A:$A,"&lt;"&amp;EDATE(DATE(2025,6,1),1))</f>
        <v>0</v>
      </c>
    </row>
    <row r="283" customFormat="false" ht="15" hidden="false" customHeight="true" outlineLevel="0" collapsed="false">
      <c r="A283" s="8" t="s">
        <v>71</v>
      </c>
      <c r="B283" s="31" t="n">
        <f aca="false">SUMIFS(Détail!$E:$E,Détail!$D:$D,"DUBAI TAXI",Détail!$A:$A,"&gt;="&amp;DATE(2025,7,1),Détail!$A:$A,"&lt;"&amp;EDATE(DATE(2025,7,1),1))</f>
        <v>0</v>
      </c>
    </row>
    <row r="284" customFormat="false" ht="15" hidden="false" customHeight="true" outlineLevel="0" collapsed="false">
      <c r="A284" s="8" t="s">
        <v>72</v>
      </c>
      <c r="B284" s="31" t="n">
        <f aca="false">SUMIFS(Détail!$E:$E,Détail!$D:$D,"DUBAI TAXI",Détail!$A:$A,"&gt;="&amp;DATE(2025,8,1),Détail!$A:$A,"&lt;"&amp;EDATE(DATE(2025,8,1),1))</f>
        <v>0</v>
      </c>
    </row>
    <row r="285" customFormat="false" ht="15" hidden="false" customHeight="true" outlineLevel="0" collapsed="false">
      <c r="A285" s="8" t="s">
        <v>73</v>
      </c>
      <c r="B285" s="31" t="n">
        <f aca="false">SUMIFS(Détail!$E:$E,Détail!$D:$D,"DUBAI TAXI",Détail!$A:$A,"&gt;="&amp;DATE(2025,9,1),Détail!$A:$A,"&lt;"&amp;EDATE(DATE(2025,9,1),1))</f>
        <v>-32.5</v>
      </c>
    </row>
    <row r="286" customFormat="false" ht="15" hidden="false" customHeight="true" outlineLevel="0" collapsed="false">
      <c r="A286" s="8" t="s">
        <v>74</v>
      </c>
      <c r="B286" s="31" t="n">
        <f aca="false">SUMIFS(Détail!$E:$E,Détail!$D:$D,"DUBAI TAXI",Détail!$A:$A,"&gt;="&amp;DATE(2025,10,1),Détail!$A:$A,"&lt;"&amp;EDATE(DATE(2025,10,1),1))</f>
        <v>0</v>
      </c>
    </row>
    <row r="287" customFormat="false" ht="15" hidden="false" customHeight="true" outlineLevel="0" collapsed="false">
      <c r="A287" s="8" t="s">
        <v>75</v>
      </c>
      <c r="B287" s="31" t="n">
        <f aca="false">SUMIFS(Détail!$E:$E,Détail!$D:$D,"DUBAI TAXI",Détail!$A:$A,"&gt;="&amp;DATE(2025,11,1),Détail!$A:$A,"&lt;"&amp;EDATE(DATE(2025,11,1),1))</f>
        <v>0</v>
      </c>
    </row>
    <row r="288" customFormat="false" ht="15" hidden="false" customHeight="true" outlineLevel="0" collapsed="false">
      <c r="A288" s="8" t="s">
        <v>76</v>
      </c>
      <c r="B288" s="31" t="n">
        <f aca="false">SUMIFS(Détail!$E:$E,Détail!$D:$D,"DUBAI TAXI",Détail!$A:$A,"&gt;="&amp;DATE(2025,12,1),Détail!$A:$A,"&lt;"&amp;EDATE(DATE(2025,12,1),1))</f>
        <v>0</v>
      </c>
    </row>
    <row r="291" customFormat="false" ht="15" hidden="false" customHeight="true" outlineLevel="0" collapsed="false">
      <c r="A291" s="29" t="s">
        <v>136</v>
      </c>
      <c r="B291" s="29"/>
      <c r="C291" s="30" t="n">
        <f aca="false">SUMIF(Détail!$D:$D,"ISTANBUL 62",Détail!$E:$E)</f>
        <v>-26</v>
      </c>
    </row>
    <row r="292" customFormat="false" ht="15" hidden="false" customHeight="true" outlineLevel="0" collapsed="false">
      <c r="A292" s="24" t="s">
        <v>63</v>
      </c>
      <c r="B292" s="24" t="s">
        <v>64</v>
      </c>
    </row>
    <row r="293" customFormat="false" ht="15" hidden="false" customHeight="true" outlineLevel="0" collapsed="false">
      <c r="A293" s="8" t="s">
        <v>65</v>
      </c>
      <c r="B293" s="31" t="n">
        <f aca="false">SUMIFS(Détail!$E:$E,Détail!$D:$D,"ISTANBUL 62",Détail!$A:$A,"&gt;="&amp;DATE(2025,1,1),Détail!$A:$A,"&lt;"&amp;EDATE(DATE(2025,1,1),1))</f>
        <v>-26</v>
      </c>
    </row>
    <row r="294" customFormat="false" ht="15" hidden="false" customHeight="true" outlineLevel="0" collapsed="false">
      <c r="A294" s="8" t="s">
        <v>66</v>
      </c>
      <c r="B294" s="31" t="n">
        <f aca="false">SUMIFS(Détail!$E:$E,Détail!$D:$D,"ISTANBUL 62",Détail!$A:$A,"&gt;="&amp;DATE(2025,2,1),Détail!$A:$A,"&lt;"&amp;EDATE(DATE(2025,2,1),1))</f>
        <v>0</v>
      </c>
    </row>
    <row r="295" customFormat="false" ht="15" hidden="false" customHeight="true" outlineLevel="0" collapsed="false">
      <c r="A295" s="8" t="s">
        <v>67</v>
      </c>
      <c r="B295" s="31" t="n">
        <f aca="false">SUMIFS(Détail!$E:$E,Détail!$D:$D,"ISTANBUL 62",Détail!$A:$A,"&gt;="&amp;DATE(2025,3,1),Détail!$A:$A,"&lt;"&amp;EDATE(DATE(2025,3,1),1))</f>
        <v>0</v>
      </c>
    </row>
    <row r="296" customFormat="false" ht="15" hidden="false" customHeight="true" outlineLevel="0" collapsed="false">
      <c r="A296" s="8" t="s">
        <v>68</v>
      </c>
      <c r="B296" s="31" t="n">
        <f aca="false">SUMIFS(Détail!$E:$E,Détail!$D:$D,"ISTANBUL 62",Détail!$A:$A,"&gt;="&amp;DATE(2025,4,1),Détail!$A:$A,"&lt;"&amp;EDATE(DATE(2025,4,1),1))</f>
        <v>0</v>
      </c>
    </row>
    <row r="297" customFormat="false" ht="15" hidden="false" customHeight="true" outlineLevel="0" collapsed="false">
      <c r="A297" s="8" t="s">
        <v>69</v>
      </c>
      <c r="B297" s="31" t="n">
        <f aca="false">SUMIFS(Détail!$E:$E,Détail!$D:$D,"ISTANBUL 62",Détail!$A:$A,"&gt;="&amp;DATE(2025,5,1),Détail!$A:$A,"&lt;"&amp;EDATE(DATE(2025,5,1),1))</f>
        <v>0</v>
      </c>
    </row>
    <row r="298" customFormat="false" ht="15" hidden="false" customHeight="true" outlineLevel="0" collapsed="false">
      <c r="A298" s="8" t="s">
        <v>70</v>
      </c>
      <c r="B298" s="31" t="n">
        <f aca="false">SUMIFS(Détail!$E:$E,Détail!$D:$D,"ISTANBUL 62",Détail!$A:$A,"&gt;="&amp;DATE(2025,6,1),Détail!$A:$A,"&lt;"&amp;EDATE(DATE(2025,6,1),1))</f>
        <v>0</v>
      </c>
    </row>
    <row r="299" customFormat="false" ht="15" hidden="false" customHeight="true" outlineLevel="0" collapsed="false">
      <c r="A299" s="8" t="s">
        <v>71</v>
      </c>
      <c r="B299" s="31" t="n">
        <f aca="false">SUMIFS(Détail!$E:$E,Détail!$D:$D,"ISTANBUL 62",Détail!$A:$A,"&gt;="&amp;DATE(2025,7,1),Détail!$A:$A,"&lt;"&amp;EDATE(DATE(2025,7,1),1))</f>
        <v>0</v>
      </c>
    </row>
    <row r="300" customFormat="false" ht="15" hidden="false" customHeight="true" outlineLevel="0" collapsed="false">
      <c r="A300" s="8" t="s">
        <v>72</v>
      </c>
      <c r="B300" s="31" t="n">
        <f aca="false">SUMIFS(Détail!$E:$E,Détail!$D:$D,"ISTANBUL 62",Détail!$A:$A,"&gt;="&amp;DATE(2025,8,1),Détail!$A:$A,"&lt;"&amp;EDATE(DATE(2025,8,1),1))</f>
        <v>0</v>
      </c>
    </row>
    <row r="301" customFormat="false" ht="15" hidden="false" customHeight="true" outlineLevel="0" collapsed="false">
      <c r="A301" s="8" t="s">
        <v>73</v>
      </c>
      <c r="B301" s="31" t="n">
        <f aca="false">SUMIFS(Détail!$E:$E,Détail!$D:$D,"ISTANBUL 62",Détail!$A:$A,"&gt;="&amp;DATE(2025,9,1),Détail!$A:$A,"&lt;"&amp;EDATE(DATE(2025,9,1),1))</f>
        <v>0</v>
      </c>
    </row>
    <row r="302" customFormat="false" ht="15" hidden="false" customHeight="true" outlineLevel="0" collapsed="false">
      <c r="A302" s="8" t="s">
        <v>74</v>
      </c>
      <c r="B302" s="31" t="n">
        <f aca="false">SUMIFS(Détail!$E:$E,Détail!$D:$D,"ISTANBUL 62",Détail!$A:$A,"&gt;="&amp;DATE(2025,10,1),Détail!$A:$A,"&lt;"&amp;EDATE(DATE(2025,10,1),1))</f>
        <v>0</v>
      </c>
    </row>
    <row r="303" customFormat="false" ht="15" hidden="false" customHeight="true" outlineLevel="0" collapsed="false">
      <c r="A303" s="8" t="s">
        <v>75</v>
      </c>
      <c r="B303" s="31" t="n">
        <f aca="false">SUMIFS(Détail!$E:$E,Détail!$D:$D,"ISTANBUL 62",Détail!$A:$A,"&gt;="&amp;DATE(2025,11,1),Détail!$A:$A,"&lt;"&amp;EDATE(DATE(2025,11,1),1))</f>
        <v>0</v>
      </c>
    </row>
    <row r="304" customFormat="false" ht="15" hidden="false" customHeight="true" outlineLevel="0" collapsed="false">
      <c r="A304" s="8" t="s">
        <v>76</v>
      </c>
      <c r="B304" s="31" t="n">
        <f aca="false">SUMIFS(Détail!$E:$E,Détail!$D:$D,"ISTANBUL 62",Détail!$A:$A,"&gt;="&amp;DATE(2025,12,1),Détail!$A:$A,"&lt;"&amp;EDATE(DATE(2025,12,1),1))</f>
        <v>0</v>
      </c>
    </row>
    <row r="307" customFormat="false" ht="15" hidden="false" customHeight="true" outlineLevel="0" collapsed="false">
      <c r="A307" s="29" t="s">
        <v>137</v>
      </c>
      <c r="B307" s="29"/>
      <c r="C307" s="30" t="n">
        <f aca="false">SUMIF(Détail!$D:$D,"GLOBAL VILLAGE-",Détail!$E:$E)</f>
        <v>-25.93</v>
      </c>
    </row>
    <row r="308" customFormat="false" ht="15" hidden="false" customHeight="true" outlineLevel="0" collapsed="false">
      <c r="A308" s="24" t="s">
        <v>63</v>
      </c>
      <c r="B308" s="24" t="s">
        <v>64</v>
      </c>
    </row>
    <row r="309" customFormat="false" ht="15" hidden="false" customHeight="true" outlineLevel="0" collapsed="false">
      <c r="A309" s="8" t="s">
        <v>65</v>
      </c>
      <c r="B309" s="31" t="n">
        <f aca="false">SUMIFS(Détail!$E:$E,Détail!$D:$D,"GLOBAL VILLAGE-",Détail!$A:$A,"&gt;="&amp;DATE(2025,1,1),Détail!$A:$A,"&lt;"&amp;EDATE(DATE(2025,1,1),1))</f>
        <v>0</v>
      </c>
    </row>
    <row r="310" customFormat="false" ht="15" hidden="false" customHeight="true" outlineLevel="0" collapsed="false">
      <c r="A310" s="8" t="s">
        <v>66</v>
      </c>
      <c r="B310" s="31" t="n">
        <f aca="false">SUMIFS(Détail!$E:$E,Détail!$D:$D,"GLOBAL VILLAGE-",Détail!$A:$A,"&gt;="&amp;DATE(2025,2,1),Détail!$A:$A,"&lt;"&amp;EDATE(DATE(2025,2,1),1))</f>
        <v>0</v>
      </c>
    </row>
    <row r="311" customFormat="false" ht="15" hidden="false" customHeight="true" outlineLevel="0" collapsed="false">
      <c r="A311" s="8" t="s">
        <v>67</v>
      </c>
      <c r="B311" s="31" t="n">
        <f aca="false">SUMIFS(Détail!$E:$E,Détail!$D:$D,"GLOBAL VILLAGE-",Détail!$A:$A,"&gt;="&amp;DATE(2025,3,1),Détail!$A:$A,"&lt;"&amp;EDATE(DATE(2025,3,1),1))</f>
        <v>0</v>
      </c>
    </row>
    <row r="312" customFormat="false" ht="15" hidden="false" customHeight="true" outlineLevel="0" collapsed="false">
      <c r="A312" s="8" t="s">
        <v>68</v>
      </c>
      <c r="B312" s="31" t="n">
        <f aca="false">SUMIFS(Détail!$E:$E,Détail!$D:$D,"GLOBAL VILLAGE-",Détail!$A:$A,"&gt;="&amp;DATE(2025,4,1),Détail!$A:$A,"&lt;"&amp;EDATE(DATE(2025,4,1),1))</f>
        <v>0</v>
      </c>
    </row>
    <row r="313" customFormat="false" ht="15" hidden="false" customHeight="true" outlineLevel="0" collapsed="false">
      <c r="A313" s="8" t="s">
        <v>69</v>
      </c>
      <c r="B313" s="31" t="n">
        <f aca="false">SUMIFS(Détail!$E:$E,Détail!$D:$D,"GLOBAL VILLAGE-",Détail!$A:$A,"&gt;="&amp;DATE(2025,5,1),Détail!$A:$A,"&lt;"&amp;EDATE(DATE(2025,5,1),1))</f>
        <v>0</v>
      </c>
    </row>
    <row r="314" customFormat="false" ht="15" hidden="false" customHeight="true" outlineLevel="0" collapsed="false">
      <c r="A314" s="8" t="s">
        <v>70</v>
      </c>
      <c r="B314" s="31" t="n">
        <f aca="false">SUMIFS(Détail!$E:$E,Détail!$D:$D,"GLOBAL VILLAGE-",Détail!$A:$A,"&gt;="&amp;DATE(2025,6,1),Détail!$A:$A,"&lt;"&amp;EDATE(DATE(2025,6,1),1))</f>
        <v>0</v>
      </c>
    </row>
    <row r="315" customFormat="false" ht="15" hidden="false" customHeight="true" outlineLevel="0" collapsed="false">
      <c r="A315" s="8" t="s">
        <v>71</v>
      </c>
      <c r="B315" s="31" t="n">
        <f aca="false">SUMIFS(Détail!$E:$E,Détail!$D:$D,"GLOBAL VILLAGE-",Détail!$A:$A,"&gt;="&amp;DATE(2025,7,1),Détail!$A:$A,"&lt;"&amp;EDATE(DATE(2025,7,1),1))</f>
        <v>0</v>
      </c>
    </row>
    <row r="316" customFormat="false" ht="15" hidden="false" customHeight="true" outlineLevel="0" collapsed="false">
      <c r="A316" s="8" t="s">
        <v>72</v>
      </c>
      <c r="B316" s="31" t="n">
        <f aca="false">SUMIFS(Détail!$E:$E,Détail!$D:$D,"GLOBAL VILLAGE-",Détail!$A:$A,"&gt;="&amp;DATE(2025,8,1),Détail!$A:$A,"&lt;"&amp;EDATE(DATE(2025,8,1),1))</f>
        <v>0</v>
      </c>
    </row>
    <row r="317" customFormat="false" ht="15" hidden="false" customHeight="true" outlineLevel="0" collapsed="false">
      <c r="A317" s="8" t="s">
        <v>73</v>
      </c>
      <c r="B317" s="31" t="n">
        <f aca="false">SUMIFS(Détail!$E:$E,Détail!$D:$D,"GLOBAL VILLAGE-",Détail!$A:$A,"&gt;="&amp;DATE(2025,9,1),Détail!$A:$A,"&lt;"&amp;EDATE(DATE(2025,9,1),1))</f>
        <v>0</v>
      </c>
    </row>
    <row r="318" customFormat="false" ht="15" hidden="false" customHeight="true" outlineLevel="0" collapsed="false">
      <c r="A318" s="8" t="s">
        <v>74</v>
      </c>
      <c r="B318" s="31" t="n">
        <f aca="false">SUMIFS(Détail!$E:$E,Détail!$D:$D,"GLOBAL VILLAGE-",Détail!$A:$A,"&gt;="&amp;DATE(2025,10,1),Détail!$A:$A,"&lt;"&amp;EDATE(DATE(2025,10,1),1))</f>
        <v>0</v>
      </c>
    </row>
    <row r="319" customFormat="false" ht="15" hidden="false" customHeight="true" outlineLevel="0" collapsed="false">
      <c r="A319" s="8" t="s">
        <v>75</v>
      </c>
      <c r="B319" s="31" t="n">
        <f aca="false">SUMIFS(Détail!$E:$E,Détail!$D:$D,"GLOBAL VILLAGE-",Détail!$A:$A,"&gt;="&amp;DATE(2025,11,1),Détail!$A:$A,"&lt;"&amp;EDATE(DATE(2025,11,1),1))</f>
        <v>-25.93</v>
      </c>
    </row>
    <row r="320" customFormat="false" ht="15" hidden="false" customHeight="true" outlineLevel="0" collapsed="false">
      <c r="A320" s="8" t="s">
        <v>76</v>
      </c>
      <c r="B320" s="31" t="n">
        <f aca="false">SUMIFS(Détail!$E:$E,Détail!$D:$D,"GLOBAL VILLAGE-",Détail!$A:$A,"&gt;="&amp;DATE(2025,12,1),Détail!$A:$A,"&lt;"&amp;EDATE(DATE(2025,12,1),1))</f>
        <v>0</v>
      </c>
    </row>
    <row r="323" customFormat="false" ht="15" hidden="false" customHeight="true" outlineLevel="0" collapsed="false">
      <c r="A323" s="29" t="s">
        <v>138</v>
      </c>
      <c r="B323" s="29"/>
      <c r="C323" s="30" t="n">
        <f aca="false">SUMIF(Détail!$D:$D,"ARABIA TAXI",Détail!$E:$E)</f>
        <v>-23.9</v>
      </c>
    </row>
    <row r="324" customFormat="false" ht="15" hidden="false" customHeight="true" outlineLevel="0" collapsed="false">
      <c r="A324" s="24" t="s">
        <v>63</v>
      </c>
      <c r="B324" s="24" t="s">
        <v>64</v>
      </c>
    </row>
    <row r="325" customFormat="false" ht="15" hidden="false" customHeight="true" outlineLevel="0" collapsed="false">
      <c r="A325" s="8" t="s">
        <v>65</v>
      </c>
      <c r="B325" s="31" t="n">
        <f aca="false">SUMIFS(Détail!$E:$E,Détail!$D:$D,"ARABIA TAXI",Détail!$A:$A,"&gt;="&amp;DATE(2025,1,1),Détail!$A:$A,"&lt;"&amp;EDATE(DATE(2025,1,1),1))</f>
        <v>0</v>
      </c>
    </row>
    <row r="326" customFormat="false" ht="15" hidden="false" customHeight="true" outlineLevel="0" collapsed="false">
      <c r="A326" s="8" t="s">
        <v>66</v>
      </c>
      <c r="B326" s="31" t="n">
        <f aca="false">SUMIFS(Détail!$E:$E,Détail!$D:$D,"ARABIA TAXI",Détail!$A:$A,"&gt;="&amp;DATE(2025,2,1),Détail!$A:$A,"&lt;"&amp;EDATE(DATE(2025,2,1),1))</f>
        <v>0</v>
      </c>
    </row>
    <row r="327" customFormat="false" ht="15" hidden="false" customHeight="true" outlineLevel="0" collapsed="false">
      <c r="A327" s="8" t="s">
        <v>67</v>
      </c>
      <c r="B327" s="31" t="n">
        <f aca="false">SUMIFS(Détail!$E:$E,Détail!$D:$D,"ARABIA TAXI",Détail!$A:$A,"&gt;="&amp;DATE(2025,3,1),Détail!$A:$A,"&lt;"&amp;EDATE(DATE(2025,3,1),1))</f>
        <v>0</v>
      </c>
    </row>
    <row r="328" customFormat="false" ht="15" hidden="false" customHeight="true" outlineLevel="0" collapsed="false">
      <c r="A328" s="8" t="s">
        <v>68</v>
      </c>
      <c r="B328" s="31" t="n">
        <f aca="false">SUMIFS(Détail!$E:$E,Détail!$D:$D,"ARABIA TAXI",Détail!$A:$A,"&gt;="&amp;DATE(2025,4,1),Détail!$A:$A,"&lt;"&amp;EDATE(DATE(2025,4,1),1))</f>
        <v>0</v>
      </c>
    </row>
    <row r="329" customFormat="false" ht="15" hidden="false" customHeight="true" outlineLevel="0" collapsed="false">
      <c r="A329" s="8" t="s">
        <v>69</v>
      </c>
      <c r="B329" s="31" t="n">
        <f aca="false">SUMIFS(Détail!$E:$E,Détail!$D:$D,"ARABIA TAXI",Détail!$A:$A,"&gt;="&amp;DATE(2025,5,1),Détail!$A:$A,"&lt;"&amp;EDATE(DATE(2025,5,1),1))</f>
        <v>0</v>
      </c>
    </row>
    <row r="330" customFormat="false" ht="15" hidden="false" customHeight="true" outlineLevel="0" collapsed="false">
      <c r="A330" s="8" t="s">
        <v>70</v>
      </c>
      <c r="B330" s="31" t="n">
        <f aca="false">SUMIFS(Détail!$E:$E,Détail!$D:$D,"ARABIA TAXI",Détail!$A:$A,"&gt;="&amp;DATE(2025,6,1),Détail!$A:$A,"&lt;"&amp;EDATE(DATE(2025,6,1),1))</f>
        <v>0</v>
      </c>
    </row>
    <row r="331" customFormat="false" ht="15" hidden="false" customHeight="true" outlineLevel="0" collapsed="false">
      <c r="A331" s="8" t="s">
        <v>71</v>
      </c>
      <c r="B331" s="31" t="n">
        <f aca="false">SUMIFS(Détail!$E:$E,Détail!$D:$D,"ARABIA TAXI",Détail!$A:$A,"&gt;="&amp;DATE(2025,7,1),Détail!$A:$A,"&lt;"&amp;EDATE(DATE(2025,7,1),1))</f>
        <v>0</v>
      </c>
    </row>
    <row r="332" customFormat="false" ht="15" hidden="false" customHeight="true" outlineLevel="0" collapsed="false">
      <c r="A332" s="8" t="s">
        <v>72</v>
      </c>
      <c r="B332" s="31" t="n">
        <f aca="false">SUMIFS(Détail!$E:$E,Détail!$D:$D,"ARABIA TAXI",Détail!$A:$A,"&gt;="&amp;DATE(2025,8,1),Détail!$A:$A,"&lt;"&amp;EDATE(DATE(2025,8,1),1))</f>
        <v>0</v>
      </c>
    </row>
    <row r="333" customFormat="false" ht="15" hidden="false" customHeight="true" outlineLevel="0" collapsed="false">
      <c r="A333" s="8" t="s">
        <v>73</v>
      </c>
      <c r="B333" s="31" t="n">
        <f aca="false">SUMIFS(Détail!$E:$E,Détail!$D:$D,"ARABIA TAXI",Détail!$A:$A,"&gt;="&amp;DATE(2025,9,1),Détail!$A:$A,"&lt;"&amp;EDATE(DATE(2025,9,1),1))</f>
        <v>0</v>
      </c>
    </row>
    <row r="334" customFormat="false" ht="15" hidden="false" customHeight="true" outlineLevel="0" collapsed="false">
      <c r="A334" s="8" t="s">
        <v>74</v>
      </c>
      <c r="B334" s="31" t="n">
        <f aca="false">SUMIFS(Détail!$E:$E,Détail!$D:$D,"ARABIA TAXI",Détail!$A:$A,"&gt;="&amp;DATE(2025,10,1),Détail!$A:$A,"&lt;"&amp;EDATE(DATE(2025,10,1),1))</f>
        <v>-23.9</v>
      </c>
    </row>
    <row r="335" customFormat="false" ht="15" hidden="false" customHeight="true" outlineLevel="0" collapsed="false">
      <c r="A335" s="8" t="s">
        <v>75</v>
      </c>
      <c r="B335" s="31" t="n">
        <f aca="false">SUMIFS(Détail!$E:$E,Détail!$D:$D,"ARABIA TAXI",Détail!$A:$A,"&gt;="&amp;DATE(2025,11,1),Détail!$A:$A,"&lt;"&amp;EDATE(DATE(2025,11,1),1))</f>
        <v>0</v>
      </c>
    </row>
    <row r="336" customFormat="false" ht="15" hidden="false" customHeight="true" outlineLevel="0" collapsed="false">
      <c r="A336" s="8" t="s">
        <v>76</v>
      </c>
      <c r="B336" s="31" t="n">
        <f aca="false">SUMIFS(Détail!$E:$E,Détail!$D:$D,"ARABIA TAXI",Détail!$A:$A,"&gt;="&amp;DATE(2025,12,1),Détail!$A:$A,"&lt;"&amp;EDATE(DATE(2025,12,1),1))</f>
        <v>0</v>
      </c>
    </row>
    <row r="339" customFormat="false" ht="15" hidden="false" customHeight="true" outlineLevel="0" collapsed="false">
      <c r="A339" s="29" t="s">
        <v>139</v>
      </c>
      <c r="B339" s="29"/>
      <c r="C339" s="30" t="n">
        <f aca="false">SUMIF(Détail!$D:$D,"INFLIGHT INTERN",Détail!$E:$E)</f>
        <v>-15.07</v>
      </c>
    </row>
    <row r="340" customFormat="false" ht="15" hidden="false" customHeight="true" outlineLevel="0" collapsed="false">
      <c r="A340" s="24" t="s">
        <v>63</v>
      </c>
      <c r="B340" s="24" t="s">
        <v>64</v>
      </c>
    </row>
    <row r="341" customFormat="false" ht="15" hidden="false" customHeight="true" outlineLevel="0" collapsed="false">
      <c r="A341" s="8" t="s">
        <v>65</v>
      </c>
      <c r="B341" s="31" t="n">
        <f aca="false">SUMIFS(Détail!$E:$E,Détail!$D:$D,"INFLIGHT INTERN",Détail!$A:$A,"&gt;="&amp;DATE(2025,1,1),Détail!$A:$A,"&lt;"&amp;EDATE(DATE(2025,1,1),1))</f>
        <v>0</v>
      </c>
    </row>
    <row r="342" customFormat="false" ht="15" hidden="false" customHeight="true" outlineLevel="0" collapsed="false">
      <c r="A342" s="8" t="s">
        <v>66</v>
      </c>
      <c r="B342" s="31" t="n">
        <f aca="false">SUMIFS(Détail!$E:$E,Détail!$D:$D,"INFLIGHT INTERN",Détail!$A:$A,"&gt;="&amp;DATE(2025,2,1),Détail!$A:$A,"&lt;"&amp;EDATE(DATE(2025,2,1),1))</f>
        <v>0</v>
      </c>
    </row>
    <row r="343" customFormat="false" ht="15" hidden="false" customHeight="true" outlineLevel="0" collapsed="false">
      <c r="A343" s="8" t="s">
        <v>67</v>
      </c>
      <c r="B343" s="31" t="n">
        <f aca="false">SUMIFS(Détail!$E:$E,Détail!$D:$D,"INFLIGHT INTERN",Détail!$A:$A,"&gt;="&amp;DATE(2025,3,1),Détail!$A:$A,"&lt;"&amp;EDATE(DATE(2025,3,1),1))</f>
        <v>0</v>
      </c>
    </row>
    <row r="344" customFormat="false" ht="15" hidden="false" customHeight="true" outlineLevel="0" collapsed="false">
      <c r="A344" s="8" t="s">
        <v>68</v>
      </c>
      <c r="B344" s="31" t="n">
        <f aca="false">SUMIFS(Détail!$E:$E,Détail!$D:$D,"INFLIGHT INTERN",Détail!$A:$A,"&gt;="&amp;DATE(2025,4,1),Détail!$A:$A,"&lt;"&amp;EDATE(DATE(2025,4,1),1))</f>
        <v>0</v>
      </c>
    </row>
    <row r="345" customFormat="false" ht="15" hidden="false" customHeight="true" outlineLevel="0" collapsed="false">
      <c r="A345" s="8" t="s">
        <v>69</v>
      </c>
      <c r="B345" s="31" t="n">
        <f aca="false">SUMIFS(Détail!$E:$E,Détail!$D:$D,"INFLIGHT INTERN",Détail!$A:$A,"&gt;="&amp;DATE(2025,5,1),Détail!$A:$A,"&lt;"&amp;EDATE(DATE(2025,5,1),1))</f>
        <v>0</v>
      </c>
    </row>
    <row r="346" customFormat="false" ht="15" hidden="false" customHeight="true" outlineLevel="0" collapsed="false">
      <c r="A346" s="8" t="s">
        <v>70</v>
      </c>
      <c r="B346" s="31" t="n">
        <f aca="false">SUMIFS(Détail!$E:$E,Détail!$D:$D,"INFLIGHT INTERN",Détail!$A:$A,"&gt;="&amp;DATE(2025,6,1),Détail!$A:$A,"&lt;"&amp;EDATE(DATE(2025,6,1),1))</f>
        <v>0</v>
      </c>
    </row>
    <row r="347" customFormat="false" ht="15" hidden="false" customHeight="true" outlineLevel="0" collapsed="false">
      <c r="A347" s="8" t="s">
        <v>71</v>
      </c>
      <c r="B347" s="31" t="n">
        <f aca="false">SUMIFS(Détail!$E:$E,Détail!$D:$D,"INFLIGHT INTERN",Détail!$A:$A,"&gt;="&amp;DATE(2025,7,1),Détail!$A:$A,"&lt;"&amp;EDATE(DATE(2025,7,1),1))</f>
        <v>0</v>
      </c>
    </row>
    <row r="348" customFormat="false" ht="15" hidden="false" customHeight="true" outlineLevel="0" collapsed="false">
      <c r="A348" s="8" t="s">
        <v>72</v>
      </c>
      <c r="B348" s="31" t="n">
        <f aca="false">SUMIFS(Détail!$E:$E,Détail!$D:$D,"INFLIGHT INTERN",Détail!$A:$A,"&gt;="&amp;DATE(2025,8,1),Détail!$A:$A,"&lt;"&amp;EDATE(DATE(2025,8,1),1))</f>
        <v>0</v>
      </c>
    </row>
    <row r="349" customFormat="false" ht="15" hidden="false" customHeight="true" outlineLevel="0" collapsed="false">
      <c r="A349" s="8" t="s">
        <v>73</v>
      </c>
      <c r="B349" s="31" t="n">
        <f aca="false">SUMIFS(Détail!$E:$E,Détail!$D:$D,"INFLIGHT INTERN",Détail!$A:$A,"&gt;="&amp;DATE(2025,9,1),Détail!$A:$A,"&lt;"&amp;EDATE(DATE(2025,9,1),1))</f>
        <v>0</v>
      </c>
    </row>
    <row r="350" customFormat="false" ht="15" hidden="false" customHeight="true" outlineLevel="0" collapsed="false">
      <c r="A350" s="8" t="s">
        <v>74</v>
      </c>
      <c r="B350" s="31" t="n">
        <f aca="false">SUMIFS(Détail!$E:$E,Détail!$D:$D,"INFLIGHT INTERN",Détail!$A:$A,"&gt;="&amp;DATE(2025,10,1),Détail!$A:$A,"&lt;"&amp;EDATE(DATE(2025,10,1),1))</f>
        <v>-15.07</v>
      </c>
    </row>
    <row r="351" customFormat="false" ht="15" hidden="false" customHeight="true" outlineLevel="0" collapsed="false">
      <c r="A351" s="8" t="s">
        <v>75</v>
      </c>
      <c r="B351" s="31" t="n">
        <f aca="false">SUMIFS(Détail!$E:$E,Détail!$D:$D,"INFLIGHT INTERN",Détail!$A:$A,"&gt;="&amp;DATE(2025,11,1),Détail!$A:$A,"&lt;"&amp;EDATE(DATE(2025,11,1),1))</f>
        <v>0</v>
      </c>
    </row>
    <row r="352" customFormat="false" ht="15" hidden="false" customHeight="true" outlineLevel="0" collapsed="false">
      <c r="A352" s="8" t="s">
        <v>76</v>
      </c>
      <c r="B352" s="31" t="n">
        <f aca="false">SUMIFS(Détail!$E:$E,Détail!$D:$D,"INFLIGHT INTERN",Détail!$A:$A,"&gt;="&amp;DATE(2025,12,1),Détail!$A:$A,"&lt;"&amp;EDATE(DATE(2025,12,1),1))</f>
        <v>0</v>
      </c>
    </row>
    <row r="355" customFormat="false" ht="15" hidden="false" customHeight="true" outlineLevel="0" collapsed="false">
      <c r="A355" s="29" t="s">
        <v>140</v>
      </c>
      <c r="B355" s="29"/>
      <c r="C355" s="30" t="n">
        <f aca="false">SUMIF(Détail!$D:$D,"IBIS BUDGET",Détail!$E:$E)</f>
        <v>-14</v>
      </c>
    </row>
    <row r="356" customFormat="false" ht="15" hidden="false" customHeight="true" outlineLevel="0" collapsed="false">
      <c r="A356" s="24" t="s">
        <v>63</v>
      </c>
      <c r="B356" s="24" t="s">
        <v>64</v>
      </c>
    </row>
    <row r="357" customFormat="false" ht="15" hidden="false" customHeight="true" outlineLevel="0" collapsed="false">
      <c r="A357" s="8" t="s">
        <v>65</v>
      </c>
      <c r="B357" s="31" t="n">
        <f aca="false">SUMIFS(Détail!$E:$E,Détail!$D:$D,"IBIS BUDGET",Détail!$A:$A,"&gt;="&amp;DATE(2025,1,1),Détail!$A:$A,"&lt;"&amp;EDATE(DATE(2025,1,1),1))</f>
        <v>0</v>
      </c>
    </row>
    <row r="358" customFormat="false" ht="15" hidden="false" customHeight="true" outlineLevel="0" collapsed="false">
      <c r="A358" s="8" t="s">
        <v>66</v>
      </c>
      <c r="B358" s="31" t="n">
        <f aca="false">SUMIFS(Détail!$E:$E,Détail!$D:$D,"IBIS BUDGET",Détail!$A:$A,"&gt;="&amp;DATE(2025,2,1),Détail!$A:$A,"&lt;"&amp;EDATE(DATE(2025,2,1),1))</f>
        <v>0</v>
      </c>
    </row>
    <row r="359" customFormat="false" ht="15" hidden="false" customHeight="true" outlineLevel="0" collapsed="false">
      <c r="A359" s="8" t="s">
        <v>67</v>
      </c>
      <c r="B359" s="31" t="n">
        <f aca="false">SUMIFS(Détail!$E:$E,Détail!$D:$D,"IBIS BUDGET",Détail!$A:$A,"&gt;="&amp;DATE(2025,3,1),Détail!$A:$A,"&lt;"&amp;EDATE(DATE(2025,3,1),1))</f>
        <v>0</v>
      </c>
    </row>
    <row r="360" customFormat="false" ht="15" hidden="false" customHeight="true" outlineLevel="0" collapsed="false">
      <c r="A360" s="8" t="s">
        <v>68</v>
      </c>
      <c r="B360" s="31" t="n">
        <f aca="false">SUMIFS(Détail!$E:$E,Détail!$D:$D,"IBIS BUDGET",Détail!$A:$A,"&gt;="&amp;DATE(2025,4,1),Détail!$A:$A,"&lt;"&amp;EDATE(DATE(2025,4,1),1))</f>
        <v>0</v>
      </c>
    </row>
    <row r="361" customFormat="false" ht="15" hidden="false" customHeight="true" outlineLevel="0" collapsed="false">
      <c r="A361" s="8" t="s">
        <v>69</v>
      </c>
      <c r="B361" s="31" t="n">
        <f aca="false">SUMIFS(Détail!$E:$E,Détail!$D:$D,"IBIS BUDGET",Détail!$A:$A,"&gt;="&amp;DATE(2025,5,1),Détail!$A:$A,"&lt;"&amp;EDATE(DATE(2025,5,1),1))</f>
        <v>0</v>
      </c>
    </row>
    <row r="362" customFormat="false" ht="15" hidden="false" customHeight="true" outlineLevel="0" collapsed="false">
      <c r="A362" s="8" t="s">
        <v>70</v>
      </c>
      <c r="B362" s="31" t="n">
        <f aca="false">SUMIFS(Détail!$E:$E,Détail!$D:$D,"IBIS BUDGET",Détail!$A:$A,"&gt;="&amp;DATE(2025,6,1),Détail!$A:$A,"&lt;"&amp;EDATE(DATE(2025,6,1),1))</f>
        <v>-14</v>
      </c>
    </row>
    <row r="363" customFormat="false" ht="15" hidden="false" customHeight="true" outlineLevel="0" collapsed="false">
      <c r="A363" s="8" t="s">
        <v>71</v>
      </c>
      <c r="B363" s="31" t="n">
        <f aca="false">SUMIFS(Détail!$E:$E,Détail!$D:$D,"IBIS BUDGET",Détail!$A:$A,"&gt;="&amp;DATE(2025,7,1),Détail!$A:$A,"&lt;"&amp;EDATE(DATE(2025,7,1),1))</f>
        <v>0</v>
      </c>
    </row>
    <row r="364" customFormat="false" ht="15" hidden="false" customHeight="true" outlineLevel="0" collapsed="false">
      <c r="A364" s="8" t="s">
        <v>72</v>
      </c>
      <c r="B364" s="31" t="n">
        <f aca="false">SUMIFS(Détail!$E:$E,Détail!$D:$D,"IBIS BUDGET",Détail!$A:$A,"&gt;="&amp;DATE(2025,8,1),Détail!$A:$A,"&lt;"&amp;EDATE(DATE(2025,8,1),1))</f>
        <v>0</v>
      </c>
    </row>
    <row r="365" customFormat="false" ht="15" hidden="false" customHeight="true" outlineLevel="0" collapsed="false">
      <c r="A365" s="8" t="s">
        <v>73</v>
      </c>
      <c r="B365" s="31" t="n">
        <f aca="false">SUMIFS(Détail!$E:$E,Détail!$D:$D,"IBIS BUDGET",Détail!$A:$A,"&gt;="&amp;DATE(2025,9,1),Détail!$A:$A,"&lt;"&amp;EDATE(DATE(2025,9,1),1))</f>
        <v>0</v>
      </c>
    </row>
    <row r="366" customFormat="false" ht="15" hidden="false" customHeight="true" outlineLevel="0" collapsed="false">
      <c r="A366" s="8" t="s">
        <v>74</v>
      </c>
      <c r="B366" s="31" t="n">
        <f aca="false">SUMIFS(Détail!$E:$E,Détail!$D:$D,"IBIS BUDGET",Détail!$A:$A,"&gt;="&amp;DATE(2025,10,1),Détail!$A:$A,"&lt;"&amp;EDATE(DATE(2025,10,1),1))</f>
        <v>0</v>
      </c>
    </row>
    <row r="367" customFormat="false" ht="15" hidden="false" customHeight="true" outlineLevel="0" collapsed="false">
      <c r="A367" s="8" t="s">
        <v>75</v>
      </c>
      <c r="B367" s="31" t="n">
        <f aca="false">SUMIFS(Détail!$E:$E,Détail!$D:$D,"IBIS BUDGET",Détail!$A:$A,"&gt;="&amp;DATE(2025,11,1),Détail!$A:$A,"&lt;"&amp;EDATE(DATE(2025,11,1),1))</f>
        <v>0</v>
      </c>
    </row>
    <row r="368" customFormat="false" ht="15" hidden="false" customHeight="true" outlineLevel="0" collapsed="false">
      <c r="A368" s="8" t="s">
        <v>76</v>
      </c>
      <c r="B368" s="31" t="n">
        <f aca="false">SUMIFS(Détail!$E:$E,Détail!$D:$D,"IBIS BUDGET",Détail!$A:$A,"&gt;="&amp;DATE(2025,12,1),Détail!$A:$A,"&lt;"&amp;EDATE(DATE(2025,12,1),1))</f>
        <v>0</v>
      </c>
    </row>
    <row r="371" customFormat="false" ht="15" hidden="false" customHeight="true" outlineLevel="0" collapsed="false">
      <c r="A371" s="29" t="s">
        <v>141</v>
      </c>
      <c r="B371" s="29"/>
      <c r="C371" s="30" t="n">
        <f aca="false">SUMIF(Détail!$D:$D,"BB HOTELS ITALI",Détail!$E:$E)</f>
        <v>-10</v>
      </c>
    </row>
    <row r="372" customFormat="false" ht="15" hidden="false" customHeight="true" outlineLevel="0" collapsed="false">
      <c r="A372" s="24" t="s">
        <v>63</v>
      </c>
      <c r="B372" s="24" t="s">
        <v>64</v>
      </c>
    </row>
    <row r="373" customFormat="false" ht="15" hidden="false" customHeight="true" outlineLevel="0" collapsed="false">
      <c r="A373" s="8" t="s">
        <v>65</v>
      </c>
      <c r="B373" s="31" t="n">
        <f aca="false">SUMIFS(Détail!$E:$E,Détail!$D:$D,"BB HOTELS ITALI",Détail!$A:$A,"&gt;="&amp;DATE(2025,1,1),Détail!$A:$A,"&lt;"&amp;EDATE(DATE(2025,1,1),1))</f>
        <v>0</v>
      </c>
    </row>
    <row r="374" customFormat="false" ht="15" hidden="false" customHeight="true" outlineLevel="0" collapsed="false">
      <c r="A374" s="8" t="s">
        <v>66</v>
      </c>
      <c r="B374" s="31" t="n">
        <f aca="false">SUMIFS(Détail!$E:$E,Détail!$D:$D,"BB HOTELS ITALI",Détail!$A:$A,"&gt;="&amp;DATE(2025,2,1),Détail!$A:$A,"&lt;"&amp;EDATE(DATE(2025,2,1),1))</f>
        <v>-10</v>
      </c>
    </row>
    <row r="375" customFormat="false" ht="15" hidden="false" customHeight="true" outlineLevel="0" collapsed="false">
      <c r="A375" s="8" t="s">
        <v>67</v>
      </c>
      <c r="B375" s="31" t="n">
        <f aca="false">SUMIFS(Détail!$E:$E,Détail!$D:$D,"BB HOTELS ITALI",Détail!$A:$A,"&gt;="&amp;DATE(2025,3,1),Détail!$A:$A,"&lt;"&amp;EDATE(DATE(2025,3,1),1))</f>
        <v>0</v>
      </c>
    </row>
    <row r="376" customFormat="false" ht="15" hidden="false" customHeight="true" outlineLevel="0" collapsed="false">
      <c r="A376" s="8" t="s">
        <v>68</v>
      </c>
      <c r="B376" s="31" t="n">
        <f aca="false">SUMIFS(Détail!$E:$E,Détail!$D:$D,"BB HOTELS ITALI",Détail!$A:$A,"&gt;="&amp;DATE(2025,4,1),Détail!$A:$A,"&lt;"&amp;EDATE(DATE(2025,4,1),1))</f>
        <v>0</v>
      </c>
    </row>
    <row r="377" customFormat="false" ht="15" hidden="false" customHeight="true" outlineLevel="0" collapsed="false">
      <c r="A377" s="8" t="s">
        <v>69</v>
      </c>
      <c r="B377" s="31" t="n">
        <f aca="false">SUMIFS(Détail!$E:$E,Détail!$D:$D,"BB HOTELS ITALI",Détail!$A:$A,"&gt;="&amp;DATE(2025,5,1),Détail!$A:$A,"&lt;"&amp;EDATE(DATE(2025,5,1),1))</f>
        <v>0</v>
      </c>
    </row>
    <row r="378" customFormat="false" ht="15" hidden="false" customHeight="true" outlineLevel="0" collapsed="false">
      <c r="A378" s="8" t="s">
        <v>70</v>
      </c>
      <c r="B378" s="31" t="n">
        <f aca="false">SUMIFS(Détail!$E:$E,Détail!$D:$D,"BB HOTELS ITALI",Détail!$A:$A,"&gt;="&amp;DATE(2025,6,1),Détail!$A:$A,"&lt;"&amp;EDATE(DATE(2025,6,1),1))</f>
        <v>0</v>
      </c>
    </row>
    <row r="379" customFormat="false" ht="15" hidden="false" customHeight="true" outlineLevel="0" collapsed="false">
      <c r="A379" s="8" t="s">
        <v>71</v>
      </c>
      <c r="B379" s="31" t="n">
        <f aca="false">SUMIFS(Détail!$E:$E,Détail!$D:$D,"BB HOTELS ITALI",Détail!$A:$A,"&gt;="&amp;DATE(2025,7,1),Détail!$A:$A,"&lt;"&amp;EDATE(DATE(2025,7,1),1))</f>
        <v>0</v>
      </c>
    </row>
    <row r="380" customFormat="false" ht="15" hidden="false" customHeight="true" outlineLevel="0" collapsed="false">
      <c r="A380" s="8" t="s">
        <v>72</v>
      </c>
      <c r="B380" s="31" t="n">
        <f aca="false">SUMIFS(Détail!$E:$E,Détail!$D:$D,"BB HOTELS ITALI",Détail!$A:$A,"&gt;="&amp;DATE(2025,8,1),Détail!$A:$A,"&lt;"&amp;EDATE(DATE(2025,8,1),1))</f>
        <v>0</v>
      </c>
    </row>
    <row r="381" customFormat="false" ht="15" hidden="false" customHeight="true" outlineLevel="0" collapsed="false">
      <c r="A381" s="8" t="s">
        <v>73</v>
      </c>
      <c r="B381" s="31" t="n">
        <f aca="false">SUMIFS(Détail!$E:$E,Détail!$D:$D,"BB HOTELS ITALI",Détail!$A:$A,"&gt;="&amp;DATE(2025,9,1),Détail!$A:$A,"&lt;"&amp;EDATE(DATE(2025,9,1),1))</f>
        <v>0</v>
      </c>
    </row>
    <row r="382" customFormat="false" ht="15" hidden="false" customHeight="true" outlineLevel="0" collapsed="false">
      <c r="A382" s="8" t="s">
        <v>74</v>
      </c>
      <c r="B382" s="31" t="n">
        <f aca="false">SUMIFS(Détail!$E:$E,Détail!$D:$D,"BB HOTELS ITALI",Détail!$A:$A,"&gt;="&amp;DATE(2025,10,1),Détail!$A:$A,"&lt;"&amp;EDATE(DATE(2025,10,1),1))</f>
        <v>0</v>
      </c>
    </row>
    <row r="383" customFormat="false" ht="15" hidden="false" customHeight="true" outlineLevel="0" collapsed="false">
      <c r="A383" s="8" t="s">
        <v>75</v>
      </c>
      <c r="B383" s="31" t="n">
        <f aca="false">SUMIFS(Détail!$E:$E,Détail!$D:$D,"BB HOTELS ITALI",Détail!$A:$A,"&gt;="&amp;DATE(2025,11,1),Détail!$A:$A,"&lt;"&amp;EDATE(DATE(2025,11,1),1))</f>
        <v>0</v>
      </c>
    </row>
    <row r="384" customFormat="false" ht="15" hidden="false" customHeight="true" outlineLevel="0" collapsed="false">
      <c r="A384" s="8" t="s">
        <v>76</v>
      </c>
      <c r="B384" s="31" t="n">
        <f aca="false">SUMIFS(Détail!$E:$E,Détail!$D:$D,"BB HOTELS ITALI",Détail!$A:$A,"&gt;="&amp;DATE(2025,12,1),Détail!$A:$A,"&lt;"&amp;EDATE(DATE(2025,12,1),1))</f>
        <v>0</v>
      </c>
    </row>
    <row r="387" customFormat="false" ht="15" hidden="false" customHeight="true" outlineLevel="0" collapsed="false">
      <c r="A387" s="29" t="s">
        <v>142</v>
      </c>
      <c r="B387" s="29"/>
      <c r="C387" s="30" t="n">
        <f aca="false">SUMIF(Détail!$D:$D,"AENA AEROPUERTO",Détail!$E:$E)</f>
        <v>-3.55</v>
      </c>
    </row>
    <row r="388" customFormat="false" ht="15" hidden="false" customHeight="true" outlineLevel="0" collapsed="false">
      <c r="A388" s="24" t="s">
        <v>63</v>
      </c>
      <c r="B388" s="24" t="s">
        <v>64</v>
      </c>
    </row>
    <row r="389" customFormat="false" ht="15" hidden="false" customHeight="true" outlineLevel="0" collapsed="false">
      <c r="A389" s="8" t="s">
        <v>65</v>
      </c>
      <c r="B389" s="31" t="n">
        <f aca="false">SUMIFS(Détail!$E:$E,Détail!$D:$D,"AENA AEROPUERTO",Détail!$A:$A,"&gt;="&amp;DATE(2025,1,1),Détail!$A:$A,"&lt;"&amp;EDATE(DATE(2025,1,1),1))</f>
        <v>0</v>
      </c>
    </row>
    <row r="390" customFormat="false" ht="15" hidden="false" customHeight="true" outlineLevel="0" collapsed="false">
      <c r="A390" s="8" t="s">
        <v>66</v>
      </c>
      <c r="B390" s="31" t="n">
        <f aca="false">SUMIFS(Détail!$E:$E,Détail!$D:$D,"AENA AEROPUERTO",Détail!$A:$A,"&gt;="&amp;DATE(2025,2,1),Détail!$A:$A,"&lt;"&amp;EDATE(DATE(2025,2,1),1))</f>
        <v>0</v>
      </c>
    </row>
    <row r="391" customFormat="false" ht="15" hidden="false" customHeight="true" outlineLevel="0" collapsed="false">
      <c r="A391" s="8" t="s">
        <v>67</v>
      </c>
      <c r="B391" s="31" t="n">
        <f aca="false">SUMIFS(Détail!$E:$E,Détail!$D:$D,"AENA AEROPUERTO",Détail!$A:$A,"&gt;="&amp;DATE(2025,3,1),Détail!$A:$A,"&lt;"&amp;EDATE(DATE(2025,3,1),1))</f>
        <v>0</v>
      </c>
    </row>
    <row r="392" customFormat="false" ht="15" hidden="false" customHeight="true" outlineLevel="0" collapsed="false">
      <c r="A392" s="8" t="s">
        <v>68</v>
      </c>
      <c r="B392" s="31" t="n">
        <f aca="false">SUMIFS(Détail!$E:$E,Détail!$D:$D,"AENA AEROPUERTO",Détail!$A:$A,"&gt;="&amp;DATE(2025,4,1),Détail!$A:$A,"&lt;"&amp;EDATE(DATE(2025,4,1),1))</f>
        <v>0</v>
      </c>
    </row>
    <row r="393" customFormat="false" ht="15" hidden="false" customHeight="true" outlineLevel="0" collapsed="false">
      <c r="A393" s="8" t="s">
        <v>69</v>
      </c>
      <c r="B393" s="31" t="n">
        <f aca="false">SUMIFS(Détail!$E:$E,Détail!$D:$D,"AENA AEROPUERTO",Détail!$A:$A,"&gt;="&amp;DATE(2025,5,1),Détail!$A:$A,"&lt;"&amp;EDATE(DATE(2025,5,1),1))</f>
        <v>0</v>
      </c>
    </row>
    <row r="394" customFormat="false" ht="15" hidden="false" customHeight="true" outlineLevel="0" collapsed="false">
      <c r="A394" s="8" t="s">
        <v>70</v>
      </c>
      <c r="B394" s="31" t="n">
        <f aca="false">SUMIFS(Détail!$E:$E,Détail!$D:$D,"AENA AEROPUERTO",Détail!$A:$A,"&gt;="&amp;DATE(2025,6,1),Détail!$A:$A,"&lt;"&amp;EDATE(DATE(2025,6,1),1))</f>
        <v>0</v>
      </c>
    </row>
    <row r="395" customFormat="false" ht="15" hidden="false" customHeight="true" outlineLevel="0" collapsed="false">
      <c r="A395" s="8" t="s">
        <v>71</v>
      </c>
      <c r="B395" s="31" t="n">
        <f aca="false">SUMIFS(Détail!$E:$E,Détail!$D:$D,"AENA AEROPUERTO",Détail!$A:$A,"&gt;="&amp;DATE(2025,7,1),Détail!$A:$A,"&lt;"&amp;EDATE(DATE(2025,7,1),1))</f>
        <v>0</v>
      </c>
    </row>
    <row r="396" customFormat="false" ht="15" hidden="false" customHeight="true" outlineLevel="0" collapsed="false">
      <c r="A396" s="8" t="s">
        <v>72</v>
      </c>
      <c r="B396" s="31" t="n">
        <f aca="false">SUMIFS(Détail!$E:$E,Détail!$D:$D,"AENA AEROPUERTO",Détail!$A:$A,"&gt;="&amp;DATE(2025,8,1),Détail!$A:$A,"&lt;"&amp;EDATE(DATE(2025,8,1),1))</f>
        <v>-3.55</v>
      </c>
    </row>
    <row r="397" customFormat="false" ht="15" hidden="false" customHeight="true" outlineLevel="0" collapsed="false">
      <c r="A397" s="8" t="s">
        <v>73</v>
      </c>
      <c r="B397" s="31" t="n">
        <f aca="false">SUMIFS(Détail!$E:$E,Détail!$D:$D,"AENA AEROPUERTO",Détail!$A:$A,"&gt;="&amp;DATE(2025,9,1),Détail!$A:$A,"&lt;"&amp;EDATE(DATE(2025,9,1),1))</f>
        <v>0</v>
      </c>
    </row>
    <row r="398" customFormat="false" ht="15" hidden="false" customHeight="true" outlineLevel="0" collapsed="false">
      <c r="A398" s="8" t="s">
        <v>74</v>
      </c>
      <c r="B398" s="31" t="n">
        <f aca="false">SUMIFS(Détail!$E:$E,Détail!$D:$D,"AENA AEROPUERTO",Détail!$A:$A,"&gt;="&amp;DATE(2025,10,1),Détail!$A:$A,"&lt;"&amp;EDATE(DATE(2025,10,1),1))</f>
        <v>0</v>
      </c>
    </row>
    <row r="399" customFormat="false" ht="15" hidden="false" customHeight="true" outlineLevel="0" collapsed="false">
      <c r="A399" s="8" t="s">
        <v>75</v>
      </c>
      <c r="B399" s="31" t="n">
        <f aca="false">SUMIFS(Détail!$E:$E,Détail!$D:$D,"AENA AEROPUERTO",Détail!$A:$A,"&gt;="&amp;DATE(2025,11,1),Détail!$A:$A,"&lt;"&amp;EDATE(DATE(2025,11,1),1))</f>
        <v>0</v>
      </c>
    </row>
    <row r="400" customFormat="false" ht="15" hidden="false" customHeight="true" outlineLevel="0" collapsed="false">
      <c r="A400" s="8" t="s">
        <v>76</v>
      </c>
      <c r="B400" s="31" t="n">
        <f aca="false">SUMIFS(Détail!$E:$E,Détail!$D:$D,"AENA AEROPUERTO",Détail!$A:$A,"&gt;="&amp;DATE(2025,12,1),Détail!$A:$A,"&lt;"&amp;EDATE(DATE(2025,12,1),1))</f>
        <v>0</v>
      </c>
    </row>
  </sheetData>
  <mergeCells count="25">
    <mergeCell ref="A3:B3"/>
    <mergeCell ref="A19:B19"/>
    <mergeCell ref="A35:B35"/>
    <mergeCell ref="A51:B51"/>
    <mergeCell ref="A67:B67"/>
    <mergeCell ref="A83:B83"/>
    <mergeCell ref="A99:B99"/>
    <mergeCell ref="A115:B115"/>
    <mergeCell ref="A131:B131"/>
    <mergeCell ref="A147:B147"/>
    <mergeCell ref="A163:B163"/>
    <mergeCell ref="A179:B179"/>
    <mergeCell ref="A195:B195"/>
    <mergeCell ref="A211:B211"/>
    <mergeCell ref="A227:B227"/>
    <mergeCell ref="A243:B243"/>
    <mergeCell ref="A259:B259"/>
    <mergeCell ref="A275:B275"/>
    <mergeCell ref="A291:B291"/>
    <mergeCell ref="A307:B307"/>
    <mergeCell ref="A323:B323"/>
    <mergeCell ref="A339:B339"/>
    <mergeCell ref="A355:B355"/>
    <mergeCell ref="A371:B371"/>
    <mergeCell ref="A387:B3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143</v>
      </c>
    </row>
    <row r="3" customFormat="false" ht="15" hidden="false" customHeight="true" outlineLevel="0" collapsed="false">
      <c r="A3" s="29" t="s">
        <v>144</v>
      </c>
      <c r="B3" s="29"/>
      <c r="C3" s="30" t="n">
        <f aca="false">SUMIF(Détail!$D:$D,"ORANGE SA",Détail!$E:$E)</f>
        <v>-6873.65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SUMIFS(Détail!$E:$E,Détail!$D:$D,"ORANGE SA",Détail!$A:$A,"&gt;="&amp;DATE(2025,1,1),Détail!$A:$A,"&lt;"&amp;EDATE(DATE(2025,1,1),1))</f>
        <v>-443.79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SUMIFS(Détail!$E:$E,Détail!$D:$D,"ORANGE SA",Détail!$A:$A,"&gt;="&amp;DATE(2025,2,1),Détail!$A:$A,"&lt;"&amp;EDATE(DATE(2025,2,1),1))</f>
        <v>-448.53</v>
      </c>
    </row>
    <row r="7" customFormat="false" ht="15" hidden="false" customHeight="true" outlineLevel="0" collapsed="false">
      <c r="A7" s="8" t="s">
        <v>67</v>
      </c>
      <c r="B7" s="31" t="n">
        <f aca="false">SUMIFS(Détail!$E:$E,Détail!$D:$D,"ORANGE SA",Détail!$A:$A,"&gt;="&amp;DATE(2025,3,1),Détail!$A:$A,"&lt;"&amp;EDATE(DATE(2025,3,1),1))</f>
        <v>-441.74</v>
      </c>
    </row>
    <row r="8" customFormat="false" ht="15" hidden="false" customHeight="true" outlineLevel="0" collapsed="false">
      <c r="A8" s="8" t="s">
        <v>68</v>
      </c>
      <c r="B8" s="31" t="n">
        <f aca="false">SUMIFS(Détail!$E:$E,Détail!$D:$D,"ORANGE SA",Détail!$A:$A,"&gt;="&amp;DATE(2025,4,1),Détail!$A:$A,"&lt;"&amp;EDATE(DATE(2025,4,1),1))</f>
        <v>-531.18</v>
      </c>
    </row>
    <row r="9" customFormat="false" ht="15" hidden="false" customHeight="true" outlineLevel="0" collapsed="false">
      <c r="A9" s="8" t="s">
        <v>69</v>
      </c>
      <c r="B9" s="31" t="n">
        <f aca="false">SUMIFS(Détail!$E:$E,Détail!$D:$D,"ORANGE SA",Détail!$A:$A,"&gt;="&amp;DATE(2025,5,1),Détail!$A:$A,"&lt;"&amp;EDATE(DATE(2025,5,1),1))</f>
        <v>-488.91</v>
      </c>
    </row>
    <row r="10" customFormat="false" ht="15" hidden="false" customHeight="true" outlineLevel="0" collapsed="false">
      <c r="A10" s="8" t="s">
        <v>70</v>
      </c>
      <c r="B10" s="31" t="n">
        <f aca="false">SUMIFS(Détail!$E:$E,Détail!$D:$D,"ORANGE SA",Détail!$A:$A,"&gt;="&amp;DATE(2025,6,1),Détail!$A:$A,"&lt;"&amp;EDATE(DATE(2025,6,1),1))</f>
        <v>-531.8</v>
      </c>
    </row>
    <row r="11" customFormat="false" ht="15" hidden="false" customHeight="true" outlineLevel="0" collapsed="false">
      <c r="A11" s="8" t="s">
        <v>71</v>
      </c>
      <c r="B11" s="31" t="n">
        <f aca="false">SUMIFS(Détail!$E:$E,Détail!$D:$D,"ORANGE SA",Détail!$A:$A,"&gt;="&amp;DATE(2025,7,1),Détail!$A:$A,"&lt;"&amp;EDATE(DATE(2025,7,1),1))</f>
        <v>-471.5</v>
      </c>
    </row>
    <row r="12" customFormat="false" ht="15" hidden="false" customHeight="true" outlineLevel="0" collapsed="false">
      <c r="A12" s="8" t="s">
        <v>72</v>
      </c>
      <c r="B12" s="31" t="n">
        <f aca="false">SUMIFS(Détail!$E:$E,Détail!$D:$D,"ORANGE SA",Détail!$A:$A,"&gt;="&amp;DATE(2025,8,1),Détail!$A:$A,"&lt;"&amp;EDATE(DATE(2025,8,1),1))</f>
        <v>-474.9</v>
      </c>
    </row>
    <row r="13" customFormat="false" ht="15" hidden="false" customHeight="true" outlineLevel="0" collapsed="false">
      <c r="A13" s="8" t="s">
        <v>73</v>
      </c>
      <c r="B13" s="31" t="n">
        <f aca="false">SUMIFS(Détail!$E:$E,Détail!$D:$D,"ORANGE SA",Détail!$A:$A,"&gt;="&amp;DATE(2025,9,1),Détail!$A:$A,"&lt;"&amp;EDATE(DATE(2025,9,1),1))</f>
        <v>-1318.82</v>
      </c>
    </row>
    <row r="14" customFormat="false" ht="15" hidden="false" customHeight="true" outlineLevel="0" collapsed="false">
      <c r="A14" s="8" t="s">
        <v>74</v>
      </c>
      <c r="B14" s="31" t="n">
        <f aca="false">SUMIFS(Détail!$E:$E,Détail!$D:$D,"ORANGE SA",Détail!$A:$A,"&gt;="&amp;DATE(2025,10,1),Détail!$A:$A,"&lt;"&amp;EDATE(DATE(2025,10,1),1))</f>
        <v>-551.67</v>
      </c>
    </row>
    <row r="15" customFormat="false" ht="15" hidden="false" customHeight="true" outlineLevel="0" collapsed="false">
      <c r="A15" s="8" t="s">
        <v>75</v>
      </c>
      <c r="B15" s="31" t="n">
        <f aca="false">SUMIFS(Détail!$E:$E,Détail!$D:$D,"ORANGE SA",Détail!$A:$A,"&gt;="&amp;DATE(2025,11,1),Détail!$A:$A,"&lt;"&amp;EDATE(DATE(2025,11,1),1))</f>
        <v>-682.48</v>
      </c>
    </row>
    <row r="16" customFormat="false" ht="15" hidden="false" customHeight="true" outlineLevel="0" collapsed="false">
      <c r="A16" s="8" t="s">
        <v>76</v>
      </c>
      <c r="B16" s="31" t="n">
        <f aca="false">SUMIFS(Détail!$E:$E,Détail!$D:$D,"ORANGE SA",Détail!$A:$A,"&gt;="&amp;DATE(2025,12,1),Détail!$A:$A,"&lt;"&amp;EDATE(DATE(2025,12,1),1))</f>
        <v>-488.33</v>
      </c>
    </row>
    <row r="19" customFormat="false" ht="15" hidden="false" customHeight="true" outlineLevel="0" collapsed="false">
      <c r="A19" s="29" t="s">
        <v>145</v>
      </c>
      <c r="B19" s="29"/>
      <c r="C19" s="30" t="n">
        <f aca="false">SUMIF(Détail!$D:$D,"GOOGLE WORKSPACE",Détail!$E:$E)</f>
        <v>-1676.8</v>
      </c>
    </row>
    <row r="20" customFormat="false" ht="15" hidden="false" customHeight="true" outlineLevel="0" collapsed="false">
      <c r="A20" s="24" t="s">
        <v>63</v>
      </c>
      <c r="B20" s="24" t="s">
        <v>64</v>
      </c>
    </row>
    <row r="21" customFormat="false" ht="15" hidden="false" customHeight="true" outlineLevel="0" collapsed="false">
      <c r="A21" s="8" t="s">
        <v>65</v>
      </c>
      <c r="B21" s="31" t="n">
        <f aca="false">SUMIFS(Détail!$E:$E,Détail!$D:$D,"GOOGLE WORKSPACE",Détail!$A:$A,"&gt;="&amp;DATE(2025,1,1),Détail!$A:$A,"&lt;"&amp;EDATE(DATE(2025,1,1),1))</f>
        <v>-215.28</v>
      </c>
    </row>
    <row r="22" customFormat="false" ht="15" hidden="false" customHeight="true" outlineLevel="0" collapsed="false">
      <c r="A22" s="8" t="s">
        <v>66</v>
      </c>
      <c r="B22" s="31" t="n">
        <f aca="false">SUMIFS(Détail!$E:$E,Détail!$D:$D,"GOOGLE WORKSPACE",Détail!$A:$A,"&gt;="&amp;DATE(2025,2,1),Détail!$A:$A,"&lt;"&amp;EDATE(DATE(2025,2,1),1))</f>
        <v>-107.63</v>
      </c>
    </row>
    <row r="23" customFormat="false" ht="15" hidden="false" customHeight="true" outlineLevel="0" collapsed="false">
      <c r="A23" s="8" t="s">
        <v>67</v>
      </c>
      <c r="B23" s="31" t="n">
        <f aca="false">SUMIFS(Détail!$E:$E,Détail!$D:$D,"GOOGLE WORKSPACE",Détail!$A:$A,"&gt;="&amp;DATE(2025,3,1),Détail!$A:$A,"&lt;"&amp;EDATE(DATE(2025,3,1),1))</f>
        <v>-107.64</v>
      </c>
    </row>
    <row r="24" customFormat="false" ht="15" hidden="false" customHeight="true" outlineLevel="0" collapsed="false">
      <c r="A24" s="8" t="s">
        <v>68</v>
      </c>
      <c r="B24" s="31" t="n">
        <f aca="false">SUMIFS(Détail!$E:$E,Détail!$D:$D,"GOOGLE WORKSPACE",Détail!$A:$A,"&gt;="&amp;DATE(2025,4,1),Détail!$A:$A,"&lt;"&amp;EDATE(DATE(2025,4,1),1))</f>
        <v>-111.85</v>
      </c>
    </row>
    <row r="25" customFormat="false" ht="15" hidden="false" customHeight="true" outlineLevel="0" collapsed="false">
      <c r="A25" s="8" t="s">
        <v>69</v>
      </c>
      <c r="B25" s="31" t="n">
        <f aca="false">SUMIFS(Détail!$E:$E,Détail!$D:$D,"GOOGLE WORKSPACE",Détail!$A:$A,"&gt;="&amp;DATE(2025,5,1),Détail!$A:$A,"&lt;"&amp;EDATE(DATE(2025,5,1),1))</f>
        <v>-126.36</v>
      </c>
    </row>
    <row r="26" customFormat="false" ht="15" hidden="false" customHeight="true" outlineLevel="0" collapsed="false">
      <c r="A26" s="8" t="s">
        <v>70</v>
      </c>
      <c r="B26" s="31" t="n">
        <f aca="false">SUMIFS(Détail!$E:$E,Détail!$D:$D,"GOOGLE WORKSPACE",Détail!$A:$A,"&gt;="&amp;DATE(2025,6,1),Détail!$A:$A,"&lt;"&amp;EDATE(DATE(2025,6,1),1))</f>
        <v>-133.56</v>
      </c>
    </row>
    <row r="27" customFormat="false" ht="15" hidden="false" customHeight="true" outlineLevel="0" collapsed="false">
      <c r="A27" s="8" t="s">
        <v>71</v>
      </c>
      <c r="B27" s="31" t="n">
        <f aca="false">SUMIFS(Détail!$E:$E,Détail!$D:$D,"GOOGLE WORKSPACE",Détail!$A:$A,"&gt;="&amp;DATE(2025,7,1),Détail!$A:$A,"&lt;"&amp;EDATE(DATE(2025,7,1),1))</f>
        <v>-145.48</v>
      </c>
    </row>
    <row r="28" customFormat="false" ht="15" hidden="false" customHeight="true" outlineLevel="0" collapsed="false">
      <c r="A28" s="8" t="s">
        <v>72</v>
      </c>
      <c r="B28" s="31" t="n">
        <f aca="false">SUMIFS(Détail!$E:$E,Détail!$D:$D,"GOOGLE WORKSPACE",Détail!$A:$A,"&gt;="&amp;DATE(2025,8,1),Détail!$A:$A,"&lt;"&amp;EDATE(DATE(2025,8,1),1))</f>
        <v>-145.8</v>
      </c>
    </row>
    <row r="29" customFormat="false" ht="15" hidden="false" customHeight="true" outlineLevel="0" collapsed="false">
      <c r="A29" s="8" t="s">
        <v>73</v>
      </c>
      <c r="B29" s="31" t="n">
        <f aca="false">SUMIFS(Détail!$E:$E,Détail!$D:$D,"GOOGLE WORKSPACE",Détail!$A:$A,"&gt;="&amp;DATE(2025,9,1),Détail!$A:$A,"&lt;"&amp;EDATE(DATE(2025,9,1),1))</f>
        <v>-145.8</v>
      </c>
    </row>
    <row r="30" customFormat="false" ht="15" hidden="false" customHeight="true" outlineLevel="0" collapsed="false">
      <c r="A30" s="8" t="s">
        <v>74</v>
      </c>
      <c r="B30" s="31" t="n">
        <f aca="false">SUMIFS(Détail!$E:$E,Détail!$D:$D,"GOOGLE WORKSPACE",Détail!$A:$A,"&gt;="&amp;DATE(2025,10,1),Détail!$A:$A,"&lt;"&amp;EDATE(DATE(2025,10,1),1))</f>
        <v>-145.8</v>
      </c>
    </row>
    <row r="31" customFormat="false" ht="15" hidden="false" customHeight="true" outlineLevel="0" collapsed="false">
      <c r="A31" s="8" t="s">
        <v>75</v>
      </c>
      <c r="B31" s="31" t="n">
        <f aca="false">SUMIFS(Détail!$E:$E,Détail!$D:$D,"GOOGLE WORKSPACE",Détail!$A:$A,"&gt;="&amp;DATE(2025,11,1),Détail!$A:$A,"&lt;"&amp;EDATE(DATE(2025,11,1),1))</f>
        <v>-145.8</v>
      </c>
    </row>
    <row r="32" customFormat="false" ht="15" hidden="false" customHeight="true" outlineLevel="0" collapsed="false">
      <c r="A32" s="8" t="s">
        <v>76</v>
      </c>
      <c r="B32" s="31" t="n">
        <f aca="false">SUMIFS(Détail!$E:$E,Détail!$D:$D,"GOOGLE WORKSPACE",Détail!$A:$A,"&gt;="&amp;DATE(2025,12,1),Détail!$A:$A,"&lt;"&amp;EDATE(DATE(2025,12,1),1))</f>
        <v>-145.8</v>
      </c>
    </row>
    <row r="35" customFormat="false" ht="15" hidden="false" customHeight="true" outlineLevel="0" collapsed="false">
      <c r="A35" s="29" t="s">
        <v>146</v>
      </c>
      <c r="B35" s="29"/>
      <c r="C35" s="30" t="n">
        <f aca="false">SUMIF(Détail!$D:$D,"BOUTIQUE ORANGE",Détail!$E:$E)</f>
        <v>-1120.96</v>
      </c>
    </row>
    <row r="36" customFormat="false" ht="15" hidden="false" customHeight="true" outlineLevel="0" collapsed="false">
      <c r="A36" s="24" t="s">
        <v>63</v>
      </c>
      <c r="B36" s="24" t="s">
        <v>64</v>
      </c>
    </row>
    <row r="37" customFormat="false" ht="15" hidden="false" customHeight="true" outlineLevel="0" collapsed="false">
      <c r="A37" s="8" t="s">
        <v>65</v>
      </c>
      <c r="B37" s="31" t="n">
        <f aca="false">SUMIFS(Détail!$E:$E,Détail!$D:$D,"BOUTIQUE ORANGE",Détail!$A:$A,"&gt;="&amp;DATE(2025,1,1),Détail!$A:$A,"&lt;"&amp;EDATE(DATE(2025,1,1),1))</f>
        <v>0</v>
      </c>
    </row>
    <row r="38" customFormat="false" ht="15" hidden="false" customHeight="true" outlineLevel="0" collapsed="false">
      <c r="A38" s="8" t="s">
        <v>66</v>
      </c>
      <c r="B38" s="31" t="n">
        <f aca="false">SUMIFS(Détail!$E:$E,Détail!$D:$D,"BOUTIQUE ORANGE",Détail!$A:$A,"&gt;="&amp;DATE(2025,2,1),Détail!$A:$A,"&lt;"&amp;EDATE(DATE(2025,2,1),1))</f>
        <v>0</v>
      </c>
    </row>
    <row r="39" customFormat="false" ht="15" hidden="false" customHeight="true" outlineLevel="0" collapsed="false">
      <c r="A39" s="8" t="s">
        <v>67</v>
      </c>
      <c r="B39" s="31" t="n">
        <f aca="false">SUMIFS(Détail!$E:$E,Détail!$D:$D,"BOUTIQUE ORANGE",Détail!$A:$A,"&gt;="&amp;DATE(2025,3,1),Détail!$A:$A,"&lt;"&amp;EDATE(DATE(2025,3,1),1))</f>
        <v>0</v>
      </c>
    </row>
    <row r="40" customFormat="false" ht="15" hidden="false" customHeight="true" outlineLevel="0" collapsed="false">
      <c r="A40" s="8" t="s">
        <v>68</v>
      </c>
      <c r="B40" s="31" t="n">
        <f aca="false">SUMIFS(Détail!$E:$E,Détail!$D:$D,"BOUTIQUE ORANGE",Détail!$A:$A,"&gt;="&amp;DATE(2025,4,1),Détail!$A:$A,"&lt;"&amp;EDATE(DATE(2025,4,1),1))</f>
        <v>0</v>
      </c>
    </row>
    <row r="41" customFormat="false" ht="15" hidden="false" customHeight="true" outlineLevel="0" collapsed="false">
      <c r="A41" s="8" t="s">
        <v>69</v>
      </c>
      <c r="B41" s="31" t="n">
        <f aca="false">SUMIFS(Détail!$E:$E,Détail!$D:$D,"BOUTIQUE ORANGE",Détail!$A:$A,"&gt;="&amp;DATE(2025,5,1),Détail!$A:$A,"&lt;"&amp;EDATE(DATE(2025,5,1),1))</f>
        <v>0</v>
      </c>
    </row>
    <row r="42" customFormat="false" ht="15" hidden="false" customHeight="true" outlineLevel="0" collapsed="false">
      <c r="A42" s="8" t="s">
        <v>70</v>
      </c>
      <c r="B42" s="31" t="n">
        <f aca="false">SUMIFS(Détail!$E:$E,Détail!$D:$D,"BOUTIQUE ORANGE",Détail!$A:$A,"&gt;="&amp;DATE(2025,6,1),Détail!$A:$A,"&lt;"&amp;EDATE(DATE(2025,6,1),1))</f>
        <v>0</v>
      </c>
    </row>
    <row r="43" customFormat="false" ht="15" hidden="false" customHeight="true" outlineLevel="0" collapsed="false">
      <c r="A43" s="8" t="s">
        <v>71</v>
      </c>
      <c r="B43" s="31" t="n">
        <f aca="false">SUMIFS(Détail!$E:$E,Détail!$D:$D,"BOUTIQUE ORANGE",Détail!$A:$A,"&gt;="&amp;DATE(2025,7,1),Détail!$A:$A,"&lt;"&amp;EDATE(DATE(2025,7,1),1))</f>
        <v>0</v>
      </c>
    </row>
    <row r="44" customFormat="false" ht="15" hidden="false" customHeight="true" outlineLevel="0" collapsed="false">
      <c r="A44" s="8" t="s">
        <v>72</v>
      </c>
      <c r="B44" s="31" t="n">
        <f aca="false">SUMIFS(Détail!$E:$E,Détail!$D:$D,"BOUTIQUE ORANGE",Détail!$A:$A,"&gt;="&amp;DATE(2025,8,1),Détail!$A:$A,"&lt;"&amp;EDATE(DATE(2025,8,1),1))</f>
        <v>0</v>
      </c>
    </row>
    <row r="45" customFormat="false" ht="15" hidden="false" customHeight="true" outlineLevel="0" collapsed="false">
      <c r="A45" s="8" t="s">
        <v>73</v>
      </c>
      <c r="B45" s="31" t="n">
        <f aca="false">SUMIFS(Détail!$E:$E,Détail!$D:$D,"BOUTIQUE ORANGE",Détail!$A:$A,"&gt;="&amp;DATE(2025,9,1),Détail!$A:$A,"&lt;"&amp;EDATE(DATE(2025,9,1),1))</f>
        <v>-1120.96</v>
      </c>
    </row>
    <row r="46" customFormat="false" ht="15" hidden="false" customHeight="true" outlineLevel="0" collapsed="false">
      <c r="A46" s="8" t="s">
        <v>74</v>
      </c>
      <c r="B46" s="31" t="n">
        <f aca="false">SUMIFS(Détail!$E:$E,Détail!$D:$D,"BOUTIQUE ORANGE",Détail!$A:$A,"&gt;="&amp;DATE(2025,10,1),Détail!$A:$A,"&lt;"&amp;EDATE(DATE(2025,10,1),1))</f>
        <v>0</v>
      </c>
    </row>
    <row r="47" customFormat="false" ht="15" hidden="false" customHeight="true" outlineLevel="0" collapsed="false">
      <c r="A47" s="8" t="s">
        <v>75</v>
      </c>
      <c r="B47" s="31" t="n">
        <f aca="false">SUMIFS(Détail!$E:$E,Détail!$D:$D,"BOUTIQUE ORANGE",Détail!$A:$A,"&gt;="&amp;DATE(2025,11,1),Détail!$A:$A,"&lt;"&amp;EDATE(DATE(2025,11,1),1))</f>
        <v>0</v>
      </c>
    </row>
    <row r="48" customFormat="false" ht="15" hidden="false" customHeight="true" outlineLevel="0" collapsed="false">
      <c r="A48" s="8" t="s">
        <v>76</v>
      </c>
      <c r="B48" s="31" t="n">
        <f aca="false">SUMIFS(Détail!$E:$E,Détail!$D:$D,"BOUTIQUE ORANGE",Détail!$A:$A,"&gt;="&amp;DATE(2025,12,1),Détail!$A:$A,"&lt;"&amp;EDATE(DATE(2025,12,1),1))</f>
        <v>0</v>
      </c>
    </row>
    <row r="51" customFormat="false" ht="15" hidden="false" customHeight="true" outlineLevel="0" collapsed="false">
      <c r="A51" s="29" t="s">
        <v>147</v>
      </c>
      <c r="B51" s="29"/>
      <c r="C51" s="30" t="n">
        <f aca="false">SUMIF(Détail!$D:$D,"ADOBE",Détail!$E:$E)</f>
        <v>-679.78</v>
      </c>
    </row>
    <row r="52" customFormat="false" ht="15" hidden="false" customHeight="true" outlineLevel="0" collapsed="false">
      <c r="A52" s="24" t="s">
        <v>63</v>
      </c>
      <c r="B52" s="24" t="s">
        <v>64</v>
      </c>
    </row>
    <row r="53" customFormat="false" ht="15" hidden="false" customHeight="true" outlineLevel="0" collapsed="false">
      <c r="A53" s="8" t="s">
        <v>65</v>
      </c>
      <c r="B53" s="31" t="n">
        <f aca="false">SUMIFS(Détail!$E:$E,Détail!$D:$D,"ADOBE",Détail!$A:$A,"&gt;="&amp;DATE(2025,1,1),Détail!$A:$A,"&lt;"&amp;EDATE(DATE(2025,1,1),1))</f>
        <v>-55.84</v>
      </c>
    </row>
    <row r="54" customFormat="false" ht="15" hidden="false" customHeight="true" outlineLevel="0" collapsed="false">
      <c r="A54" s="8" t="s">
        <v>66</v>
      </c>
      <c r="B54" s="31" t="n">
        <f aca="false">SUMIFS(Détail!$E:$E,Détail!$D:$D,"ADOBE",Détail!$A:$A,"&gt;="&amp;DATE(2025,2,1),Détail!$A:$A,"&lt;"&amp;EDATE(DATE(2025,2,1),1))</f>
        <v>0</v>
      </c>
    </row>
    <row r="55" customFormat="false" ht="15" hidden="false" customHeight="true" outlineLevel="0" collapsed="false">
      <c r="A55" s="8" t="s">
        <v>67</v>
      </c>
      <c r="B55" s="31" t="n">
        <f aca="false">SUMIFS(Détail!$E:$E,Détail!$D:$D,"ADOBE",Détail!$A:$A,"&gt;="&amp;DATE(2025,3,1),Détail!$A:$A,"&lt;"&amp;EDATE(DATE(2025,3,1),1))</f>
        <v>-111.68</v>
      </c>
    </row>
    <row r="56" customFormat="false" ht="15" hidden="false" customHeight="true" outlineLevel="0" collapsed="false">
      <c r="A56" s="8" t="s">
        <v>68</v>
      </c>
      <c r="B56" s="31" t="n">
        <f aca="false">SUMIFS(Détail!$E:$E,Détail!$D:$D,"ADOBE",Détail!$A:$A,"&gt;="&amp;DATE(2025,4,1),Détail!$A:$A,"&lt;"&amp;EDATE(DATE(2025,4,1),1))</f>
        <v>-55.84</v>
      </c>
    </row>
    <row r="57" customFormat="false" ht="15" hidden="false" customHeight="true" outlineLevel="0" collapsed="false">
      <c r="A57" s="8" t="s">
        <v>69</v>
      </c>
      <c r="B57" s="31" t="n">
        <f aca="false">SUMIFS(Détail!$E:$E,Détail!$D:$D,"ADOBE",Détail!$A:$A,"&gt;="&amp;DATE(2025,5,1),Détail!$A:$A,"&lt;"&amp;EDATE(DATE(2025,5,1),1))</f>
        <v>-55.84</v>
      </c>
    </row>
    <row r="58" customFormat="false" ht="15" hidden="false" customHeight="true" outlineLevel="0" collapsed="false">
      <c r="A58" s="8" t="s">
        <v>70</v>
      </c>
      <c r="B58" s="31" t="n">
        <f aca="false">SUMIFS(Détail!$E:$E,Détail!$D:$D,"ADOBE",Détail!$A:$A,"&gt;="&amp;DATE(2025,6,1),Détail!$A:$A,"&lt;"&amp;EDATE(DATE(2025,6,1),1))</f>
        <v>-55.84</v>
      </c>
    </row>
    <row r="59" customFormat="false" ht="15" hidden="false" customHeight="true" outlineLevel="0" collapsed="false">
      <c r="A59" s="8" t="s">
        <v>71</v>
      </c>
      <c r="B59" s="31" t="n">
        <f aca="false">SUMIFS(Détail!$E:$E,Détail!$D:$D,"ADOBE",Détail!$A:$A,"&gt;="&amp;DATE(2025,7,1),Détail!$A:$A,"&lt;"&amp;EDATE(DATE(2025,7,1),1))</f>
        <v>-55.84</v>
      </c>
    </row>
    <row r="60" customFormat="false" ht="15" hidden="false" customHeight="true" outlineLevel="0" collapsed="false">
      <c r="A60" s="8" t="s">
        <v>72</v>
      </c>
      <c r="B60" s="31" t="n">
        <f aca="false">SUMIFS(Détail!$E:$E,Détail!$D:$D,"ADOBE",Détail!$A:$A,"&gt;="&amp;DATE(2025,8,1),Détail!$A:$A,"&lt;"&amp;EDATE(DATE(2025,8,1),1))</f>
        <v>-55.84</v>
      </c>
    </row>
    <row r="61" customFormat="false" ht="15" hidden="false" customHeight="true" outlineLevel="0" collapsed="false">
      <c r="A61" s="8" t="s">
        <v>73</v>
      </c>
      <c r="B61" s="31" t="n">
        <f aca="false">SUMIFS(Détail!$E:$E,Détail!$D:$D,"ADOBE",Détail!$A:$A,"&gt;="&amp;DATE(2025,9,1),Détail!$A:$A,"&lt;"&amp;EDATE(DATE(2025,9,1),1))</f>
        <v>-55.84</v>
      </c>
    </row>
    <row r="62" customFormat="false" ht="15" hidden="false" customHeight="true" outlineLevel="0" collapsed="false">
      <c r="A62" s="8" t="s">
        <v>74</v>
      </c>
      <c r="B62" s="31" t="n">
        <f aca="false">SUMIFS(Détail!$E:$E,Détail!$D:$D,"ADOBE",Détail!$A:$A,"&gt;="&amp;DATE(2025,10,1),Détail!$A:$A,"&lt;"&amp;EDATE(DATE(2025,10,1),1))</f>
        <v>-55.84</v>
      </c>
    </row>
    <row r="63" customFormat="false" ht="15" hidden="false" customHeight="true" outlineLevel="0" collapsed="false">
      <c r="A63" s="8" t="s">
        <v>75</v>
      </c>
      <c r="B63" s="31" t="n">
        <f aca="false">SUMIFS(Détail!$E:$E,Détail!$D:$D,"ADOBE",Détail!$A:$A,"&gt;="&amp;DATE(2025,11,1),Détail!$A:$A,"&lt;"&amp;EDATE(DATE(2025,11,1),1))</f>
        <v>0</v>
      </c>
    </row>
    <row r="64" customFormat="false" ht="15" hidden="false" customHeight="true" outlineLevel="0" collapsed="false">
      <c r="A64" s="8" t="s">
        <v>76</v>
      </c>
      <c r="B64" s="31" t="n">
        <f aca="false">SUMIFS(Détail!$E:$E,Détail!$D:$D,"ADOBE",Détail!$A:$A,"&gt;="&amp;DATE(2025,12,1),Détail!$A:$A,"&lt;"&amp;EDATE(DATE(2025,12,1),1))</f>
        <v>-121.38</v>
      </c>
    </row>
    <row r="67" customFormat="false" ht="15" hidden="false" customHeight="true" outlineLevel="0" collapsed="false">
      <c r="A67" s="29" t="s">
        <v>148</v>
      </c>
      <c r="B67" s="29"/>
      <c r="C67" s="30" t="n">
        <f aca="false">SUMIF(Détail!$D:$D,"SHOPIFY",Détail!$E:$E)</f>
        <v>-519.19</v>
      </c>
    </row>
    <row r="68" customFormat="false" ht="15" hidden="false" customHeight="true" outlineLevel="0" collapsed="false">
      <c r="A68" s="24" t="s">
        <v>63</v>
      </c>
      <c r="B68" s="24" t="s">
        <v>64</v>
      </c>
    </row>
    <row r="69" customFormat="false" ht="15" hidden="false" customHeight="true" outlineLevel="0" collapsed="false">
      <c r="A69" s="8" t="s">
        <v>65</v>
      </c>
      <c r="B69" s="31" t="n">
        <f aca="false">SUMIFS(Détail!$E:$E,Détail!$D:$D,"SHOPIFY",Détail!$A:$A,"&gt;="&amp;DATE(2025,1,1),Détail!$A:$A,"&lt;"&amp;EDATE(DATE(2025,1,1),1))</f>
        <v>-85.14</v>
      </c>
    </row>
    <row r="70" customFormat="false" ht="15" hidden="false" customHeight="true" outlineLevel="0" collapsed="false">
      <c r="A70" s="8" t="s">
        <v>66</v>
      </c>
      <c r="B70" s="31" t="n">
        <f aca="false">SUMIFS(Détail!$E:$E,Détail!$D:$D,"SHOPIFY",Détail!$A:$A,"&gt;="&amp;DATE(2025,2,1),Détail!$A:$A,"&lt;"&amp;EDATE(DATE(2025,2,1),1))</f>
        <v>-38.46</v>
      </c>
    </row>
    <row r="71" customFormat="false" ht="15" hidden="false" customHeight="true" outlineLevel="0" collapsed="false">
      <c r="A71" s="8" t="s">
        <v>67</v>
      </c>
      <c r="B71" s="31" t="n">
        <f aca="false">SUMIFS(Détail!$E:$E,Détail!$D:$D,"SHOPIFY",Détail!$A:$A,"&gt;="&amp;DATE(2025,3,1),Détail!$A:$A,"&lt;"&amp;EDATE(DATE(2025,3,1),1))</f>
        <v>-41.64</v>
      </c>
    </row>
    <row r="72" customFormat="false" ht="15" hidden="false" customHeight="true" outlineLevel="0" collapsed="false">
      <c r="A72" s="8" t="s">
        <v>68</v>
      </c>
      <c r="B72" s="31" t="n">
        <f aca="false">SUMIFS(Détail!$E:$E,Détail!$D:$D,"SHOPIFY",Détail!$A:$A,"&gt;="&amp;DATE(2025,4,1),Détail!$A:$A,"&lt;"&amp;EDATE(DATE(2025,4,1),1))</f>
        <v>-37.9</v>
      </c>
    </row>
    <row r="73" customFormat="false" ht="15" hidden="false" customHeight="true" outlineLevel="0" collapsed="false">
      <c r="A73" s="8" t="s">
        <v>69</v>
      </c>
      <c r="B73" s="31" t="n">
        <f aca="false">SUMIFS(Détail!$E:$E,Détail!$D:$D,"SHOPIFY",Détail!$A:$A,"&gt;="&amp;DATE(2025,5,1),Détail!$A:$A,"&lt;"&amp;EDATE(DATE(2025,5,1),1))</f>
        <v>-41.56</v>
      </c>
    </row>
    <row r="74" customFormat="false" ht="15" hidden="false" customHeight="true" outlineLevel="0" collapsed="false">
      <c r="A74" s="8" t="s">
        <v>70</v>
      </c>
      <c r="B74" s="31" t="n">
        <f aca="false">SUMIFS(Détail!$E:$E,Détail!$D:$D,"SHOPIFY",Détail!$A:$A,"&gt;="&amp;DATE(2025,6,1),Détail!$A:$A,"&lt;"&amp;EDATE(DATE(2025,6,1),1))</f>
        <v>-40.18</v>
      </c>
    </row>
    <row r="75" customFormat="false" ht="15" hidden="false" customHeight="true" outlineLevel="0" collapsed="false">
      <c r="A75" s="8" t="s">
        <v>71</v>
      </c>
      <c r="B75" s="31" t="n">
        <f aca="false">SUMIFS(Détail!$E:$E,Détail!$D:$D,"SHOPIFY",Détail!$A:$A,"&gt;="&amp;DATE(2025,7,1),Détail!$A:$A,"&lt;"&amp;EDATE(DATE(2025,7,1),1))</f>
        <v>-41.61</v>
      </c>
    </row>
    <row r="76" customFormat="false" ht="15" hidden="false" customHeight="true" outlineLevel="0" collapsed="false">
      <c r="A76" s="8" t="s">
        <v>72</v>
      </c>
      <c r="B76" s="31" t="n">
        <f aca="false">SUMIFS(Détail!$E:$E,Détail!$D:$D,"SHOPIFY",Détail!$A:$A,"&gt;="&amp;DATE(2025,8,1),Détail!$A:$A,"&lt;"&amp;EDATE(DATE(2025,8,1),1))</f>
        <v>-37.06</v>
      </c>
    </row>
    <row r="77" customFormat="false" ht="15" hidden="false" customHeight="true" outlineLevel="0" collapsed="false">
      <c r="A77" s="8" t="s">
        <v>73</v>
      </c>
      <c r="B77" s="31" t="n">
        <f aca="false">SUMIFS(Détail!$E:$E,Détail!$D:$D,"SHOPIFY",Détail!$A:$A,"&gt;="&amp;DATE(2025,9,1),Détail!$A:$A,"&lt;"&amp;EDATE(DATE(2025,9,1),1))</f>
        <v>-41.86</v>
      </c>
    </row>
    <row r="78" customFormat="false" ht="15" hidden="false" customHeight="true" outlineLevel="0" collapsed="false">
      <c r="A78" s="8" t="s">
        <v>74</v>
      </c>
      <c r="B78" s="31" t="n">
        <f aca="false">SUMIFS(Détail!$E:$E,Détail!$D:$D,"SHOPIFY",Détail!$A:$A,"&gt;="&amp;DATE(2025,10,1),Détail!$A:$A,"&lt;"&amp;EDATE(DATE(2025,10,1),1))</f>
        <v>-39.89</v>
      </c>
    </row>
    <row r="79" customFormat="false" ht="15" hidden="false" customHeight="true" outlineLevel="0" collapsed="false">
      <c r="A79" s="8" t="s">
        <v>75</v>
      </c>
      <c r="B79" s="31" t="n">
        <f aca="false">SUMIFS(Détail!$E:$E,Détail!$D:$D,"SHOPIFY",Détail!$A:$A,"&gt;="&amp;DATE(2025,11,1),Détail!$A:$A,"&lt;"&amp;EDATE(DATE(2025,11,1),1))</f>
        <v>-39.81</v>
      </c>
    </row>
    <row r="80" customFormat="false" ht="15" hidden="false" customHeight="true" outlineLevel="0" collapsed="false">
      <c r="A80" s="8" t="s">
        <v>76</v>
      </c>
      <c r="B80" s="31" t="n">
        <f aca="false">SUMIFS(Détail!$E:$E,Détail!$D:$D,"SHOPIFY",Détail!$A:$A,"&gt;="&amp;DATE(2025,12,1),Détail!$A:$A,"&lt;"&amp;EDATE(DATE(2025,12,1),1))</f>
        <v>-34.08</v>
      </c>
    </row>
    <row r="83" customFormat="false" ht="15" hidden="false" customHeight="true" outlineLevel="0" collapsed="false">
      <c r="A83" s="29" t="s">
        <v>149</v>
      </c>
      <c r="B83" s="29"/>
      <c r="C83" s="30" t="n">
        <f aca="false">SUMIF(Détail!$D:$D,"APPLE",Détail!$E:$E)</f>
        <v>-223.72</v>
      </c>
    </row>
    <row r="84" customFormat="false" ht="15" hidden="false" customHeight="true" outlineLevel="0" collapsed="false">
      <c r="A84" s="24" t="s">
        <v>63</v>
      </c>
      <c r="B84" s="24" t="s">
        <v>64</v>
      </c>
    </row>
    <row r="85" customFormat="false" ht="15" hidden="false" customHeight="true" outlineLevel="0" collapsed="false">
      <c r="A85" s="8" t="s">
        <v>65</v>
      </c>
      <c r="B85" s="31" t="n">
        <f aca="false">SUMIFS(Détail!$E:$E,Détail!$D:$D,"APPLE",Détail!$A:$A,"&gt;="&amp;DATE(2025,1,1),Détail!$A:$A,"&lt;"&amp;EDATE(DATE(2025,1,1),1))</f>
        <v>0</v>
      </c>
    </row>
    <row r="86" customFormat="false" ht="15" hidden="false" customHeight="true" outlineLevel="0" collapsed="false">
      <c r="A86" s="8" t="s">
        <v>66</v>
      </c>
      <c r="B86" s="31" t="n">
        <f aca="false">SUMIFS(Détail!$E:$E,Détail!$D:$D,"APPLE",Détail!$A:$A,"&gt;="&amp;DATE(2025,2,1),Détail!$A:$A,"&lt;"&amp;EDATE(DATE(2025,2,1),1))</f>
        <v>-69.99</v>
      </c>
    </row>
    <row r="87" customFormat="false" ht="15" hidden="false" customHeight="true" outlineLevel="0" collapsed="false">
      <c r="A87" s="8" t="s">
        <v>67</v>
      </c>
      <c r="B87" s="31" t="n">
        <f aca="false">SUMIFS(Détail!$E:$E,Détail!$D:$D,"APPLE",Détail!$A:$A,"&gt;="&amp;DATE(2025,3,1),Détail!$A:$A,"&lt;"&amp;EDATE(DATE(2025,3,1),1))</f>
        <v>0</v>
      </c>
    </row>
    <row r="88" customFormat="false" ht="15" hidden="false" customHeight="true" outlineLevel="0" collapsed="false">
      <c r="A88" s="8" t="s">
        <v>68</v>
      </c>
      <c r="B88" s="31" t="n">
        <f aca="false">SUMIFS(Détail!$E:$E,Détail!$D:$D,"APPLE",Détail!$A:$A,"&gt;="&amp;DATE(2025,4,1),Détail!$A:$A,"&lt;"&amp;EDATE(DATE(2025,4,1),1))</f>
        <v>-49.99</v>
      </c>
    </row>
    <row r="89" customFormat="false" ht="15" hidden="false" customHeight="true" outlineLevel="0" collapsed="false">
      <c r="A89" s="8" t="s">
        <v>69</v>
      </c>
      <c r="B89" s="31" t="n">
        <f aca="false">SUMIFS(Détail!$E:$E,Détail!$D:$D,"APPLE",Détail!$A:$A,"&gt;="&amp;DATE(2025,5,1),Détail!$A:$A,"&lt;"&amp;EDATE(DATE(2025,5,1),1))</f>
        <v>0</v>
      </c>
    </row>
    <row r="90" customFormat="false" ht="15" hidden="false" customHeight="true" outlineLevel="0" collapsed="false">
      <c r="A90" s="8" t="s">
        <v>70</v>
      </c>
      <c r="B90" s="31" t="n">
        <f aca="false">SUMIFS(Détail!$E:$E,Détail!$D:$D,"APPLE",Détail!$A:$A,"&gt;="&amp;DATE(2025,6,1),Détail!$A:$A,"&lt;"&amp;EDATE(DATE(2025,6,1),1))</f>
        <v>0</v>
      </c>
    </row>
    <row r="91" customFormat="false" ht="15" hidden="false" customHeight="true" outlineLevel="0" collapsed="false">
      <c r="A91" s="8" t="s">
        <v>71</v>
      </c>
      <c r="B91" s="31" t="n">
        <f aca="false">SUMIFS(Détail!$E:$E,Détail!$D:$D,"APPLE",Détail!$A:$A,"&gt;="&amp;DATE(2025,7,1),Détail!$A:$A,"&lt;"&amp;EDATE(DATE(2025,7,1),1))</f>
        <v>-15.96</v>
      </c>
    </row>
    <row r="92" customFormat="false" ht="15" hidden="false" customHeight="true" outlineLevel="0" collapsed="false">
      <c r="A92" s="8" t="s">
        <v>72</v>
      </c>
      <c r="B92" s="31" t="n">
        <f aca="false">SUMIFS(Détail!$E:$E,Détail!$D:$D,"APPLE",Détail!$A:$A,"&gt;="&amp;DATE(2025,8,1),Détail!$A:$A,"&lt;"&amp;EDATE(DATE(2025,8,1),1))</f>
        <v>-15.96</v>
      </c>
    </row>
    <row r="93" customFormat="false" ht="15" hidden="false" customHeight="true" outlineLevel="0" collapsed="false">
      <c r="A93" s="8" t="s">
        <v>73</v>
      </c>
      <c r="B93" s="31" t="n">
        <f aca="false">SUMIFS(Détail!$E:$E,Détail!$D:$D,"APPLE",Détail!$A:$A,"&gt;="&amp;DATE(2025,9,1),Détail!$A:$A,"&lt;"&amp;EDATE(DATE(2025,9,1),1))</f>
        <v>-15.96</v>
      </c>
    </row>
    <row r="94" customFormat="false" ht="15" hidden="false" customHeight="true" outlineLevel="0" collapsed="false">
      <c r="A94" s="8" t="s">
        <v>74</v>
      </c>
      <c r="B94" s="31" t="n">
        <f aca="false">SUMIFS(Détail!$E:$E,Détail!$D:$D,"APPLE",Détail!$A:$A,"&gt;="&amp;DATE(2025,10,1),Détail!$A:$A,"&lt;"&amp;EDATE(DATE(2025,10,1),1))</f>
        <v>-19.95</v>
      </c>
    </row>
    <row r="95" customFormat="false" ht="15" hidden="false" customHeight="true" outlineLevel="0" collapsed="false">
      <c r="A95" s="8" t="s">
        <v>75</v>
      </c>
      <c r="B95" s="31" t="n">
        <f aca="false">SUMIFS(Détail!$E:$E,Détail!$D:$D,"APPLE",Détail!$A:$A,"&gt;="&amp;DATE(2025,11,1),Détail!$A:$A,"&lt;"&amp;EDATE(DATE(2025,11,1),1))</f>
        <v>-15.96</v>
      </c>
    </row>
    <row r="96" customFormat="false" ht="15" hidden="false" customHeight="true" outlineLevel="0" collapsed="false">
      <c r="A96" s="8" t="s">
        <v>76</v>
      </c>
      <c r="B96" s="31" t="n">
        <f aca="false">SUMIFS(Détail!$E:$E,Détail!$D:$D,"APPLE",Détail!$A:$A,"&gt;="&amp;DATE(2025,12,1),Détail!$A:$A,"&lt;"&amp;EDATE(DATE(2025,12,1),1))</f>
        <v>-19.95</v>
      </c>
    </row>
    <row r="99" customFormat="false" ht="15" hidden="false" customHeight="true" outlineLevel="0" collapsed="false">
      <c r="A99" s="29" t="s">
        <v>150</v>
      </c>
      <c r="B99" s="29"/>
      <c r="C99" s="30" t="n">
        <f aca="false">SUMIF(Détail!$D:$D,"OVH SAS",Détail!$E:$E)</f>
        <v>-200.15</v>
      </c>
    </row>
    <row r="100" customFormat="false" ht="15" hidden="false" customHeight="true" outlineLevel="0" collapsed="false">
      <c r="A100" s="24" t="s">
        <v>63</v>
      </c>
      <c r="B100" s="24" t="s">
        <v>64</v>
      </c>
    </row>
    <row r="101" customFormat="false" ht="15" hidden="false" customHeight="true" outlineLevel="0" collapsed="false">
      <c r="A101" s="8" t="s">
        <v>65</v>
      </c>
      <c r="B101" s="31" t="n">
        <f aca="false">SUMIFS(Détail!$E:$E,Détail!$D:$D,"OVH SAS",Détail!$A:$A,"&gt;="&amp;DATE(2025,1,1),Détail!$A:$A,"&lt;"&amp;EDATE(DATE(2025,1,1),1))</f>
        <v>0</v>
      </c>
    </row>
    <row r="102" customFormat="false" ht="15" hidden="false" customHeight="true" outlineLevel="0" collapsed="false">
      <c r="A102" s="8" t="s">
        <v>66</v>
      </c>
      <c r="B102" s="31" t="n">
        <f aca="false">SUMIFS(Détail!$E:$E,Détail!$D:$D,"OVH SAS",Détail!$A:$A,"&gt;="&amp;DATE(2025,2,1),Détail!$A:$A,"&lt;"&amp;EDATE(DATE(2025,2,1),1))</f>
        <v>0</v>
      </c>
    </row>
    <row r="103" customFormat="false" ht="15" hidden="false" customHeight="true" outlineLevel="0" collapsed="false">
      <c r="A103" s="8" t="s">
        <v>67</v>
      </c>
      <c r="B103" s="31" t="n">
        <f aca="false">SUMIFS(Détail!$E:$E,Détail!$D:$D,"OVH SAS",Détail!$A:$A,"&gt;="&amp;DATE(2025,3,1),Détail!$A:$A,"&lt;"&amp;EDATE(DATE(2025,3,1),1))</f>
        <v>-88.66</v>
      </c>
    </row>
    <row r="104" customFormat="false" ht="15" hidden="false" customHeight="true" outlineLevel="0" collapsed="false">
      <c r="A104" s="8" t="s">
        <v>68</v>
      </c>
      <c r="B104" s="31" t="n">
        <f aca="false">SUMIFS(Détail!$E:$E,Détail!$D:$D,"OVH SAS",Détail!$A:$A,"&gt;="&amp;DATE(2025,4,1),Détail!$A:$A,"&lt;"&amp;EDATE(DATE(2025,4,1),1))</f>
        <v>0</v>
      </c>
    </row>
    <row r="105" customFormat="false" ht="15" hidden="false" customHeight="true" outlineLevel="0" collapsed="false">
      <c r="A105" s="8" t="s">
        <v>69</v>
      </c>
      <c r="B105" s="31" t="n">
        <f aca="false">SUMIFS(Détail!$E:$E,Détail!$D:$D,"OVH SAS",Détail!$A:$A,"&gt;="&amp;DATE(2025,5,1),Détail!$A:$A,"&lt;"&amp;EDATE(DATE(2025,5,1),1))</f>
        <v>0</v>
      </c>
    </row>
    <row r="106" customFormat="false" ht="15" hidden="false" customHeight="true" outlineLevel="0" collapsed="false">
      <c r="A106" s="8" t="s">
        <v>70</v>
      </c>
      <c r="B106" s="31" t="n">
        <f aca="false">SUMIFS(Détail!$E:$E,Détail!$D:$D,"OVH SAS",Détail!$A:$A,"&gt;="&amp;DATE(2025,6,1),Détail!$A:$A,"&lt;"&amp;EDATE(DATE(2025,6,1),1))</f>
        <v>0</v>
      </c>
    </row>
    <row r="107" customFormat="false" ht="15" hidden="false" customHeight="true" outlineLevel="0" collapsed="false">
      <c r="A107" s="8" t="s">
        <v>71</v>
      </c>
      <c r="B107" s="31" t="n">
        <f aca="false">SUMIFS(Détail!$E:$E,Détail!$D:$D,"OVH SAS",Détail!$A:$A,"&gt;="&amp;DATE(2025,7,1),Détail!$A:$A,"&lt;"&amp;EDATE(DATE(2025,7,1),1))</f>
        <v>0</v>
      </c>
    </row>
    <row r="108" customFormat="false" ht="15" hidden="false" customHeight="true" outlineLevel="0" collapsed="false">
      <c r="A108" s="8" t="s">
        <v>72</v>
      </c>
      <c r="B108" s="31" t="n">
        <f aca="false">SUMIFS(Détail!$E:$E,Détail!$D:$D,"OVH SAS",Détail!$A:$A,"&gt;="&amp;DATE(2025,8,1),Détail!$A:$A,"&lt;"&amp;EDATE(DATE(2025,8,1),1))</f>
        <v>0</v>
      </c>
    </row>
    <row r="109" customFormat="false" ht="15" hidden="false" customHeight="true" outlineLevel="0" collapsed="false">
      <c r="A109" s="8" t="s">
        <v>73</v>
      </c>
      <c r="B109" s="31" t="n">
        <f aca="false">SUMIFS(Détail!$E:$E,Détail!$D:$D,"OVH SAS",Détail!$A:$A,"&gt;="&amp;DATE(2025,9,1),Détail!$A:$A,"&lt;"&amp;EDATE(DATE(2025,9,1),1))</f>
        <v>0</v>
      </c>
    </row>
    <row r="110" customFormat="false" ht="15" hidden="false" customHeight="true" outlineLevel="0" collapsed="false">
      <c r="A110" s="8" t="s">
        <v>74</v>
      </c>
      <c r="B110" s="31" t="n">
        <f aca="false">SUMIFS(Détail!$E:$E,Détail!$D:$D,"OVH SAS",Détail!$A:$A,"&gt;="&amp;DATE(2025,10,1),Détail!$A:$A,"&lt;"&amp;EDATE(DATE(2025,10,1),1))</f>
        <v>-111.08</v>
      </c>
    </row>
    <row r="111" customFormat="false" ht="15" hidden="false" customHeight="true" outlineLevel="0" collapsed="false">
      <c r="A111" s="8" t="s">
        <v>75</v>
      </c>
      <c r="B111" s="31" t="n">
        <f aca="false">SUMIFS(Détail!$E:$E,Détail!$D:$D,"OVH SAS",Détail!$A:$A,"&gt;="&amp;DATE(2025,11,1),Détail!$A:$A,"&lt;"&amp;EDATE(DATE(2025,11,1),1))</f>
        <v>0</v>
      </c>
    </row>
    <row r="112" customFormat="false" ht="15" hidden="false" customHeight="true" outlineLevel="0" collapsed="false">
      <c r="A112" s="8" t="s">
        <v>76</v>
      </c>
      <c r="B112" s="31" t="n">
        <f aca="false">SUMIFS(Détail!$E:$E,Détail!$D:$D,"OVH SAS",Détail!$A:$A,"&gt;="&amp;DATE(2025,12,1),Détail!$A:$A,"&lt;"&amp;EDATE(DATE(2025,12,1),1))</f>
        <v>-0.41</v>
      </c>
    </row>
    <row r="115" customFormat="false" ht="15" hidden="false" customHeight="true" outlineLevel="0" collapsed="false">
      <c r="A115" s="29" t="s">
        <v>151</v>
      </c>
      <c r="B115" s="29"/>
      <c r="C115" s="30" t="n">
        <f aca="false">SUMIF(Détail!$D:$D,"MICROSOFT",Détail!$E:$E)</f>
        <v>-130</v>
      </c>
    </row>
    <row r="116" customFormat="false" ht="15" hidden="false" customHeight="true" outlineLevel="0" collapsed="false">
      <c r="A116" s="24" t="s">
        <v>63</v>
      </c>
      <c r="B116" s="24" t="s">
        <v>64</v>
      </c>
    </row>
    <row r="117" customFormat="false" ht="15" hidden="false" customHeight="true" outlineLevel="0" collapsed="false">
      <c r="A117" s="8" t="s">
        <v>65</v>
      </c>
      <c r="B117" s="31" t="n">
        <f aca="false">SUMIFS(Détail!$E:$E,Détail!$D:$D,"MICROSOFT",Détail!$A:$A,"&gt;="&amp;DATE(2025,1,1),Détail!$A:$A,"&lt;"&amp;EDATE(DATE(2025,1,1),1))</f>
        <v>0</v>
      </c>
    </row>
    <row r="118" customFormat="false" ht="15" hidden="false" customHeight="true" outlineLevel="0" collapsed="false">
      <c r="A118" s="8" t="s">
        <v>66</v>
      </c>
      <c r="B118" s="31" t="n">
        <f aca="false">SUMIFS(Détail!$E:$E,Détail!$D:$D,"MICROSOFT",Détail!$A:$A,"&gt;="&amp;DATE(2025,2,1),Détail!$A:$A,"&lt;"&amp;EDATE(DATE(2025,2,1),1))</f>
        <v>0</v>
      </c>
    </row>
    <row r="119" customFormat="false" ht="15" hidden="false" customHeight="true" outlineLevel="0" collapsed="false">
      <c r="A119" s="8" t="s">
        <v>67</v>
      </c>
      <c r="B119" s="31" t="n">
        <f aca="false">SUMIFS(Détail!$E:$E,Détail!$D:$D,"MICROSOFT",Détail!$A:$A,"&gt;="&amp;DATE(2025,3,1),Détail!$A:$A,"&lt;"&amp;EDATE(DATE(2025,3,1),1))</f>
        <v>-13</v>
      </c>
    </row>
    <row r="120" customFormat="false" ht="15" hidden="false" customHeight="true" outlineLevel="0" collapsed="false">
      <c r="A120" s="8" t="s">
        <v>68</v>
      </c>
      <c r="B120" s="31" t="n">
        <f aca="false">SUMIFS(Détail!$E:$E,Détail!$D:$D,"MICROSOFT",Détail!$A:$A,"&gt;="&amp;DATE(2025,4,1),Détail!$A:$A,"&lt;"&amp;EDATE(DATE(2025,4,1),1))</f>
        <v>-13</v>
      </c>
    </row>
    <row r="121" customFormat="false" ht="15" hidden="false" customHeight="true" outlineLevel="0" collapsed="false">
      <c r="A121" s="8" t="s">
        <v>69</v>
      </c>
      <c r="B121" s="31" t="n">
        <f aca="false">SUMIFS(Détail!$E:$E,Détail!$D:$D,"MICROSOFT",Détail!$A:$A,"&gt;="&amp;DATE(2025,5,1),Détail!$A:$A,"&lt;"&amp;EDATE(DATE(2025,5,1),1))</f>
        <v>-13</v>
      </c>
    </row>
    <row r="122" customFormat="false" ht="15" hidden="false" customHeight="true" outlineLevel="0" collapsed="false">
      <c r="A122" s="8" t="s">
        <v>70</v>
      </c>
      <c r="B122" s="31" t="n">
        <f aca="false">SUMIFS(Détail!$E:$E,Détail!$D:$D,"MICROSOFT",Détail!$A:$A,"&gt;="&amp;DATE(2025,6,1),Détail!$A:$A,"&lt;"&amp;EDATE(DATE(2025,6,1),1))</f>
        <v>-13</v>
      </c>
    </row>
    <row r="123" customFormat="false" ht="15" hidden="false" customHeight="true" outlineLevel="0" collapsed="false">
      <c r="A123" s="8" t="s">
        <v>71</v>
      </c>
      <c r="B123" s="31" t="n">
        <f aca="false">SUMIFS(Détail!$E:$E,Détail!$D:$D,"MICROSOFT",Détail!$A:$A,"&gt;="&amp;DATE(2025,7,1),Détail!$A:$A,"&lt;"&amp;EDATE(DATE(2025,7,1),1))</f>
        <v>-13</v>
      </c>
    </row>
    <row r="124" customFormat="false" ht="15" hidden="false" customHeight="true" outlineLevel="0" collapsed="false">
      <c r="A124" s="8" t="s">
        <v>72</v>
      </c>
      <c r="B124" s="31" t="n">
        <f aca="false">SUMIFS(Détail!$E:$E,Détail!$D:$D,"MICROSOFT",Détail!$A:$A,"&gt;="&amp;DATE(2025,8,1),Détail!$A:$A,"&lt;"&amp;EDATE(DATE(2025,8,1),1))</f>
        <v>-13</v>
      </c>
    </row>
    <row r="125" customFormat="false" ht="15" hidden="false" customHeight="true" outlineLevel="0" collapsed="false">
      <c r="A125" s="8" t="s">
        <v>73</v>
      </c>
      <c r="B125" s="31" t="n">
        <f aca="false">SUMIFS(Détail!$E:$E,Détail!$D:$D,"MICROSOFT",Détail!$A:$A,"&gt;="&amp;DATE(2025,9,1),Détail!$A:$A,"&lt;"&amp;EDATE(DATE(2025,9,1),1))</f>
        <v>-13</v>
      </c>
    </row>
    <row r="126" customFormat="false" ht="15" hidden="false" customHeight="true" outlineLevel="0" collapsed="false">
      <c r="A126" s="8" t="s">
        <v>74</v>
      </c>
      <c r="B126" s="31" t="n">
        <f aca="false">SUMIFS(Détail!$E:$E,Détail!$D:$D,"MICROSOFT",Détail!$A:$A,"&gt;="&amp;DATE(2025,10,1),Détail!$A:$A,"&lt;"&amp;EDATE(DATE(2025,10,1),1))</f>
        <v>-13</v>
      </c>
    </row>
    <row r="127" customFormat="false" ht="15" hidden="false" customHeight="true" outlineLevel="0" collapsed="false">
      <c r="A127" s="8" t="s">
        <v>75</v>
      </c>
      <c r="B127" s="31" t="n">
        <f aca="false">SUMIFS(Détail!$E:$E,Détail!$D:$D,"MICROSOFT",Détail!$A:$A,"&gt;="&amp;DATE(2025,11,1),Détail!$A:$A,"&lt;"&amp;EDATE(DATE(2025,11,1),1))</f>
        <v>-13</v>
      </c>
    </row>
    <row r="128" customFormat="false" ht="15" hidden="false" customHeight="true" outlineLevel="0" collapsed="false">
      <c r="A128" s="8" t="s">
        <v>76</v>
      </c>
      <c r="B128" s="31" t="n">
        <f aca="false">SUMIFS(Détail!$E:$E,Détail!$D:$D,"MICROSOFT",Détail!$A:$A,"&gt;="&amp;DATE(2025,12,1),Détail!$A:$A,"&lt;"&amp;EDATE(DATE(2025,12,1),1))</f>
        <v>-13</v>
      </c>
    </row>
    <row r="131" customFormat="false" ht="15" hidden="false" customHeight="true" outlineLevel="0" collapsed="false">
      <c r="A131" s="29" t="s">
        <v>152</v>
      </c>
      <c r="B131" s="29"/>
      <c r="C131" s="30" t="n">
        <f aca="false">SUMIF(Détail!$D:$D,"VIRGIN MOBILE U",Détail!$E:$E)</f>
        <v>-104.76</v>
      </c>
    </row>
    <row r="132" customFormat="false" ht="15" hidden="false" customHeight="true" outlineLevel="0" collapsed="false">
      <c r="A132" s="24" t="s">
        <v>63</v>
      </c>
      <c r="B132" s="24" t="s">
        <v>64</v>
      </c>
    </row>
    <row r="133" customFormat="false" ht="15" hidden="false" customHeight="true" outlineLevel="0" collapsed="false">
      <c r="A133" s="8" t="s">
        <v>65</v>
      </c>
      <c r="B133" s="31" t="n">
        <f aca="false">SUMIFS(Détail!$E:$E,Détail!$D:$D,"VIRGIN MOBILE U",Détail!$A:$A,"&gt;="&amp;DATE(2025,1,1),Détail!$A:$A,"&lt;"&amp;EDATE(DATE(2025,1,1),1))</f>
        <v>0</v>
      </c>
    </row>
    <row r="134" customFormat="false" ht="15" hidden="false" customHeight="true" outlineLevel="0" collapsed="false">
      <c r="A134" s="8" t="s">
        <v>66</v>
      </c>
      <c r="B134" s="31" t="n">
        <f aca="false">SUMIFS(Détail!$E:$E,Détail!$D:$D,"VIRGIN MOBILE U",Détail!$A:$A,"&gt;="&amp;DATE(2025,2,1),Détail!$A:$A,"&lt;"&amp;EDATE(DATE(2025,2,1),1))</f>
        <v>0</v>
      </c>
    </row>
    <row r="135" customFormat="false" ht="15" hidden="false" customHeight="true" outlineLevel="0" collapsed="false">
      <c r="A135" s="8" t="s">
        <v>67</v>
      </c>
      <c r="B135" s="31" t="n">
        <f aca="false">SUMIFS(Détail!$E:$E,Détail!$D:$D,"VIRGIN MOBILE U",Détail!$A:$A,"&gt;="&amp;DATE(2025,3,1),Détail!$A:$A,"&lt;"&amp;EDATE(DATE(2025,3,1),1))</f>
        <v>0</v>
      </c>
    </row>
    <row r="136" customFormat="false" ht="15" hidden="false" customHeight="true" outlineLevel="0" collapsed="false">
      <c r="A136" s="8" t="s">
        <v>68</v>
      </c>
      <c r="B136" s="31" t="n">
        <f aca="false">SUMIFS(Détail!$E:$E,Détail!$D:$D,"VIRGIN MOBILE U",Détail!$A:$A,"&gt;="&amp;DATE(2025,4,1),Détail!$A:$A,"&lt;"&amp;EDATE(DATE(2025,4,1),1))</f>
        <v>0</v>
      </c>
    </row>
    <row r="137" customFormat="false" ht="15" hidden="false" customHeight="true" outlineLevel="0" collapsed="false">
      <c r="A137" s="8" t="s">
        <v>69</v>
      </c>
      <c r="B137" s="31" t="n">
        <f aca="false">SUMIFS(Détail!$E:$E,Détail!$D:$D,"VIRGIN MOBILE U",Détail!$A:$A,"&gt;="&amp;DATE(2025,5,1),Détail!$A:$A,"&lt;"&amp;EDATE(DATE(2025,5,1),1))</f>
        <v>0</v>
      </c>
    </row>
    <row r="138" customFormat="false" ht="15" hidden="false" customHeight="true" outlineLevel="0" collapsed="false">
      <c r="A138" s="8" t="s">
        <v>70</v>
      </c>
      <c r="B138" s="31" t="n">
        <f aca="false">SUMIFS(Détail!$E:$E,Détail!$D:$D,"VIRGIN MOBILE U",Détail!$A:$A,"&gt;="&amp;DATE(2025,6,1),Détail!$A:$A,"&lt;"&amp;EDATE(DATE(2025,6,1),1))</f>
        <v>0</v>
      </c>
    </row>
    <row r="139" customFormat="false" ht="15" hidden="false" customHeight="true" outlineLevel="0" collapsed="false">
      <c r="A139" s="8" t="s">
        <v>71</v>
      </c>
      <c r="B139" s="31" t="n">
        <f aca="false">SUMIFS(Détail!$E:$E,Détail!$D:$D,"VIRGIN MOBILE U",Détail!$A:$A,"&gt;="&amp;DATE(2025,7,1),Détail!$A:$A,"&lt;"&amp;EDATE(DATE(2025,7,1),1))</f>
        <v>0</v>
      </c>
    </row>
    <row r="140" customFormat="false" ht="15" hidden="false" customHeight="true" outlineLevel="0" collapsed="false">
      <c r="A140" s="8" t="s">
        <v>72</v>
      </c>
      <c r="B140" s="31" t="n">
        <f aca="false">SUMIFS(Détail!$E:$E,Détail!$D:$D,"VIRGIN MOBILE U",Détail!$A:$A,"&gt;="&amp;DATE(2025,8,1),Détail!$A:$A,"&lt;"&amp;EDATE(DATE(2025,8,1),1))</f>
        <v>0</v>
      </c>
    </row>
    <row r="141" customFormat="false" ht="15" hidden="false" customHeight="true" outlineLevel="0" collapsed="false">
      <c r="A141" s="8" t="s">
        <v>73</v>
      </c>
      <c r="B141" s="31" t="n">
        <f aca="false">SUMIFS(Détail!$E:$E,Détail!$D:$D,"VIRGIN MOBILE U",Détail!$A:$A,"&gt;="&amp;DATE(2025,9,1),Détail!$A:$A,"&lt;"&amp;EDATE(DATE(2025,9,1),1))</f>
        <v>0</v>
      </c>
    </row>
    <row r="142" customFormat="false" ht="15" hidden="false" customHeight="true" outlineLevel="0" collapsed="false">
      <c r="A142" s="8" t="s">
        <v>74</v>
      </c>
      <c r="B142" s="31" t="n">
        <f aca="false">SUMIFS(Détail!$E:$E,Détail!$D:$D,"VIRGIN MOBILE U",Détail!$A:$A,"&gt;="&amp;DATE(2025,10,1),Détail!$A:$A,"&lt;"&amp;EDATE(DATE(2025,10,1),1))</f>
        <v>-104.76</v>
      </c>
    </row>
    <row r="143" customFormat="false" ht="15" hidden="false" customHeight="true" outlineLevel="0" collapsed="false">
      <c r="A143" s="8" t="s">
        <v>75</v>
      </c>
      <c r="B143" s="31" t="n">
        <f aca="false">SUMIFS(Détail!$E:$E,Détail!$D:$D,"VIRGIN MOBILE U",Détail!$A:$A,"&gt;="&amp;DATE(2025,11,1),Détail!$A:$A,"&lt;"&amp;EDATE(DATE(2025,11,1),1))</f>
        <v>0</v>
      </c>
    </row>
    <row r="144" customFormat="false" ht="15" hidden="false" customHeight="true" outlineLevel="0" collapsed="false">
      <c r="A144" s="8" t="s">
        <v>76</v>
      </c>
      <c r="B144" s="31" t="n">
        <f aca="false">SUMIFS(Détail!$E:$E,Détail!$D:$D,"VIRGIN MOBILE U",Détail!$A:$A,"&gt;="&amp;DATE(2025,12,1),Détail!$A:$A,"&lt;"&amp;EDATE(DATE(2025,12,1),1))</f>
        <v>0</v>
      </c>
    </row>
    <row r="147" customFormat="false" ht="15" hidden="false" customHeight="true" outlineLevel="0" collapsed="false">
      <c r="A147" s="29" t="s">
        <v>153</v>
      </c>
      <c r="B147" s="29"/>
      <c r="C147" s="30" t="n">
        <f aca="false">SUMIF(Détail!$D:$D,"HI PHONE TELECO",Détail!$E:$E)</f>
        <v>-16.66</v>
      </c>
    </row>
    <row r="148" customFormat="false" ht="15" hidden="false" customHeight="true" outlineLevel="0" collapsed="false">
      <c r="A148" s="24" t="s">
        <v>63</v>
      </c>
      <c r="B148" s="24" t="s">
        <v>64</v>
      </c>
    </row>
    <row r="149" customFormat="false" ht="15" hidden="false" customHeight="true" outlineLevel="0" collapsed="false">
      <c r="A149" s="8" t="s">
        <v>65</v>
      </c>
      <c r="B149" s="31" t="n">
        <f aca="false">SUMIFS(Détail!$E:$E,Détail!$D:$D,"HI PHONE TELECO",Détail!$A:$A,"&gt;="&amp;DATE(2025,1,1),Détail!$A:$A,"&lt;"&amp;EDATE(DATE(2025,1,1),1))</f>
        <v>0</v>
      </c>
    </row>
    <row r="150" customFormat="false" ht="15" hidden="false" customHeight="true" outlineLevel="0" collapsed="false">
      <c r="A150" s="8" t="s">
        <v>66</v>
      </c>
      <c r="B150" s="31" t="n">
        <f aca="false">SUMIFS(Détail!$E:$E,Détail!$D:$D,"HI PHONE TELECO",Détail!$A:$A,"&gt;="&amp;DATE(2025,2,1),Détail!$A:$A,"&lt;"&amp;EDATE(DATE(2025,2,1),1))</f>
        <v>0</v>
      </c>
    </row>
    <row r="151" customFormat="false" ht="15" hidden="false" customHeight="true" outlineLevel="0" collapsed="false">
      <c r="A151" s="8" t="s">
        <v>67</v>
      </c>
      <c r="B151" s="31" t="n">
        <f aca="false">SUMIFS(Détail!$E:$E,Détail!$D:$D,"HI PHONE TELECO",Détail!$A:$A,"&gt;="&amp;DATE(2025,3,1),Détail!$A:$A,"&lt;"&amp;EDATE(DATE(2025,3,1),1))</f>
        <v>0</v>
      </c>
    </row>
    <row r="152" customFormat="false" ht="15" hidden="false" customHeight="true" outlineLevel="0" collapsed="false">
      <c r="A152" s="8" t="s">
        <v>68</v>
      </c>
      <c r="B152" s="31" t="n">
        <f aca="false">SUMIFS(Détail!$E:$E,Détail!$D:$D,"HI PHONE TELECO",Détail!$A:$A,"&gt;="&amp;DATE(2025,4,1),Détail!$A:$A,"&lt;"&amp;EDATE(DATE(2025,4,1),1))</f>
        <v>0</v>
      </c>
    </row>
    <row r="153" customFormat="false" ht="15" hidden="false" customHeight="true" outlineLevel="0" collapsed="false">
      <c r="A153" s="8" t="s">
        <v>69</v>
      </c>
      <c r="B153" s="31" t="n">
        <f aca="false">SUMIFS(Détail!$E:$E,Détail!$D:$D,"HI PHONE TELECO",Détail!$A:$A,"&gt;="&amp;DATE(2025,5,1),Détail!$A:$A,"&lt;"&amp;EDATE(DATE(2025,5,1),1))</f>
        <v>0</v>
      </c>
    </row>
    <row r="154" customFormat="false" ht="15" hidden="false" customHeight="true" outlineLevel="0" collapsed="false">
      <c r="A154" s="8" t="s">
        <v>70</v>
      </c>
      <c r="B154" s="31" t="n">
        <f aca="false">SUMIFS(Détail!$E:$E,Détail!$D:$D,"HI PHONE TELECO",Détail!$A:$A,"&gt;="&amp;DATE(2025,6,1),Détail!$A:$A,"&lt;"&amp;EDATE(DATE(2025,6,1),1))</f>
        <v>0</v>
      </c>
    </row>
    <row r="155" customFormat="false" ht="15" hidden="false" customHeight="true" outlineLevel="0" collapsed="false">
      <c r="A155" s="8" t="s">
        <v>71</v>
      </c>
      <c r="B155" s="31" t="n">
        <f aca="false">SUMIFS(Détail!$E:$E,Détail!$D:$D,"HI PHONE TELECO",Détail!$A:$A,"&gt;="&amp;DATE(2025,7,1),Détail!$A:$A,"&lt;"&amp;EDATE(DATE(2025,7,1),1))</f>
        <v>0</v>
      </c>
    </row>
    <row r="156" customFormat="false" ht="15" hidden="false" customHeight="true" outlineLevel="0" collapsed="false">
      <c r="A156" s="8" t="s">
        <v>72</v>
      </c>
      <c r="B156" s="31" t="n">
        <f aca="false">SUMIFS(Détail!$E:$E,Détail!$D:$D,"HI PHONE TELECO",Détail!$A:$A,"&gt;="&amp;DATE(2025,8,1),Détail!$A:$A,"&lt;"&amp;EDATE(DATE(2025,8,1),1))</f>
        <v>0</v>
      </c>
    </row>
    <row r="157" customFormat="false" ht="15" hidden="false" customHeight="true" outlineLevel="0" collapsed="false">
      <c r="A157" s="8" t="s">
        <v>73</v>
      </c>
      <c r="B157" s="31" t="n">
        <f aca="false">SUMIFS(Détail!$E:$E,Détail!$D:$D,"HI PHONE TELECO",Détail!$A:$A,"&gt;="&amp;DATE(2025,9,1),Détail!$A:$A,"&lt;"&amp;EDATE(DATE(2025,9,1),1))</f>
        <v>0</v>
      </c>
    </row>
    <row r="158" customFormat="false" ht="15" hidden="false" customHeight="true" outlineLevel="0" collapsed="false">
      <c r="A158" s="8" t="s">
        <v>74</v>
      </c>
      <c r="B158" s="31" t="n">
        <f aca="false">SUMIFS(Détail!$E:$E,Détail!$D:$D,"HI PHONE TELECO",Détail!$A:$A,"&gt;="&amp;DATE(2025,10,1),Détail!$A:$A,"&lt;"&amp;EDATE(DATE(2025,10,1),1))</f>
        <v>-16.66</v>
      </c>
    </row>
    <row r="159" customFormat="false" ht="15" hidden="false" customHeight="true" outlineLevel="0" collapsed="false">
      <c r="A159" s="8" t="s">
        <v>75</v>
      </c>
      <c r="B159" s="31" t="n">
        <f aca="false">SUMIFS(Détail!$E:$E,Détail!$D:$D,"HI PHONE TELECO",Détail!$A:$A,"&gt;="&amp;DATE(2025,11,1),Détail!$A:$A,"&lt;"&amp;EDATE(DATE(2025,11,1),1))</f>
        <v>0</v>
      </c>
    </row>
    <row r="160" customFormat="false" ht="15" hidden="false" customHeight="true" outlineLevel="0" collapsed="false">
      <c r="A160" s="8" t="s">
        <v>76</v>
      </c>
      <c r="B160" s="31" t="n">
        <f aca="false">SUMIFS(Détail!$E:$E,Détail!$D:$D,"HI PHONE TELECO",Détail!$A:$A,"&gt;="&amp;DATE(2025,12,1),Détail!$A:$A,"&lt;"&amp;EDATE(DATE(2025,12,1),1))</f>
        <v>0</v>
      </c>
    </row>
    <row r="163" customFormat="false" ht="15" hidden="false" customHeight="true" outlineLevel="0" collapsed="false">
      <c r="A163" s="29" t="s">
        <v>154</v>
      </c>
      <c r="B163" s="29"/>
      <c r="C163" s="30" t="n">
        <f aca="false">SUMIF(Détail!$D:$D,"NYX*LAMAISONLYO",Détail!$E:$E)</f>
        <v>-5.3</v>
      </c>
    </row>
    <row r="164" customFormat="false" ht="15" hidden="false" customHeight="true" outlineLevel="0" collapsed="false">
      <c r="A164" s="24" t="s">
        <v>63</v>
      </c>
      <c r="B164" s="24" t="s">
        <v>64</v>
      </c>
    </row>
    <row r="165" customFormat="false" ht="15" hidden="false" customHeight="true" outlineLevel="0" collapsed="false">
      <c r="A165" s="8" t="s">
        <v>65</v>
      </c>
      <c r="B165" s="31" t="n">
        <f aca="false">SUMIFS(Détail!$E:$E,Détail!$D:$D,"NYX*LAMAISONLYO",Détail!$A:$A,"&gt;="&amp;DATE(2025,1,1),Détail!$A:$A,"&lt;"&amp;EDATE(DATE(2025,1,1),1))</f>
        <v>0</v>
      </c>
    </row>
    <row r="166" customFormat="false" ht="15" hidden="false" customHeight="true" outlineLevel="0" collapsed="false">
      <c r="A166" s="8" t="s">
        <v>66</v>
      </c>
      <c r="B166" s="31" t="n">
        <f aca="false">SUMIFS(Détail!$E:$E,Détail!$D:$D,"NYX*LAMAISONLYO",Détail!$A:$A,"&gt;="&amp;DATE(2025,2,1),Détail!$A:$A,"&lt;"&amp;EDATE(DATE(2025,2,1),1))</f>
        <v>0</v>
      </c>
    </row>
    <row r="167" customFormat="false" ht="15" hidden="false" customHeight="true" outlineLevel="0" collapsed="false">
      <c r="A167" s="8" t="s">
        <v>67</v>
      </c>
      <c r="B167" s="31" t="n">
        <f aca="false">SUMIFS(Détail!$E:$E,Détail!$D:$D,"NYX*LAMAISONLYO",Détail!$A:$A,"&gt;="&amp;DATE(2025,3,1),Détail!$A:$A,"&lt;"&amp;EDATE(DATE(2025,3,1),1))</f>
        <v>0</v>
      </c>
    </row>
    <row r="168" customFormat="false" ht="15" hidden="false" customHeight="true" outlineLevel="0" collapsed="false">
      <c r="A168" s="8" t="s">
        <v>68</v>
      </c>
      <c r="B168" s="31" t="n">
        <f aca="false">SUMIFS(Détail!$E:$E,Détail!$D:$D,"NYX*LAMAISONLYO",Détail!$A:$A,"&gt;="&amp;DATE(2025,4,1),Détail!$A:$A,"&lt;"&amp;EDATE(DATE(2025,4,1),1))</f>
        <v>0</v>
      </c>
    </row>
    <row r="169" customFormat="false" ht="15" hidden="false" customHeight="true" outlineLevel="0" collapsed="false">
      <c r="A169" s="8" t="s">
        <v>69</v>
      </c>
      <c r="B169" s="31" t="n">
        <f aca="false">SUMIFS(Détail!$E:$E,Détail!$D:$D,"NYX*LAMAISONLYO",Détail!$A:$A,"&gt;="&amp;DATE(2025,5,1),Détail!$A:$A,"&lt;"&amp;EDATE(DATE(2025,5,1),1))</f>
        <v>0</v>
      </c>
    </row>
    <row r="170" customFormat="false" ht="15" hidden="false" customHeight="true" outlineLevel="0" collapsed="false">
      <c r="A170" s="8" t="s">
        <v>70</v>
      </c>
      <c r="B170" s="31" t="n">
        <f aca="false">SUMIFS(Détail!$E:$E,Détail!$D:$D,"NYX*LAMAISONLYO",Détail!$A:$A,"&gt;="&amp;DATE(2025,6,1),Détail!$A:$A,"&lt;"&amp;EDATE(DATE(2025,6,1),1))</f>
        <v>0</v>
      </c>
    </row>
    <row r="171" customFormat="false" ht="15" hidden="false" customHeight="true" outlineLevel="0" collapsed="false">
      <c r="A171" s="8" t="s">
        <v>71</v>
      </c>
      <c r="B171" s="31" t="n">
        <f aca="false">SUMIFS(Détail!$E:$E,Détail!$D:$D,"NYX*LAMAISONLYO",Détail!$A:$A,"&gt;="&amp;DATE(2025,7,1),Détail!$A:$A,"&lt;"&amp;EDATE(DATE(2025,7,1),1))</f>
        <v>0</v>
      </c>
    </row>
    <row r="172" customFormat="false" ht="15" hidden="false" customHeight="true" outlineLevel="0" collapsed="false">
      <c r="A172" s="8" t="s">
        <v>72</v>
      </c>
      <c r="B172" s="31" t="n">
        <f aca="false">SUMIFS(Détail!$E:$E,Détail!$D:$D,"NYX*LAMAISONLYO",Détail!$A:$A,"&gt;="&amp;DATE(2025,8,1),Détail!$A:$A,"&lt;"&amp;EDATE(DATE(2025,8,1),1))</f>
        <v>0</v>
      </c>
    </row>
    <row r="173" customFormat="false" ht="15" hidden="false" customHeight="true" outlineLevel="0" collapsed="false">
      <c r="A173" s="8" t="s">
        <v>73</v>
      </c>
      <c r="B173" s="31" t="n">
        <f aca="false">SUMIFS(Détail!$E:$E,Détail!$D:$D,"NYX*LAMAISONLYO",Détail!$A:$A,"&gt;="&amp;DATE(2025,9,1),Détail!$A:$A,"&lt;"&amp;EDATE(DATE(2025,9,1),1))</f>
        <v>-5.3</v>
      </c>
    </row>
    <row r="174" customFormat="false" ht="15" hidden="false" customHeight="true" outlineLevel="0" collapsed="false">
      <c r="A174" s="8" t="s">
        <v>74</v>
      </c>
      <c r="B174" s="31" t="n">
        <f aca="false">SUMIFS(Détail!$E:$E,Détail!$D:$D,"NYX*LAMAISONLYO",Détail!$A:$A,"&gt;="&amp;DATE(2025,10,1),Détail!$A:$A,"&lt;"&amp;EDATE(DATE(2025,10,1),1))</f>
        <v>0</v>
      </c>
    </row>
    <row r="175" customFormat="false" ht="15" hidden="false" customHeight="true" outlineLevel="0" collapsed="false">
      <c r="A175" s="8" t="s">
        <v>75</v>
      </c>
      <c r="B175" s="31" t="n">
        <f aca="false">SUMIFS(Détail!$E:$E,Détail!$D:$D,"NYX*LAMAISONLYO",Détail!$A:$A,"&gt;="&amp;DATE(2025,11,1),Détail!$A:$A,"&lt;"&amp;EDATE(DATE(2025,11,1),1))</f>
        <v>0</v>
      </c>
    </row>
    <row r="176" customFormat="false" ht="15" hidden="false" customHeight="true" outlineLevel="0" collapsed="false">
      <c r="A176" s="8" t="s">
        <v>76</v>
      </c>
      <c r="B176" s="31" t="n">
        <f aca="false">SUMIFS(Détail!$E:$E,Détail!$D:$D,"NYX*LAMAISONLYO",Détail!$A:$A,"&gt;="&amp;DATE(2025,12,1),Détail!$A:$A,"&lt;"&amp;EDATE(DATE(2025,12,1),1))</f>
        <v>0</v>
      </c>
    </row>
  </sheetData>
  <mergeCells count="11">
    <mergeCell ref="A3:B3"/>
    <mergeCell ref="A19:B19"/>
    <mergeCell ref="A35:B35"/>
    <mergeCell ref="A51:B51"/>
    <mergeCell ref="A67:B67"/>
    <mergeCell ref="A83:B83"/>
    <mergeCell ref="A99:B99"/>
    <mergeCell ref="A115:B115"/>
    <mergeCell ref="A131:B131"/>
    <mergeCell ref="A147:B147"/>
    <mergeCell ref="A163:B1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155</v>
      </c>
    </row>
    <row r="2" customFormat="false" ht="15" hidden="false" customHeight="true" outlineLevel="0" collapsed="false">
      <c r="A2" s="33" t="s">
        <v>156</v>
      </c>
    </row>
    <row r="4" customFormat="false" ht="15" hidden="false" customHeight="true" outlineLevel="0" collapsed="false">
      <c r="A4" s="29" t="s">
        <v>157</v>
      </c>
      <c r="B4" s="29"/>
      <c r="C4" s="30" t="n">
        <f aca="false">SUMIF(Détail!$D:$D,"MR RIADH CHEBHOUNI",Détail!$E:$E)</f>
        <v>-9359.1</v>
      </c>
    </row>
    <row r="5" customFormat="false" ht="15" hidden="false" customHeight="true" outlineLevel="0" collapsed="false">
      <c r="A5" s="24" t="s">
        <v>63</v>
      </c>
      <c r="B5" s="24" t="s">
        <v>64</v>
      </c>
    </row>
    <row r="6" customFormat="false" ht="15" hidden="false" customHeight="true" outlineLevel="0" collapsed="false">
      <c r="A6" s="8" t="s">
        <v>73</v>
      </c>
      <c r="B6" s="31" t="n">
        <f aca="false">SUMIFS(Détail!$E:$E,Détail!$D:$D,"MR RIADH CHEBHOUNI",Détail!$A:$A,"&gt;="&amp;DATE(2025,9,1),Détail!$A:$A,"&lt;"&amp;EDATE(DATE(2025,9,1),1))</f>
        <v>-9359.1</v>
      </c>
    </row>
  </sheetData>
  <mergeCells count="1"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158</v>
      </c>
    </row>
    <row r="3" customFormat="false" ht="15" hidden="false" customHeight="true" outlineLevel="0" collapsed="false">
      <c r="A3" s="29" t="s">
        <v>159</v>
      </c>
      <c r="B3" s="29"/>
      <c r="C3" s="30" t="n">
        <f aca="false">SUMIF(Détail!$D:$D,"MESSE FRANKFURT  MIDDLE  EAST GMBH",Détail!$E:$E)</f>
        <v>-4482.37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SUMIFS(Détail!$E:$E,Détail!$D:$D,"MESSE FRANKFURT  MIDDLE  EAST GMBH",Détail!$A:$A,"&gt;="&amp;DATE(2025,1,1),Détail!$A:$A,"&lt;"&amp;EDATE(DATE(2025,1,1),1))</f>
        <v>0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SUMIFS(Détail!$E:$E,Détail!$D:$D,"MESSE FRANKFURT  MIDDLE  EAST GMBH",Détail!$A:$A,"&gt;="&amp;DATE(2025,2,1),Détail!$A:$A,"&lt;"&amp;EDATE(DATE(2025,2,1),1))</f>
        <v>0</v>
      </c>
    </row>
    <row r="7" customFormat="false" ht="15" hidden="false" customHeight="true" outlineLevel="0" collapsed="false">
      <c r="A7" s="8" t="s">
        <v>67</v>
      </c>
      <c r="B7" s="31" t="n">
        <f aca="false">SUMIFS(Détail!$E:$E,Détail!$D:$D,"MESSE FRANKFURT  MIDDLE  EAST GMBH",Détail!$A:$A,"&gt;="&amp;DATE(2025,3,1),Détail!$A:$A,"&lt;"&amp;EDATE(DATE(2025,3,1),1))</f>
        <v>0</v>
      </c>
    </row>
    <row r="8" customFormat="false" ht="15" hidden="false" customHeight="true" outlineLevel="0" collapsed="false">
      <c r="A8" s="8" t="s">
        <v>68</v>
      </c>
      <c r="B8" s="31" t="n">
        <f aca="false">SUMIFS(Détail!$E:$E,Détail!$D:$D,"MESSE FRANKFURT  MIDDLE  EAST GMBH",Détail!$A:$A,"&gt;="&amp;DATE(2025,4,1),Détail!$A:$A,"&lt;"&amp;EDATE(DATE(2025,4,1),1))</f>
        <v>0</v>
      </c>
    </row>
    <row r="9" customFormat="false" ht="15" hidden="false" customHeight="true" outlineLevel="0" collapsed="false">
      <c r="A9" s="8" t="s">
        <v>69</v>
      </c>
      <c r="B9" s="31" t="n">
        <f aca="false">SUMIFS(Détail!$E:$E,Détail!$D:$D,"MESSE FRANKFURT  MIDDLE  EAST GMBH",Détail!$A:$A,"&gt;="&amp;DATE(2025,5,1),Détail!$A:$A,"&lt;"&amp;EDATE(DATE(2025,5,1),1))</f>
        <v>0</v>
      </c>
    </row>
    <row r="10" customFormat="false" ht="15" hidden="false" customHeight="true" outlineLevel="0" collapsed="false">
      <c r="A10" s="8" t="s">
        <v>70</v>
      </c>
      <c r="B10" s="31" t="n">
        <f aca="false">SUMIFS(Détail!$E:$E,Détail!$D:$D,"MESSE FRANKFURT  MIDDLE  EAST GMBH",Détail!$A:$A,"&gt;="&amp;DATE(2025,6,1),Détail!$A:$A,"&lt;"&amp;EDATE(DATE(2025,6,1),1))</f>
        <v>-4482.37</v>
      </c>
    </row>
    <row r="11" customFormat="false" ht="15" hidden="false" customHeight="true" outlineLevel="0" collapsed="false">
      <c r="A11" s="8" t="s">
        <v>71</v>
      </c>
      <c r="B11" s="31" t="n">
        <f aca="false">SUMIFS(Détail!$E:$E,Détail!$D:$D,"MESSE FRANKFURT  MIDDLE  EAST GMBH",Détail!$A:$A,"&gt;="&amp;DATE(2025,7,1),Détail!$A:$A,"&lt;"&amp;EDATE(DATE(2025,7,1),1))</f>
        <v>0</v>
      </c>
    </row>
    <row r="12" customFormat="false" ht="15" hidden="false" customHeight="true" outlineLevel="0" collapsed="false">
      <c r="A12" s="8" t="s">
        <v>72</v>
      </c>
      <c r="B12" s="31" t="n">
        <f aca="false">SUMIFS(Détail!$E:$E,Détail!$D:$D,"MESSE FRANKFURT  MIDDLE  EAST GMBH",Détail!$A:$A,"&gt;="&amp;DATE(2025,8,1),Détail!$A:$A,"&lt;"&amp;EDATE(DATE(2025,8,1),1))</f>
        <v>0</v>
      </c>
    </row>
    <row r="13" customFormat="false" ht="15" hidden="false" customHeight="true" outlineLevel="0" collapsed="false">
      <c r="A13" s="8" t="s">
        <v>73</v>
      </c>
      <c r="B13" s="31" t="n">
        <f aca="false">SUMIFS(Détail!$E:$E,Détail!$D:$D,"MESSE FRANKFURT  MIDDLE  EAST GMBH",Détail!$A:$A,"&gt;="&amp;DATE(2025,9,1),Détail!$A:$A,"&lt;"&amp;EDATE(DATE(2025,9,1),1))</f>
        <v>0</v>
      </c>
    </row>
    <row r="14" customFormat="false" ht="15" hidden="false" customHeight="true" outlineLevel="0" collapsed="false">
      <c r="A14" s="8" t="s">
        <v>74</v>
      </c>
      <c r="B14" s="31" t="n">
        <f aca="false">SUMIFS(Détail!$E:$E,Détail!$D:$D,"MESSE FRANKFURT  MIDDLE  EAST GMBH",Détail!$A:$A,"&gt;="&amp;DATE(2025,10,1),Détail!$A:$A,"&lt;"&amp;EDATE(DATE(2025,10,1),1))</f>
        <v>0</v>
      </c>
    </row>
    <row r="15" customFormat="false" ht="15" hidden="false" customHeight="true" outlineLevel="0" collapsed="false">
      <c r="A15" s="8" t="s">
        <v>75</v>
      </c>
      <c r="B15" s="31" t="n">
        <f aca="false">SUMIFS(Détail!$E:$E,Détail!$D:$D,"MESSE FRANKFURT  MIDDLE  EAST GMBH",Détail!$A:$A,"&gt;="&amp;DATE(2025,11,1),Détail!$A:$A,"&lt;"&amp;EDATE(DATE(2025,11,1),1))</f>
        <v>0</v>
      </c>
    </row>
    <row r="16" customFormat="false" ht="15" hidden="false" customHeight="true" outlineLevel="0" collapsed="false">
      <c r="A16" s="8" t="s">
        <v>76</v>
      </c>
      <c r="B16" s="31" t="n">
        <f aca="false">SUMIFS(Détail!$E:$E,Détail!$D:$D,"MESSE FRANKFURT  MIDDLE  EAST GMBH",Détail!$A:$A,"&gt;="&amp;DATE(2025,12,1),Détail!$A:$A,"&lt;"&amp;EDATE(DATE(2025,12,1),1))</f>
        <v>0</v>
      </c>
    </row>
    <row r="19" customFormat="false" ht="15" hidden="false" customHeight="true" outlineLevel="0" collapsed="false">
      <c r="A19" s="29" t="s">
        <v>160</v>
      </c>
      <c r="B19" s="29"/>
      <c r="C19" s="30" t="n">
        <f aca="false">SUMIF(Détail!$D:$D,"SAS SOMEXING",Détail!$E:$E)</f>
        <v>-3905</v>
      </c>
    </row>
    <row r="20" customFormat="false" ht="15" hidden="false" customHeight="true" outlineLevel="0" collapsed="false">
      <c r="A20" s="24" t="s">
        <v>63</v>
      </c>
      <c r="B20" s="24" t="s">
        <v>64</v>
      </c>
    </row>
    <row r="21" customFormat="false" ht="15" hidden="false" customHeight="true" outlineLevel="0" collapsed="false">
      <c r="A21" s="8" t="s">
        <v>65</v>
      </c>
      <c r="B21" s="31" t="n">
        <f aca="false">SUMIFS(Détail!$E:$E,Détail!$D:$D,"SAS SOMEXING",Détail!$A:$A,"&gt;="&amp;DATE(2025,1,1),Détail!$A:$A,"&lt;"&amp;EDATE(DATE(2025,1,1),1))</f>
        <v>0</v>
      </c>
    </row>
    <row r="22" customFormat="false" ht="15" hidden="false" customHeight="true" outlineLevel="0" collapsed="false">
      <c r="A22" s="8" t="s">
        <v>66</v>
      </c>
      <c r="B22" s="31" t="n">
        <f aca="false">SUMIFS(Détail!$E:$E,Détail!$D:$D,"SAS SOMEXING",Détail!$A:$A,"&gt;="&amp;DATE(2025,2,1),Détail!$A:$A,"&lt;"&amp;EDATE(DATE(2025,2,1),1))</f>
        <v>0</v>
      </c>
    </row>
    <row r="23" customFormat="false" ht="15" hidden="false" customHeight="true" outlineLevel="0" collapsed="false">
      <c r="A23" s="8" t="s">
        <v>67</v>
      </c>
      <c r="B23" s="31" t="n">
        <f aca="false">SUMIFS(Détail!$E:$E,Détail!$D:$D,"SAS SOMEXING",Détail!$A:$A,"&gt;="&amp;DATE(2025,3,1),Détail!$A:$A,"&lt;"&amp;EDATE(DATE(2025,3,1),1))</f>
        <v>0</v>
      </c>
    </row>
    <row r="24" customFormat="false" ht="15" hidden="false" customHeight="true" outlineLevel="0" collapsed="false">
      <c r="A24" s="8" t="s">
        <v>68</v>
      </c>
      <c r="B24" s="31" t="n">
        <f aca="false">SUMIFS(Détail!$E:$E,Détail!$D:$D,"SAS SOMEXING",Détail!$A:$A,"&gt;="&amp;DATE(2025,4,1),Détail!$A:$A,"&lt;"&amp;EDATE(DATE(2025,4,1),1))</f>
        <v>0</v>
      </c>
    </row>
    <row r="25" customFormat="false" ht="15" hidden="false" customHeight="true" outlineLevel="0" collapsed="false">
      <c r="A25" s="8" t="s">
        <v>69</v>
      </c>
      <c r="B25" s="31" t="n">
        <f aca="false">SUMIFS(Détail!$E:$E,Détail!$D:$D,"SAS SOMEXING",Détail!$A:$A,"&gt;="&amp;DATE(2025,5,1),Détail!$A:$A,"&lt;"&amp;EDATE(DATE(2025,5,1),1))</f>
        <v>0</v>
      </c>
    </row>
    <row r="26" customFormat="false" ht="15" hidden="false" customHeight="true" outlineLevel="0" collapsed="false">
      <c r="A26" s="8" t="s">
        <v>70</v>
      </c>
      <c r="B26" s="31" t="n">
        <f aca="false">SUMIFS(Détail!$E:$E,Détail!$D:$D,"SAS SOMEXING",Détail!$A:$A,"&gt;="&amp;DATE(2025,6,1),Détail!$A:$A,"&lt;"&amp;EDATE(DATE(2025,6,1),1))</f>
        <v>-1952.5</v>
      </c>
    </row>
    <row r="27" customFormat="false" ht="15" hidden="false" customHeight="true" outlineLevel="0" collapsed="false">
      <c r="A27" s="8" t="s">
        <v>71</v>
      </c>
      <c r="B27" s="31" t="n">
        <f aca="false">SUMIFS(Détail!$E:$E,Détail!$D:$D,"SAS SOMEXING",Détail!$A:$A,"&gt;="&amp;DATE(2025,7,1),Détail!$A:$A,"&lt;"&amp;EDATE(DATE(2025,7,1),1))</f>
        <v>0</v>
      </c>
    </row>
    <row r="28" customFormat="false" ht="15" hidden="false" customHeight="true" outlineLevel="0" collapsed="false">
      <c r="A28" s="8" t="s">
        <v>72</v>
      </c>
      <c r="B28" s="31" t="n">
        <f aca="false">SUMIFS(Détail!$E:$E,Détail!$D:$D,"SAS SOMEXING",Détail!$A:$A,"&gt;="&amp;DATE(2025,8,1),Détail!$A:$A,"&lt;"&amp;EDATE(DATE(2025,8,1),1))</f>
        <v>0</v>
      </c>
    </row>
    <row r="29" customFormat="false" ht="15" hidden="false" customHeight="true" outlineLevel="0" collapsed="false">
      <c r="A29" s="8" t="s">
        <v>73</v>
      </c>
      <c r="B29" s="31" t="n">
        <f aca="false">SUMIFS(Détail!$E:$E,Détail!$D:$D,"SAS SOMEXING",Détail!$A:$A,"&gt;="&amp;DATE(2025,9,1),Détail!$A:$A,"&lt;"&amp;EDATE(DATE(2025,9,1),1))</f>
        <v>0</v>
      </c>
    </row>
    <row r="30" customFormat="false" ht="15" hidden="false" customHeight="true" outlineLevel="0" collapsed="false">
      <c r="A30" s="8" t="s">
        <v>74</v>
      </c>
      <c r="B30" s="31" t="n">
        <f aca="false">SUMIFS(Détail!$E:$E,Détail!$D:$D,"SAS SOMEXING",Détail!$A:$A,"&gt;="&amp;DATE(2025,10,1),Détail!$A:$A,"&lt;"&amp;EDATE(DATE(2025,10,1),1))</f>
        <v>0</v>
      </c>
    </row>
    <row r="31" customFormat="false" ht="15" hidden="false" customHeight="true" outlineLevel="0" collapsed="false">
      <c r="A31" s="8" t="s">
        <v>75</v>
      </c>
      <c r="B31" s="31" t="n">
        <f aca="false">SUMIFS(Détail!$E:$E,Détail!$D:$D,"SAS SOMEXING",Détail!$A:$A,"&gt;="&amp;DATE(2025,11,1),Détail!$A:$A,"&lt;"&amp;EDATE(DATE(2025,11,1),1))</f>
        <v>-1952.5</v>
      </c>
    </row>
    <row r="32" customFormat="false" ht="15" hidden="false" customHeight="true" outlineLevel="0" collapsed="false">
      <c r="A32" s="8" t="s">
        <v>76</v>
      </c>
      <c r="B32" s="31" t="n">
        <f aca="false">SUMIFS(Détail!$E:$E,Détail!$D:$D,"SAS SOMEXING",Détail!$A:$A,"&gt;="&amp;DATE(2025,12,1),Détail!$A:$A,"&lt;"&amp;EDATE(DATE(2025,12,1),1))</f>
        <v>0</v>
      </c>
    </row>
    <row r="35" customFormat="false" ht="15" hidden="false" customHeight="true" outlineLevel="0" collapsed="false">
      <c r="A35" s="29" t="s">
        <v>161</v>
      </c>
      <c r="B35" s="29"/>
      <c r="C35" s="30" t="n">
        <f aca="false">SUMIF(Détail!$D:$D,"SA  LIATECH",Détail!$E:$E)</f>
        <v>-2840</v>
      </c>
    </row>
    <row r="36" customFormat="false" ht="15" hidden="false" customHeight="true" outlineLevel="0" collapsed="false">
      <c r="A36" s="24" t="s">
        <v>63</v>
      </c>
      <c r="B36" s="24" t="s">
        <v>64</v>
      </c>
    </row>
    <row r="37" customFormat="false" ht="15" hidden="false" customHeight="true" outlineLevel="0" collapsed="false">
      <c r="A37" s="8" t="s">
        <v>65</v>
      </c>
      <c r="B37" s="31" t="n">
        <f aca="false">SUMIFS(Détail!$E:$E,Détail!$D:$D,"SA  LIATECH",Détail!$A:$A,"&gt;="&amp;DATE(2025,1,1),Détail!$A:$A,"&lt;"&amp;EDATE(DATE(2025,1,1),1))</f>
        <v>0</v>
      </c>
    </row>
    <row r="38" customFormat="false" ht="15" hidden="false" customHeight="true" outlineLevel="0" collapsed="false">
      <c r="A38" s="8" t="s">
        <v>66</v>
      </c>
      <c r="B38" s="31" t="n">
        <f aca="false">SUMIFS(Détail!$E:$E,Détail!$D:$D,"SA  LIATECH",Détail!$A:$A,"&gt;="&amp;DATE(2025,2,1),Détail!$A:$A,"&lt;"&amp;EDATE(DATE(2025,2,1),1))</f>
        <v>0</v>
      </c>
    </row>
    <row r="39" customFormat="false" ht="15" hidden="false" customHeight="true" outlineLevel="0" collapsed="false">
      <c r="A39" s="8" t="s">
        <v>67</v>
      </c>
      <c r="B39" s="31" t="n">
        <f aca="false">SUMIFS(Détail!$E:$E,Détail!$D:$D,"SA  LIATECH",Détail!$A:$A,"&gt;="&amp;DATE(2025,3,1),Détail!$A:$A,"&lt;"&amp;EDATE(DATE(2025,3,1),1))</f>
        <v>0</v>
      </c>
    </row>
    <row r="40" customFormat="false" ht="15" hidden="false" customHeight="true" outlineLevel="0" collapsed="false">
      <c r="A40" s="8" t="s">
        <v>68</v>
      </c>
      <c r="B40" s="31" t="n">
        <f aca="false">SUMIFS(Détail!$E:$E,Détail!$D:$D,"SA  LIATECH",Détail!$A:$A,"&gt;="&amp;DATE(2025,4,1),Détail!$A:$A,"&lt;"&amp;EDATE(DATE(2025,4,1),1))</f>
        <v>0</v>
      </c>
    </row>
    <row r="41" customFormat="false" ht="15" hidden="false" customHeight="true" outlineLevel="0" collapsed="false">
      <c r="A41" s="8" t="s">
        <v>69</v>
      </c>
      <c r="B41" s="31" t="n">
        <f aca="false">SUMIFS(Détail!$E:$E,Détail!$D:$D,"SA  LIATECH",Détail!$A:$A,"&gt;="&amp;DATE(2025,5,1),Détail!$A:$A,"&lt;"&amp;EDATE(DATE(2025,5,1),1))</f>
        <v>0</v>
      </c>
    </row>
    <row r="42" customFormat="false" ht="15" hidden="false" customHeight="true" outlineLevel="0" collapsed="false">
      <c r="A42" s="8" t="s">
        <v>70</v>
      </c>
      <c r="B42" s="31" t="n">
        <f aca="false">SUMIFS(Détail!$E:$E,Détail!$D:$D,"SA  LIATECH",Détail!$A:$A,"&gt;="&amp;DATE(2025,6,1),Détail!$A:$A,"&lt;"&amp;EDATE(DATE(2025,6,1),1))</f>
        <v>0</v>
      </c>
    </row>
    <row r="43" customFormat="false" ht="15" hidden="false" customHeight="true" outlineLevel="0" collapsed="false">
      <c r="A43" s="8" t="s">
        <v>71</v>
      </c>
      <c r="B43" s="31" t="n">
        <f aca="false">SUMIFS(Détail!$E:$E,Détail!$D:$D,"SA  LIATECH",Détail!$A:$A,"&gt;="&amp;DATE(2025,7,1),Détail!$A:$A,"&lt;"&amp;EDATE(DATE(2025,7,1),1))</f>
        <v>0</v>
      </c>
    </row>
    <row r="44" customFormat="false" ht="15" hidden="false" customHeight="true" outlineLevel="0" collapsed="false">
      <c r="A44" s="8" t="s">
        <v>72</v>
      </c>
      <c r="B44" s="31" t="n">
        <f aca="false">SUMIFS(Détail!$E:$E,Détail!$D:$D,"SA  LIATECH",Détail!$A:$A,"&gt;="&amp;DATE(2025,8,1),Détail!$A:$A,"&lt;"&amp;EDATE(DATE(2025,8,1),1))</f>
        <v>0</v>
      </c>
    </row>
    <row r="45" customFormat="false" ht="15" hidden="false" customHeight="true" outlineLevel="0" collapsed="false">
      <c r="A45" s="8" t="s">
        <v>73</v>
      </c>
      <c r="B45" s="31" t="n">
        <f aca="false">SUMIFS(Détail!$E:$E,Détail!$D:$D,"SA  LIATECH",Détail!$A:$A,"&gt;="&amp;DATE(2025,9,1),Détail!$A:$A,"&lt;"&amp;EDATE(DATE(2025,9,1),1))</f>
        <v>-2840</v>
      </c>
    </row>
    <row r="46" customFormat="false" ht="15" hidden="false" customHeight="true" outlineLevel="0" collapsed="false">
      <c r="A46" s="8" t="s">
        <v>74</v>
      </c>
      <c r="B46" s="31" t="n">
        <f aca="false">SUMIFS(Détail!$E:$E,Détail!$D:$D,"SA  LIATECH",Détail!$A:$A,"&gt;="&amp;DATE(2025,10,1),Détail!$A:$A,"&lt;"&amp;EDATE(DATE(2025,10,1),1))</f>
        <v>0</v>
      </c>
    </row>
    <row r="47" customFormat="false" ht="15" hidden="false" customHeight="true" outlineLevel="0" collapsed="false">
      <c r="A47" s="8" t="s">
        <v>75</v>
      </c>
      <c r="B47" s="31" t="n">
        <f aca="false">SUMIFS(Détail!$E:$E,Détail!$D:$D,"SA  LIATECH",Détail!$A:$A,"&gt;="&amp;DATE(2025,11,1),Détail!$A:$A,"&lt;"&amp;EDATE(DATE(2025,11,1),1))</f>
        <v>0</v>
      </c>
    </row>
    <row r="48" customFormat="false" ht="15" hidden="false" customHeight="true" outlineLevel="0" collapsed="false">
      <c r="A48" s="8" t="s">
        <v>76</v>
      </c>
      <c r="B48" s="31" t="n">
        <f aca="false">SUMIFS(Détail!$E:$E,Détail!$D:$D,"SA  LIATECH",Détail!$A:$A,"&gt;="&amp;DATE(2025,12,1),Détail!$A:$A,"&lt;"&amp;EDATE(DATE(2025,12,1),1))</f>
        <v>0</v>
      </c>
    </row>
    <row r="51" customFormat="false" ht="15" hidden="false" customHeight="true" outlineLevel="0" collapsed="false">
      <c r="A51" s="29" t="s">
        <v>162</v>
      </c>
      <c r="B51" s="29"/>
      <c r="C51" s="30" t="n">
        <f aca="false">SUMIF(Détail!$D:$D,"ESI",Détail!$E:$E)</f>
        <v>-2091</v>
      </c>
    </row>
    <row r="52" customFormat="false" ht="15" hidden="false" customHeight="true" outlineLevel="0" collapsed="false">
      <c r="A52" s="24" t="s">
        <v>63</v>
      </c>
      <c r="B52" s="24" t="s">
        <v>64</v>
      </c>
    </row>
    <row r="53" customFormat="false" ht="15" hidden="false" customHeight="true" outlineLevel="0" collapsed="false">
      <c r="A53" s="8" t="s">
        <v>65</v>
      </c>
      <c r="B53" s="31" t="n">
        <f aca="false">SUMIFS(Détail!$E:$E,Détail!$D:$D,"ESI",Détail!$A:$A,"&gt;="&amp;DATE(2025,1,1),Détail!$A:$A,"&lt;"&amp;EDATE(DATE(2025,1,1),1))</f>
        <v>0</v>
      </c>
    </row>
    <row r="54" customFormat="false" ht="15" hidden="false" customHeight="true" outlineLevel="0" collapsed="false">
      <c r="A54" s="8" t="s">
        <v>66</v>
      </c>
      <c r="B54" s="31" t="n">
        <f aca="false">SUMIFS(Détail!$E:$E,Détail!$D:$D,"ESI",Détail!$A:$A,"&gt;="&amp;DATE(2025,2,1),Détail!$A:$A,"&lt;"&amp;EDATE(DATE(2025,2,1),1))</f>
        <v>0</v>
      </c>
    </row>
    <row r="55" customFormat="false" ht="15" hidden="false" customHeight="true" outlineLevel="0" collapsed="false">
      <c r="A55" s="8" t="s">
        <v>67</v>
      </c>
      <c r="B55" s="31" t="n">
        <f aca="false">SUMIFS(Détail!$E:$E,Détail!$D:$D,"ESI",Détail!$A:$A,"&gt;="&amp;DATE(2025,3,1),Détail!$A:$A,"&lt;"&amp;EDATE(DATE(2025,3,1),1))</f>
        <v>0</v>
      </c>
    </row>
    <row r="56" customFormat="false" ht="15" hidden="false" customHeight="true" outlineLevel="0" collapsed="false">
      <c r="A56" s="8" t="s">
        <v>68</v>
      </c>
      <c r="B56" s="31" t="n">
        <f aca="false">SUMIFS(Détail!$E:$E,Détail!$D:$D,"ESI",Détail!$A:$A,"&gt;="&amp;DATE(2025,4,1),Détail!$A:$A,"&lt;"&amp;EDATE(DATE(2025,4,1),1))</f>
        <v>0</v>
      </c>
    </row>
    <row r="57" customFormat="false" ht="15" hidden="false" customHeight="true" outlineLevel="0" collapsed="false">
      <c r="A57" s="8" t="s">
        <v>69</v>
      </c>
      <c r="B57" s="31" t="n">
        <f aca="false">SUMIFS(Détail!$E:$E,Détail!$D:$D,"ESI",Détail!$A:$A,"&gt;="&amp;DATE(2025,5,1),Détail!$A:$A,"&lt;"&amp;EDATE(DATE(2025,5,1),1))</f>
        <v>0</v>
      </c>
    </row>
    <row r="58" customFormat="false" ht="15" hidden="false" customHeight="true" outlineLevel="0" collapsed="false">
      <c r="A58" s="8" t="s">
        <v>70</v>
      </c>
      <c r="B58" s="31" t="n">
        <f aca="false">SUMIFS(Détail!$E:$E,Détail!$D:$D,"ESI",Détail!$A:$A,"&gt;="&amp;DATE(2025,6,1),Détail!$A:$A,"&lt;"&amp;EDATE(DATE(2025,6,1),1))</f>
        <v>0</v>
      </c>
    </row>
    <row r="59" customFormat="false" ht="15" hidden="false" customHeight="true" outlineLevel="0" collapsed="false">
      <c r="A59" s="8" t="s">
        <v>71</v>
      </c>
      <c r="B59" s="31" t="n">
        <f aca="false">SUMIFS(Détail!$E:$E,Détail!$D:$D,"ESI",Détail!$A:$A,"&gt;="&amp;DATE(2025,7,1),Détail!$A:$A,"&lt;"&amp;EDATE(DATE(2025,7,1),1))</f>
        <v>0</v>
      </c>
    </row>
    <row r="60" customFormat="false" ht="15" hidden="false" customHeight="true" outlineLevel="0" collapsed="false">
      <c r="A60" s="8" t="s">
        <v>72</v>
      </c>
      <c r="B60" s="31" t="n">
        <f aca="false">SUMIFS(Détail!$E:$E,Détail!$D:$D,"ESI",Détail!$A:$A,"&gt;="&amp;DATE(2025,8,1),Détail!$A:$A,"&lt;"&amp;EDATE(DATE(2025,8,1),1))</f>
        <v>0</v>
      </c>
    </row>
    <row r="61" customFormat="false" ht="15" hidden="false" customHeight="true" outlineLevel="0" collapsed="false">
      <c r="A61" s="8" t="s">
        <v>73</v>
      </c>
      <c r="B61" s="31" t="n">
        <f aca="false">SUMIFS(Détail!$E:$E,Détail!$D:$D,"ESI",Détail!$A:$A,"&gt;="&amp;DATE(2025,9,1),Détail!$A:$A,"&lt;"&amp;EDATE(DATE(2025,9,1),1))</f>
        <v>0</v>
      </c>
    </row>
    <row r="62" customFormat="false" ht="15" hidden="false" customHeight="true" outlineLevel="0" collapsed="false">
      <c r="A62" s="8" t="s">
        <v>74</v>
      </c>
      <c r="B62" s="31" t="n">
        <f aca="false">SUMIFS(Détail!$E:$E,Détail!$D:$D,"ESI",Détail!$A:$A,"&gt;="&amp;DATE(2025,10,1),Détail!$A:$A,"&lt;"&amp;EDATE(DATE(2025,10,1),1))</f>
        <v>0</v>
      </c>
    </row>
    <row r="63" customFormat="false" ht="15" hidden="false" customHeight="true" outlineLevel="0" collapsed="false">
      <c r="A63" s="8" t="s">
        <v>75</v>
      </c>
      <c r="B63" s="31" t="n">
        <f aca="false">SUMIFS(Détail!$E:$E,Détail!$D:$D,"ESI",Détail!$A:$A,"&gt;="&amp;DATE(2025,11,1),Détail!$A:$A,"&lt;"&amp;EDATE(DATE(2025,11,1),1))</f>
        <v>-2091</v>
      </c>
    </row>
    <row r="64" customFormat="false" ht="15" hidden="false" customHeight="true" outlineLevel="0" collapsed="false">
      <c r="A64" s="8" t="s">
        <v>76</v>
      </c>
      <c r="B64" s="31" t="n">
        <f aca="false">SUMIFS(Détail!$E:$E,Détail!$D:$D,"ESI",Détail!$A:$A,"&gt;="&amp;DATE(2025,12,1),Détail!$A:$A,"&lt;"&amp;EDATE(DATE(2025,12,1),1))</f>
        <v>0</v>
      </c>
    </row>
    <row r="67" customFormat="false" ht="15" hidden="false" customHeight="true" outlineLevel="0" collapsed="false">
      <c r="A67" s="29" t="s">
        <v>163</v>
      </c>
      <c r="B67" s="29"/>
      <c r="C67" s="30" t="n">
        <f aca="false">SUMIF(Détail!$D:$D,"SYLVIE DE FRANCE",Détail!$E:$E)</f>
        <v>-4928</v>
      </c>
    </row>
    <row r="68" customFormat="false" ht="15" hidden="false" customHeight="true" outlineLevel="0" collapsed="false">
      <c r="A68" s="24" t="s">
        <v>63</v>
      </c>
      <c r="B68" s="24" t="s">
        <v>64</v>
      </c>
    </row>
    <row r="69" customFormat="false" ht="15" hidden="false" customHeight="true" outlineLevel="0" collapsed="false">
      <c r="A69" s="8" t="s">
        <v>65</v>
      </c>
      <c r="B69" s="31" t="n">
        <f aca="false">SUMIFS(Détail!$E:$E,Détail!$D:$D,"SYLVIE DE FRANCE",Détail!$A:$A,"&gt;="&amp;DATE(2025,1,1),Détail!$A:$A,"&lt;"&amp;EDATE(DATE(2025,1,1),1))</f>
        <v>0</v>
      </c>
    </row>
    <row r="70" customFormat="false" ht="15" hidden="false" customHeight="true" outlineLevel="0" collapsed="false">
      <c r="A70" s="8" t="s">
        <v>66</v>
      </c>
      <c r="B70" s="31" t="n">
        <f aca="false">SUMIFS(Détail!$E:$E,Détail!$D:$D,"SYLVIE DE FRANCE",Détail!$A:$A,"&gt;="&amp;DATE(2025,2,1),Détail!$A:$A,"&lt;"&amp;EDATE(DATE(2025,2,1),1))</f>
        <v>-2940</v>
      </c>
    </row>
    <row r="71" customFormat="false" ht="15" hidden="false" customHeight="true" outlineLevel="0" collapsed="false">
      <c r="A71" s="8" t="s">
        <v>67</v>
      </c>
      <c r="B71" s="31" t="n">
        <f aca="false">SUMIFS(Détail!$E:$E,Détail!$D:$D,"SYLVIE DE FRANCE",Détail!$A:$A,"&gt;="&amp;DATE(2025,3,1),Détail!$A:$A,"&lt;"&amp;EDATE(DATE(2025,3,1),1))</f>
        <v>0</v>
      </c>
    </row>
    <row r="72" customFormat="false" ht="15" hidden="false" customHeight="true" outlineLevel="0" collapsed="false">
      <c r="A72" s="8" t="s">
        <v>68</v>
      </c>
      <c r="B72" s="31" t="n">
        <f aca="false">SUMIFS(Détail!$E:$E,Détail!$D:$D,"SYLVIE DE FRANCE",Détail!$A:$A,"&gt;="&amp;DATE(2025,4,1),Détail!$A:$A,"&lt;"&amp;EDATE(DATE(2025,4,1),1))</f>
        <v>0</v>
      </c>
    </row>
    <row r="73" customFormat="false" ht="15" hidden="false" customHeight="true" outlineLevel="0" collapsed="false">
      <c r="A73" s="8" t="s">
        <v>69</v>
      </c>
      <c r="B73" s="31" t="n">
        <f aca="false">SUMIFS(Détail!$E:$E,Détail!$D:$D,"SYLVIE DE FRANCE",Détail!$A:$A,"&gt;="&amp;DATE(2025,5,1),Détail!$A:$A,"&lt;"&amp;EDATE(DATE(2025,5,1),1))</f>
        <v>0</v>
      </c>
    </row>
    <row r="74" customFormat="false" ht="15" hidden="false" customHeight="true" outlineLevel="0" collapsed="false">
      <c r="A74" s="8" t="s">
        <v>70</v>
      </c>
      <c r="B74" s="31" t="n">
        <f aca="false">SUMIFS(Détail!$E:$E,Détail!$D:$D,"SYLVIE DE FRANCE",Détail!$A:$A,"&gt;="&amp;DATE(2025,6,1),Détail!$A:$A,"&lt;"&amp;EDATE(DATE(2025,6,1),1))</f>
        <v>0</v>
      </c>
    </row>
    <row r="75" customFormat="false" ht="15" hidden="false" customHeight="true" outlineLevel="0" collapsed="false">
      <c r="A75" s="8" t="s">
        <v>71</v>
      </c>
      <c r="B75" s="31" t="n">
        <f aca="false">SUMIFS(Détail!$E:$E,Détail!$D:$D,"SYLVIE DE FRANCE",Détail!$A:$A,"&gt;="&amp;DATE(2025,7,1),Détail!$A:$A,"&lt;"&amp;EDATE(DATE(2025,7,1),1))</f>
        <v>0</v>
      </c>
    </row>
    <row r="76" customFormat="false" ht="15" hidden="false" customHeight="true" outlineLevel="0" collapsed="false">
      <c r="A76" s="8" t="s">
        <v>72</v>
      </c>
      <c r="B76" s="31" t="n">
        <f aca="false">SUMIFS(Détail!$E:$E,Détail!$D:$D,"SYLVIE DE FRANCE",Détail!$A:$A,"&gt;="&amp;DATE(2025,8,1),Détail!$A:$A,"&lt;"&amp;EDATE(DATE(2025,8,1),1))</f>
        <v>0</v>
      </c>
    </row>
    <row r="77" customFormat="false" ht="15" hidden="false" customHeight="true" outlineLevel="0" collapsed="false">
      <c r="A77" s="8" t="s">
        <v>73</v>
      </c>
      <c r="B77" s="31" t="n">
        <f aca="false">SUMIFS(Détail!$E:$E,Détail!$D:$D,"SYLVIE DE FRANCE",Détail!$A:$A,"&gt;="&amp;DATE(2025,9,1),Détail!$A:$A,"&lt;"&amp;EDATE(DATE(2025,9,1),1))</f>
        <v>0</v>
      </c>
    </row>
    <row r="78" customFormat="false" ht="15" hidden="false" customHeight="true" outlineLevel="0" collapsed="false">
      <c r="A78" s="8" t="s">
        <v>74</v>
      </c>
      <c r="B78" s="31" t="n">
        <f aca="false">SUMIFS(Détail!$E:$E,Détail!$D:$D,"SYLVIE DE FRANCE",Détail!$A:$A,"&gt;="&amp;DATE(2025,10,1),Détail!$A:$A,"&lt;"&amp;EDATE(DATE(2025,10,1),1))</f>
        <v>-828</v>
      </c>
    </row>
    <row r="79" customFormat="false" ht="15" hidden="false" customHeight="true" outlineLevel="0" collapsed="false">
      <c r="A79" s="8" t="s">
        <v>75</v>
      </c>
      <c r="B79" s="31" t="n">
        <f aca="false">SUMIFS(Détail!$E:$E,Détail!$D:$D,"SYLVIE DE FRANCE",Détail!$A:$A,"&gt;="&amp;DATE(2025,11,1),Détail!$A:$A,"&lt;"&amp;EDATE(DATE(2025,11,1),1))</f>
        <v>-440</v>
      </c>
    </row>
    <row r="80" customFormat="false" ht="15" hidden="false" customHeight="true" outlineLevel="0" collapsed="false">
      <c r="A80" s="8" t="s">
        <v>76</v>
      </c>
      <c r="B80" s="31" t="n">
        <f aca="false">SUMIFS(Détail!$E:$E,Détail!$D:$D,"SYLVIE DE FRANCE",Détail!$A:$A,"&gt;="&amp;DATE(2025,12,1),Détail!$A:$A,"&lt;"&amp;EDATE(DATE(2025,12,1),1))</f>
        <v>-720</v>
      </c>
    </row>
    <row r="83" customFormat="false" ht="15" hidden="false" customHeight="true" outlineLevel="0" collapsed="false">
      <c r="A83" s="29" t="s">
        <v>164</v>
      </c>
      <c r="B83" s="29"/>
      <c r="C83" s="30" t="n">
        <f aca="false">SUMIF(Détail!$D:$D,"WEB PRINT SERVICES",Détail!$E:$E)</f>
        <v>-1570</v>
      </c>
    </row>
    <row r="84" customFormat="false" ht="15" hidden="false" customHeight="true" outlineLevel="0" collapsed="false">
      <c r="A84" s="24" t="s">
        <v>63</v>
      </c>
      <c r="B84" s="24" t="s">
        <v>64</v>
      </c>
    </row>
    <row r="85" customFormat="false" ht="15" hidden="false" customHeight="true" outlineLevel="0" collapsed="false">
      <c r="A85" s="8" t="s">
        <v>65</v>
      </c>
      <c r="B85" s="31" t="n">
        <f aca="false">SUMIFS(Détail!$E:$E,Détail!$D:$D,"WEB PRINT SERVICES",Détail!$A:$A,"&gt;="&amp;DATE(2025,1,1),Détail!$A:$A,"&lt;"&amp;EDATE(DATE(2025,1,1),1))</f>
        <v>-635</v>
      </c>
    </row>
    <row r="86" customFormat="false" ht="15" hidden="false" customHeight="true" outlineLevel="0" collapsed="false">
      <c r="A86" s="8" t="s">
        <v>66</v>
      </c>
      <c r="B86" s="31" t="n">
        <f aca="false">SUMIFS(Détail!$E:$E,Détail!$D:$D,"WEB PRINT SERVICES",Détail!$A:$A,"&gt;="&amp;DATE(2025,2,1),Détail!$A:$A,"&lt;"&amp;EDATE(DATE(2025,2,1),1))</f>
        <v>0</v>
      </c>
    </row>
    <row r="87" customFormat="false" ht="15" hidden="false" customHeight="true" outlineLevel="0" collapsed="false">
      <c r="A87" s="8" t="s">
        <v>67</v>
      </c>
      <c r="B87" s="31" t="n">
        <f aca="false">SUMIFS(Détail!$E:$E,Détail!$D:$D,"WEB PRINT SERVICES",Détail!$A:$A,"&gt;="&amp;DATE(2025,3,1),Détail!$A:$A,"&lt;"&amp;EDATE(DATE(2025,3,1),1))</f>
        <v>-295</v>
      </c>
    </row>
    <row r="88" customFormat="false" ht="15" hidden="false" customHeight="true" outlineLevel="0" collapsed="false">
      <c r="A88" s="8" t="s">
        <v>68</v>
      </c>
      <c r="B88" s="31" t="n">
        <f aca="false">SUMIFS(Détail!$E:$E,Détail!$D:$D,"WEB PRINT SERVICES",Détail!$A:$A,"&gt;="&amp;DATE(2025,4,1),Détail!$A:$A,"&lt;"&amp;EDATE(DATE(2025,4,1),1))</f>
        <v>0</v>
      </c>
    </row>
    <row r="89" customFormat="false" ht="15" hidden="false" customHeight="true" outlineLevel="0" collapsed="false">
      <c r="A89" s="8" t="s">
        <v>69</v>
      </c>
      <c r="B89" s="31" t="n">
        <f aca="false">SUMIFS(Détail!$E:$E,Détail!$D:$D,"WEB PRINT SERVICES",Détail!$A:$A,"&gt;="&amp;DATE(2025,5,1),Détail!$A:$A,"&lt;"&amp;EDATE(DATE(2025,5,1),1))</f>
        <v>0</v>
      </c>
    </row>
    <row r="90" customFormat="false" ht="15" hidden="false" customHeight="true" outlineLevel="0" collapsed="false">
      <c r="A90" s="8" t="s">
        <v>70</v>
      </c>
      <c r="B90" s="31" t="n">
        <f aca="false">SUMIFS(Détail!$E:$E,Détail!$D:$D,"WEB PRINT SERVICES",Détail!$A:$A,"&gt;="&amp;DATE(2025,6,1),Détail!$A:$A,"&lt;"&amp;EDATE(DATE(2025,6,1),1))</f>
        <v>0</v>
      </c>
    </row>
    <row r="91" customFormat="false" ht="15" hidden="false" customHeight="true" outlineLevel="0" collapsed="false">
      <c r="A91" s="8" t="s">
        <v>71</v>
      </c>
      <c r="B91" s="31" t="n">
        <f aca="false">SUMIFS(Détail!$E:$E,Détail!$D:$D,"WEB PRINT SERVICES",Détail!$A:$A,"&gt;="&amp;DATE(2025,7,1),Détail!$A:$A,"&lt;"&amp;EDATE(DATE(2025,7,1),1))</f>
        <v>0</v>
      </c>
    </row>
    <row r="92" customFormat="false" ht="15" hidden="false" customHeight="true" outlineLevel="0" collapsed="false">
      <c r="A92" s="8" t="s">
        <v>72</v>
      </c>
      <c r="B92" s="31" t="n">
        <f aca="false">SUMIFS(Détail!$E:$E,Détail!$D:$D,"WEB PRINT SERVICES",Détail!$A:$A,"&gt;="&amp;DATE(2025,8,1),Détail!$A:$A,"&lt;"&amp;EDATE(DATE(2025,8,1),1))</f>
        <v>0</v>
      </c>
    </row>
    <row r="93" customFormat="false" ht="15" hidden="false" customHeight="true" outlineLevel="0" collapsed="false">
      <c r="A93" s="8" t="s">
        <v>73</v>
      </c>
      <c r="B93" s="31" t="n">
        <f aca="false">SUMIFS(Détail!$E:$E,Détail!$D:$D,"WEB PRINT SERVICES",Détail!$A:$A,"&gt;="&amp;DATE(2025,9,1),Détail!$A:$A,"&lt;"&amp;EDATE(DATE(2025,9,1),1))</f>
        <v>0</v>
      </c>
    </row>
    <row r="94" customFormat="false" ht="15" hidden="false" customHeight="true" outlineLevel="0" collapsed="false">
      <c r="A94" s="8" t="s">
        <v>74</v>
      </c>
      <c r="B94" s="31" t="n">
        <f aca="false">SUMIFS(Détail!$E:$E,Détail!$D:$D,"WEB PRINT SERVICES",Détail!$A:$A,"&gt;="&amp;DATE(2025,10,1),Détail!$A:$A,"&lt;"&amp;EDATE(DATE(2025,10,1),1))</f>
        <v>-530</v>
      </c>
    </row>
    <row r="95" customFormat="false" ht="15" hidden="false" customHeight="true" outlineLevel="0" collapsed="false">
      <c r="A95" s="8" t="s">
        <v>75</v>
      </c>
      <c r="B95" s="31" t="n">
        <f aca="false">SUMIFS(Détail!$E:$E,Détail!$D:$D,"WEB PRINT SERVICES",Détail!$A:$A,"&gt;="&amp;DATE(2025,11,1),Détail!$A:$A,"&lt;"&amp;EDATE(DATE(2025,11,1),1))</f>
        <v>-110</v>
      </c>
    </row>
    <row r="96" customFormat="false" ht="15" hidden="false" customHeight="true" outlineLevel="0" collapsed="false">
      <c r="A96" s="8" t="s">
        <v>76</v>
      </c>
      <c r="B96" s="31" t="n">
        <f aca="false">SUMIFS(Détail!$E:$E,Détail!$D:$D,"WEB PRINT SERVICES",Détail!$A:$A,"&gt;="&amp;DATE(2025,12,1),Détail!$A:$A,"&lt;"&amp;EDATE(DATE(2025,12,1),1))</f>
        <v>0</v>
      </c>
    </row>
    <row r="99" customFormat="false" ht="15" hidden="false" customHeight="true" outlineLevel="0" collapsed="false">
      <c r="A99" s="29" t="s">
        <v>165</v>
      </c>
      <c r="B99" s="29"/>
      <c r="C99" s="30" t="n">
        <f aca="false">SUMIF(Détail!$D:$D,"TUV RHEINLAND FRANCE SAS",Détail!$E:$E)</f>
        <v>-1441.6</v>
      </c>
    </row>
    <row r="100" customFormat="false" ht="15" hidden="false" customHeight="true" outlineLevel="0" collapsed="false">
      <c r="A100" s="24" t="s">
        <v>63</v>
      </c>
      <c r="B100" s="24" t="s">
        <v>64</v>
      </c>
    </row>
    <row r="101" customFormat="false" ht="15" hidden="false" customHeight="true" outlineLevel="0" collapsed="false">
      <c r="A101" s="8" t="s">
        <v>65</v>
      </c>
      <c r="B101" s="31" t="n">
        <f aca="false">SUMIFS(Détail!$E:$E,Détail!$D:$D,"TUV RHEINLAND FRANCE SAS",Détail!$A:$A,"&gt;="&amp;DATE(2025,1,1),Détail!$A:$A,"&lt;"&amp;EDATE(DATE(2025,1,1),1))</f>
        <v>0</v>
      </c>
    </row>
    <row r="102" customFormat="false" ht="15" hidden="false" customHeight="true" outlineLevel="0" collapsed="false">
      <c r="A102" s="8" t="s">
        <v>66</v>
      </c>
      <c r="B102" s="31" t="n">
        <f aca="false">SUMIFS(Détail!$E:$E,Détail!$D:$D,"TUV RHEINLAND FRANCE SAS",Détail!$A:$A,"&gt;="&amp;DATE(2025,2,1),Détail!$A:$A,"&lt;"&amp;EDATE(DATE(2025,2,1),1))</f>
        <v>0</v>
      </c>
    </row>
    <row r="103" customFormat="false" ht="15" hidden="false" customHeight="true" outlineLevel="0" collapsed="false">
      <c r="A103" s="8" t="s">
        <v>67</v>
      </c>
      <c r="B103" s="31" t="n">
        <f aca="false">SUMIFS(Détail!$E:$E,Détail!$D:$D,"TUV RHEINLAND FRANCE SAS",Détail!$A:$A,"&gt;="&amp;DATE(2025,3,1),Détail!$A:$A,"&lt;"&amp;EDATE(DATE(2025,3,1),1))</f>
        <v>0</v>
      </c>
    </row>
    <row r="104" customFormat="false" ht="15" hidden="false" customHeight="true" outlineLevel="0" collapsed="false">
      <c r="A104" s="8" t="s">
        <v>68</v>
      </c>
      <c r="B104" s="31" t="n">
        <f aca="false">SUMIFS(Détail!$E:$E,Détail!$D:$D,"TUV RHEINLAND FRANCE SAS",Détail!$A:$A,"&gt;="&amp;DATE(2025,4,1),Détail!$A:$A,"&lt;"&amp;EDATE(DATE(2025,4,1),1))</f>
        <v>0</v>
      </c>
    </row>
    <row r="105" customFormat="false" ht="15" hidden="false" customHeight="true" outlineLevel="0" collapsed="false">
      <c r="A105" s="8" t="s">
        <v>69</v>
      </c>
      <c r="B105" s="31" t="n">
        <f aca="false">SUMIFS(Détail!$E:$E,Détail!$D:$D,"TUV RHEINLAND FRANCE SAS",Détail!$A:$A,"&gt;="&amp;DATE(2025,5,1),Détail!$A:$A,"&lt;"&amp;EDATE(DATE(2025,5,1),1))</f>
        <v>0</v>
      </c>
    </row>
    <row r="106" customFormat="false" ht="15" hidden="false" customHeight="true" outlineLevel="0" collapsed="false">
      <c r="A106" s="8" t="s">
        <v>70</v>
      </c>
      <c r="B106" s="31" t="n">
        <f aca="false">SUMIFS(Détail!$E:$E,Détail!$D:$D,"TUV RHEINLAND FRANCE SAS",Détail!$A:$A,"&gt;="&amp;DATE(2025,6,1),Détail!$A:$A,"&lt;"&amp;EDATE(DATE(2025,6,1),1))</f>
        <v>0</v>
      </c>
    </row>
    <row r="107" customFormat="false" ht="15" hidden="false" customHeight="true" outlineLevel="0" collapsed="false">
      <c r="A107" s="8" t="s">
        <v>71</v>
      </c>
      <c r="B107" s="31" t="n">
        <f aca="false">SUMIFS(Détail!$E:$E,Détail!$D:$D,"TUV RHEINLAND FRANCE SAS",Détail!$A:$A,"&gt;="&amp;DATE(2025,7,1),Détail!$A:$A,"&lt;"&amp;EDATE(DATE(2025,7,1),1))</f>
        <v>0</v>
      </c>
    </row>
    <row r="108" customFormat="false" ht="15" hidden="false" customHeight="true" outlineLevel="0" collapsed="false">
      <c r="A108" s="8" t="s">
        <v>72</v>
      </c>
      <c r="B108" s="31" t="n">
        <f aca="false">SUMIFS(Détail!$E:$E,Détail!$D:$D,"TUV RHEINLAND FRANCE SAS",Détail!$A:$A,"&gt;="&amp;DATE(2025,8,1),Détail!$A:$A,"&lt;"&amp;EDATE(DATE(2025,8,1),1))</f>
        <v>0</v>
      </c>
    </row>
    <row r="109" customFormat="false" ht="15" hidden="false" customHeight="true" outlineLevel="0" collapsed="false">
      <c r="A109" s="8" t="s">
        <v>73</v>
      </c>
      <c r="B109" s="31" t="n">
        <f aca="false">SUMIFS(Détail!$E:$E,Détail!$D:$D,"TUV RHEINLAND FRANCE SAS",Détail!$A:$A,"&gt;="&amp;DATE(2025,9,1),Détail!$A:$A,"&lt;"&amp;EDATE(DATE(2025,9,1),1))</f>
        <v>-1441.6</v>
      </c>
    </row>
    <row r="110" customFormat="false" ht="15" hidden="false" customHeight="true" outlineLevel="0" collapsed="false">
      <c r="A110" s="8" t="s">
        <v>74</v>
      </c>
      <c r="B110" s="31" t="n">
        <f aca="false">SUMIFS(Détail!$E:$E,Détail!$D:$D,"TUV RHEINLAND FRANCE SAS",Détail!$A:$A,"&gt;="&amp;DATE(2025,10,1),Détail!$A:$A,"&lt;"&amp;EDATE(DATE(2025,10,1),1))</f>
        <v>0</v>
      </c>
    </row>
    <row r="111" customFormat="false" ht="15" hidden="false" customHeight="true" outlineLevel="0" collapsed="false">
      <c r="A111" s="8" t="s">
        <v>75</v>
      </c>
      <c r="B111" s="31" t="n">
        <f aca="false">SUMIFS(Détail!$E:$E,Détail!$D:$D,"TUV RHEINLAND FRANCE SAS",Détail!$A:$A,"&gt;="&amp;DATE(2025,11,1),Détail!$A:$A,"&lt;"&amp;EDATE(DATE(2025,11,1),1))</f>
        <v>0</v>
      </c>
    </row>
    <row r="112" customFormat="false" ht="15" hidden="false" customHeight="true" outlineLevel="0" collapsed="false">
      <c r="A112" s="8" t="s">
        <v>76</v>
      </c>
      <c r="B112" s="31" t="n">
        <f aca="false">SUMIFS(Détail!$E:$E,Détail!$D:$D,"TUV RHEINLAND FRANCE SAS",Détail!$A:$A,"&gt;="&amp;DATE(2025,12,1),Détail!$A:$A,"&lt;"&amp;EDATE(DATE(2025,12,1),1))</f>
        <v>0</v>
      </c>
    </row>
    <row r="115" customFormat="false" ht="15" hidden="false" customHeight="true" outlineLevel="0" collapsed="false">
      <c r="A115" s="29" t="s">
        <v>166</v>
      </c>
      <c r="B115" s="29"/>
      <c r="C115" s="30" t="n">
        <f aca="false">SUMIF(Détail!$D:$D,"CCIP DFCE GEFI",Détail!$E:$E)</f>
        <v>-1281</v>
      </c>
    </row>
    <row r="116" customFormat="false" ht="15" hidden="false" customHeight="true" outlineLevel="0" collapsed="false">
      <c r="A116" s="24" t="s">
        <v>63</v>
      </c>
      <c r="B116" s="24" t="s">
        <v>64</v>
      </c>
    </row>
    <row r="117" customFormat="false" ht="15" hidden="false" customHeight="true" outlineLevel="0" collapsed="false">
      <c r="A117" s="8" t="s">
        <v>65</v>
      </c>
      <c r="B117" s="31" t="n">
        <f aca="false">SUMIFS(Détail!$E:$E,Détail!$D:$D,"CCIP DFCE GEFI",Détail!$A:$A,"&gt;="&amp;DATE(2025,1,1),Détail!$A:$A,"&lt;"&amp;EDATE(DATE(2025,1,1),1))</f>
        <v>-101</v>
      </c>
    </row>
    <row r="118" customFormat="false" ht="15" hidden="false" customHeight="true" outlineLevel="0" collapsed="false">
      <c r="A118" s="8" t="s">
        <v>66</v>
      </c>
      <c r="B118" s="31" t="n">
        <f aca="false">SUMIFS(Détail!$E:$E,Détail!$D:$D,"CCIP DFCE GEFI",Détail!$A:$A,"&gt;="&amp;DATE(2025,2,1),Détail!$A:$A,"&lt;"&amp;EDATE(DATE(2025,2,1),1))</f>
        <v>-101</v>
      </c>
    </row>
    <row r="119" customFormat="false" ht="15" hidden="false" customHeight="true" outlineLevel="0" collapsed="false">
      <c r="A119" s="8" t="s">
        <v>67</v>
      </c>
      <c r="B119" s="31" t="n">
        <f aca="false">SUMIFS(Détail!$E:$E,Détail!$D:$D,"CCIP DFCE GEFI",Détail!$A:$A,"&gt;="&amp;DATE(2025,3,1),Détail!$A:$A,"&lt;"&amp;EDATE(DATE(2025,3,1),1))</f>
        <v>0</v>
      </c>
    </row>
    <row r="120" customFormat="false" ht="15" hidden="false" customHeight="true" outlineLevel="0" collapsed="false">
      <c r="A120" s="8" t="s">
        <v>68</v>
      </c>
      <c r="B120" s="31" t="n">
        <f aca="false">SUMIFS(Détail!$E:$E,Détail!$D:$D,"CCIP DFCE GEFI",Détail!$A:$A,"&gt;="&amp;DATE(2025,4,1),Détail!$A:$A,"&lt;"&amp;EDATE(DATE(2025,4,1),1))</f>
        <v>-114</v>
      </c>
    </row>
    <row r="121" customFormat="false" ht="15" hidden="false" customHeight="true" outlineLevel="0" collapsed="false">
      <c r="A121" s="8" t="s">
        <v>69</v>
      </c>
      <c r="B121" s="31" t="n">
        <f aca="false">SUMIFS(Détail!$E:$E,Détail!$D:$D,"CCIP DFCE GEFI",Détail!$A:$A,"&gt;="&amp;DATE(2025,5,1),Détail!$A:$A,"&lt;"&amp;EDATE(DATE(2025,5,1),1))</f>
        <v>-129</v>
      </c>
    </row>
    <row r="122" customFormat="false" ht="15" hidden="false" customHeight="true" outlineLevel="0" collapsed="false">
      <c r="A122" s="8" t="s">
        <v>70</v>
      </c>
      <c r="B122" s="31" t="n">
        <f aca="false">SUMIFS(Détail!$E:$E,Détail!$D:$D,"CCIP DFCE GEFI",Détail!$A:$A,"&gt;="&amp;DATE(2025,6,1),Détail!$A:$A,"&lt;"&amp;EDATE(DATE(2025,6,1),1))</f>
        <v>0</v>
      </c>
    </row>
    <row r="123" customFormat="false" ht="15" hidden="false" customHeight="true" outlineLevel="0" collapsed="false">
      <c r="A123" s="8" t="s">
        <v>71</v>
      </c>
      <c r="B123" s="31" t="n">
        <f aca="false">SUMIFS(Détail!$E:$E,Détail!$D:$D,"CCIP DFCE GEFI",Détail!$A:$A,"&gt;="&amp;DATE(2025,7,1),Détail!$A:$A,"&lt;"&amp;EDATE(DATE(2025,7,1),1))</f>
        <v>-243</v>
      </c>
    </row>
    <row r="124" customFormat="false" ht="15" hidden="false" customHeight="true" outlineLevel="0" collapsed="false">
      <c r="A124" s="8" t="s">
        <v>72</v>
      </c>
      <c r="B124" s="31" t="n">
        <f aca="false">SUMIFS(Détail!$E:$E,Détail!$D:$D,"CCIP DFCE GEFI",Détail!$A:$A,"&gt;="&amp;DATE(2025,8,1),Détail!$A:$A,"&lt;"&amp;EDATE(DATE(2025,8,1),1))</f>
        <v>-131</v>
      </c>
    </row>
    <row r="125" customFormat="false" ht="15" hidden="false" customHeight="true" outlineLevel="0" collapsed="false">
      <c r="A125" s="8" t="s">
        <v>73</v>
      </c>
      <c r="B125" s="31" t="n">
        <f aca="false">SUMIFS(Détail!$E:$E,Détail!$D:$D,"CCIP DFCE GEFI",Détail!$A:$A,"&gt;="&amp;DATE(2025,9,1),Détail!$A:$A,"&lt;"&amp;EDATE(DATE(2025,9,1),1))</f>
        <v>-114</v>
      </c>
    </row>
    <row r="126" customFormat="false" ht="15" hidden="false" customHeight="true" outlineLevel="0" collapsed="false">
      <c r="A126" s="8" t="s">
        <v>74</v>
      </c>
      <c r="B126" s="31" t="n">
        <f aca="false">SUMIFS(Détail!$E:$E,Détail!$D:$D,"CCIP DFCE GEFI",Détail!$A:$A,"&gt;="&amp;DATE(2025,10,1),Détail!$A:$A,"&lt;"&amp;EDATE(DATE(2025,10,1),1))</f>
        <v>-146</v>
      </c>
    </row>
    <row r="127" customFormat="false" ht="15" hidden="false" customHeight="true" outlineLevel="0" collapsed="false">
      <c r="A127" s="8" t="s">
        <v>75</v>
      </c>
      <c r="B127" s="31" t="n">
        <f aca="false">SUMIFS(Détail!$E:$E,Détail!$D:$D,"CCIP DFCE GEFI",Détail!$A:$A,"&gt;="&amp;DATE(2025,11,1),Détail!$A:$A,"&lt;"&amp;EDATE(DATE(2025,11,1),1))</f>
        <v>0</v>
      </c>
    </row>
    <row r="128" customFormat="false" ht="15" hidden="false" customHeight="true" outlineLevel="0" collapsed="false">
      <c r="A128" s="8" t="s">
        <v>76</v>
      </c>
      <c r="B128" s="31" t="n">
        <f aca="false">SUMIFS(Détail!$E:$E,Détail!$D:$D,"CCIP DFCE GEFI",Détail!$A:$A,"&gt;="&amp;DATE(2025,12,1),Détail!$A:$A,"&lt;"&amp;EDATE(DATE(2025,12,1),1))</f>
        <v>-202</v>
      </c>
    </row>
    <row r="131" customFormat="false" ht="15" hidden="false" customHeight="true" outlineLevel="0" collapsed="false">
      <c r="A131" s="29" t="s">
        <v>167</v>
      </c>
      <c r="B131" s="29"/>
      <c r="C131" s="30" t="n">
        <f aca="false">SUMIF(Détail!$D:$D,"ETC GROUPE",Détail!$E:$E)</f>
        <v>-1094.4</v>
      </c>
    </row>
    <row r="132" customFormat="false" ht="15" hidden="false" customHeight="true" outlineLevel="0" collapsed="false">
      <c r="A132" s="24" t="s">
        <v>63</v>
      </c>
      <c r="B132" s="24" t="s">
        <v>64</v>
      </c>
    </row>
    <row r="133" customFormat="false" ht="15" hidden="false" customHeight="true" outlineLevel="0" collapsed="false">
      <c r="A133" s="8" t="s">
        <v>65</v>
      </c>
      <c r="B133" s="31" t="n">
        <f aca="false">SUMIFS(Détail!$E:$E,Détail!$D:$D,"ETC GROUPE",Détail!$A:$A,"&gt;="&amp;DATE(2025,1,1),Détail!$A:$A,"&lt;"&amp;EDATE(DATE(2025,1,1),1))</f>
        <v>0</v>
      </c>
    </row>
    <row r="134" customFormat="false" ht="15" hidden="false" customHeight="true" outlineLevel="0" collapsed="false">
      <c r="A134" s="8" t="s">
        <v>66</v>
      </c>
      <c r="B134" s="31" t="n">
        <f aca="false">SUMIFS(Détail!$E:$E,Détail!$D:$D,"ETC GROUPE",Détail!$A:$A,"&gt;="&amp;DATE(2025,2,1),Détail!$A:$A,"&lt;"&amp;EDATE(DATE(2025,2,1),1))</f>
        <v>0</v>
      </c>
    </row>
    <row r="135" customFormat="false" ht="15" hidden="false" customHeight="true" outlineLevel="0" collapsed="false">
      <c r="A135" s="8" t="s">
        <v>67</v>
      </c>
      <c r="B135" s="31" t="n">
        <f aca="false">SUMIFS(Détail!$E:$E,Détail!$D:$D,"ETC GROUPE",Détail!$A:$A,"&gt;="&amp;DATE(2025,3,1),Détail!$A:$A,"&lt;"&amp;EDATE(DATE(2025,3,1),1))</f>
        <v>0</v>
      </c>
    </row>
    <row r="136" customFormat="false" ht="15" hidden="false" customHeight="true" outlineLevel="0" collapsed="false">
      <c r="A136" s="8" t="s">
        <v>68</v>
      </c>
      <c r="B136" s="31" t="n">
        <f aca="false">SUMIFS(Détail!$E:$E,Détail!$D:$D,"ETC GROUPE",Détail!$A:$A,"&gt;="&amp;DATE(2025,4,1),Détail!$A:$A,"&lt;"&amp;EDATE(DATE(2025,4,1),1))</f>
        <v>0</v>
      </c>
    </row>
    <row r="137" customFormat="false" ht="15" hidden="false" customHeight="true" outlineLevel="0" collapsed="false">
      <c r="A137" s="8" t="s">
        <v>69</v>
      </c>
      <c r="B137" s="31" t="n">
        <f aca="false">SUMIFS(Détail!$E:$E,Détail!$D:$D,"ETC GROUPE",Détail!$A:$A,"&gt;="&amp;DATE(2025,5,1),Détail!$A:$A,"&lt;"&amp;EDATE(DATE(2025,5,1),1))</f>
        <v>0</v>
      </c>
    </row>
    <row r="138" customFormat="false" ht="15" hidden="false" customHeight="true" outlineLevel="0" collapsed="false">
      <c r="A138" s="8" t="s">
        <v>70</v>
      </c>
      <c r="B138" s="31" t="n">
        <f aca="false">SUMIFS(Détail!$E:$E,Détail!$D:$D,"ETC GROUPE",Détail!$A:$A,"&gt;="&amp;DATE(2025,6,1),Détail!$A:$A,"&lt;"&amp;EDATE(DATE(2025,6,1),1))</f>
        <v>0</v>
      </c>
    </row>
    <row r="139" customFormat="false" ht="15" hidden="false" customHeight="true" outlineLevel="0" collapsed="false">
      <c r="A139" s="8" t="s">
        <v>71</v>
      </c>
      <c r="B139" s="31" t="n">
        <f aca="false">SUMIFS(Détail!$E:$E,Détail!$D:$D,"ETC GROUPE",Détail!$A:$A,"&gt;="&amp;DATE(2025,7,1),Détail!$A:$A,"&lt;"&amp;EDATE(DATE(2025,7,1),1))</f>
        <v>0</v>
      </c>
    </row>
    <row r="140" customFormat="false" ht="15" hidden="false" customHeight="true" outlineLevel="0" collapsed="false">
      <c r="A140" s="8" t="s">
        <v>72</v>
      </c>
      <c r="B140" s="31" t="n">
        <f aca="false">SUMIFS(Détail!$E:$E,Détail!$D:$D,"ETC GROUPE",Détail!$A:$A,"&gt;="&amp;DATE(2025,8,1),Détail!$A:$A,"&lt;"&amp;EDATE(DATE(2025,8,1),1))</f>
        <v>0</v>
      </c>
    </row>
    <row r="141" customFormat="false" ht="15" hidden="false" customHeight="true" outlineLevel="0" collapsed="false">
      <c r="A141" s="8" t="s">
        <v>73</v>
      </c>
      <c r="B141" s="31" t="n">
        <f aca="false">SUMIFS(Détail!$E:$E,Détail!$D:$D,"ETC GROUPE",Détail!$A:$A,"&gt;="&amp;DATE(2025,9,1),Détail!$A:$A,"&lt;"&amp;EDATE(DATE(2025,9,1),1))</f>
        <v>0</v>
      </c>
    </row>
    <row r="142" customFormat="false" ht="15" hidden="false" customHeight="true" outlineLevel="0" collapsed="false">
      <c r="A142" s="8" t="s">
        <v>74</v>
      </c>
      <c r="B142" s="31" t="n">
        <f aca="false">SUMIFS(Détail!$E:$E,Détail!$D:$D,"ETC GROUPE",Détail!$A:$A,"&gt;="&amp;DATE(2025,10,1),Détail!$A:$A,"&lt;"&amp;EDATE(DATE(2025,10,1),1))</f>
        <v>0</v>
      </c>
    </row>
    <row r="143" customFormat="false" ht="15" hidden="false" customHeight="true" outlineLevel="0" collapsed="false">
      <c r="A143" s="8" t="s">
        <v>75</v>
      </c>
      <c r="B143" s="31" t="n">
        <f aca="false">SUMIFS(Détail!$E:$E,Détail!$D:$D,"ETC GROUPE",Détail!$A:$A,"&gt;="&amp;DATE(2025,11,1),Détail!$A:$A,"&lt;"&amp;EDATE(DATE(2025,11,1),1))</f>
        <v>0</v>
      </c>
    </row>
    <row r="144" customFormat="false" ht="15" hidden="false" customHeight="true" outlineLevel="0" collapsed="false">
      <c r="A144" s="8" t="s">
        <v>76</v>
      </c>
      <c r="B144" s="31" t="n">
        <f aca="false">SUMIFS(Détail!$E:$E,Détail!$D:$D,"ETC GROUPE",Détail!$A:$A,"&gt;="&amp;DATE(2025,12,1),Détail!$A:$A,"&lt;"&amp;EDATE(DATE(2025,12,1),1))</f>
        <v>-1094.4</v>
      </c>
    </row>
    <row r="147" customFormat="false" ht="15" hidden="false" customHeight="true" outlineLevel="0" collapsed="false">
      <c r="A147" s="29" t="s">
        <v>168</v>
      </c>
      <c r="B147" s="29"/>
      <c r="C147" s="30" t="n">
        <f aca="false">SUMIF(Détail!$D:$D,"GL HAUSSMANN",Détail!$E:$E)</f>
        <v>-790</v>
      </c>
    </row>
    <row r="148" customFormat="false" ht="15" hidden="false" customHeight="true" outlineLevel="0" collapsed="false">
      <c r="A148" s="24" t="s">
        <v>63</v>
      </c>
      <c r="B148" s="24" t="s">
        <v>64</v>
      </c>
    </row>
    <row r="149" customFormat="false" ht="15" hidden="false" customHeight="true" outlineLevel="0" collapsed="false">
      <c r="A149" s="8" t="s">
        <v>65</v>
      </c>
      <c r="B149" s="31" t="n">
        <f aca="false">SUMIFS(Détail!$E:$E,Détail!$D:$D,"GL HAUSSMANN",Détail!$A:$A,"&gt;="&amp;DATE(2025,1,1),Détail!$A:$A,"&lt;"&amp;EDATE(DATE(2025,1,1),1))</f>
        <v>0</v>
      </c>
    </row>
    <row r="150" customFormat="false" ht="15" hidden="false" customHeight="true" outlineLevel="0" collapsed="false">
      <c r="A150" s="8" t="s">
        <v>66</v>
      </c>
      <c r="B150" s="31" t="n">
        <f aca="false">SUMIFS(Détail!$E:$E,Détail!$D:$D,"GL HAUSSMANN",Détail!$A:$A,"&gt;="&amp;DATE(2025,2,1),Détail!$A:$A,"&lt;"&amp;EDATE(DATE(2025,2,1),1))</f>
        <v>0</v>
      </c>
    </row>
    <row r="151" customFormat="false" ht="15" hidden="false" customHeight="true" outlineLevel="0" collapsed="false">
      <c r="A151" s="8" t="s">
        <v>67</v>
      </c>
      <c r="B151" s="31" t="n">
        <f aca="false">SUMIFS(Détail!$E:$E,Détail!$D:$D,"GL HAUSSMANN",Détail!$A:$A,"&gt;="&amp;DATE(2025,3,1),Détail!$A:$A,"&lt;"&amp;EDATE(DATE(2025,3,1),1))</f>
        <v>0</v>
      </c>
    </row>
    <row r="152" customFormat="false" ht="15" hidden="false" customHeight="true" outlineLevel="0" collapsed="false">
      <c r="A152" s="8" t="s">
        <v>68</v>
      </c>
      <c r="B152" s="31" t="n">
        <f aca="false">SUMIFS(Détail!$E:$E,Détail!$D:$D,"GL HAUSSMANN",Détail!$A:$A,"&gt;="&amp;DATE(2025,4,1),Détail!$A:$A,"&lt;"&amp;EDATE(DATE(2025,4,1),1))</f>
        <v>0</v>
      </c>
    </row>
    <row r="153" customFormat="false" ht="15" hidden="false" customHeight="true" outlineLevel="0" collapsed="false">
      <c r="A153" s="8" t="s">
        <v>69</v>
      </c>
      <c r="B153" s="31" t="n">
        <f aca="false">SUMIFS(Détail!$E:$E,Détail!$D:$D,"GL HAUSSMANN",Détail!$A:$A,"&gt;="&amp;DATE(2025,5,1),Détail!$A:$A,"&lt;"&amp;EDATE(DATE(2025,5,1),1))</f>
        <v>0</v>
      </c>
    </row>
    <row r="154" customFormat="false" ht="15" hidden="false" customHeight="true" outlineLevel="0" collapsed="false">
      <c r="A154" s="8" t="s">
        <v>70</v>
      </c>
      <c r="B154" s="31" t="n">
        <f aca="false">SUMIFS(Détail!$E:$E,Détail!$D:$D,"GL HAUSSMANN",Détail!$A:$A,"&gt;="&amp;DATE(2025,6,1),Détail!$A:$A,"&lt;"&amp;EDATE(DATE(2025,6,1),1))</f>
        <v>0</v>
      </c>
    </row>
    <row r="155" customFormat="false" ht="15" hidden="false" customHeight="true" outlineLevel="0" collapsed="false">
      <c r="A155" s="8" t="s">
        <v>71</v>
      </c>
      <c r="B155" s="31" t="n">
        <f aca="false">SUMIFS(Détail!$E:$E,Détail!$D:$D,"GL HAUSSMANN",Détail!$A:$A,"&gt;="&amp;DATE(2025,7,1),Détail!$A:$A,"&lt;"&amp;EDATE(DATE(2025,7,1),1))</f>
        <v>0</v>
      </c>
    </row>
    <row r="156" customFormat="false" ht="15" hidden="false" customHeight="true" outlineLevel="0" collapsed="false">
      <c r="A156" s="8" t="s">
        <v>72</v>
      </c>
      <c r="B156" s="31" t="n">
        <f aca="false">SUMIFS(Détail!$E:$E,Détail!$D:$D,"GL HAUSSMANN",Détail!$A:$A,"&gt;="&amp;DATE(2025,8,1),Détail!$A:$A,"&lt;"&amp;EDATE(DATE(2025,8,1),1))</f>
        <v>0</v>
      </c>
    </row>
    <row r="157" customFormat="false" ht="15" hidden="false" customHeight="true" outlineLevel="0" collapsed="false">
      <c r="A157" s="8" t="s">
        <v>73</v>
      </c>
      <c r="B157" s="31" t="n">
        <f aca="false">SUMIFS(Détail!$E:$E,Détail!$D:$D,"GL HAUSSMANN",Détail!$A:$A,"&gt;="&amp;DATE(2025,9,1),Détail!$A:$A,"&lt;"&amp;EDATE(DATE(2025,9,1),1))</f>
        <v>0</v>
      </c>
    </row>
    <row r="158" customFormat="false" ht="15" hidden="false" customHeight="true" outlineLevel="0" collapsed="false">
      <c r="A158" s="8" t="s">
        <v>74</v>
      </c>
      <c r="B158" s="31" t="n">
        <f aca="false">SUMIFS(Détail!$E:$E,Détail!$D:$D,"GL HAUSSMANN",Détail!$A:$A,"&gt;="&amp;DATE(2025,10,1),Détail!$A:$A,"&lt;"&amp;EDATE(DATE(2025,10,1),1))</f>
        <v>0</v>
      </c>
    </row>
    <row r="159" customFormat="false" ht="15" hidden="false" customHeight="true" outlineLevel="0" collapsed="false">
      <c r="A159" s="8" t="s">
        <v>75</v>
      </c>
      <c r="B159" s="31" t="n">
        <f aca="false">SUMIFS(Détail!$E:$E,Détail!$D:$D,"GL HAUSSMANN",Détail!$A:$A,"&gt;="&amp;DATE(2025,11,1),Détail!$A:$A,"&lt;"&amp;EDATE(DATE(2025,11,1),1))</f>
        <v>-790</v>
      </c>
    </row>
    <row r="160" customFormat="false" ht="15" hidden="false" customHeight="true" outlineLevel="0" collapsed="false">
      <c r="A160" s="8" t="s">
        <v>76</v>
      </c>
      <c r="B160" s="31" t="n">
        <f aca="false">SUMIFS(Détail!$E:$E,Détail!$D:$D,"GL HAUSSMANN",Détail!$A:$A,"&gt;="&amp;DATE(2025,12,1),Détail!$A:$A,"&lt;"&amp;EDATE(DATE(2025,12,1),1))</f>
        <v>0</v>
      </c>
    </row>
    <row r="163" customFormat="false" ht="15" hidden="false" customHeight="true" outlineLevel="0" collapsed="false">
      <c r="A163" s="29" t="s">
        <v>169</v>
      </c>
      <c r="B163" s="29"/>
      <c r="C163" s="30" t="n">
        <f aca="false">SUMIF(Détail!$D:$D,"INPI VADS",Détail!$E:$E)</f>
        <v>-760</v>
      </c>
    </row>
    <row r="164" customFormat="false" ht="15" hidden="false" customHeight="true" outlineLevel="0" collapsed="false">
      <c r="A164" s="24" t="s">
        <v>63</v>
      </c>
      <c r="B164" s="24" t="s">
        <v>64</v>
      </c>
    </row>
    <row r="165" customFormat="false" ht="15" hidden="false" customHeight="true" outlineLevel="0" collapsed="false">
      <c r="A165" s="8" t="s">
        <v>65</v>
      </c>
      <c r="B165" s="31" t="n">
        <f aca="false">SUMIFS(Détail!$E:$E,Détail!$D:$D,"INPI VADS",Détail!$A:$A,"&gt;="&amp;DATE(2025,1,1),Détail!$A:$A,"&lt;"&amp;EDATE(DATE(2025,1,1),1))</f>
        <v>0</v>
      </c>
    </row>
    <row r="166" customFormat="false" ht="15" hidden="false" customHeight="true" outlineLevel="0" collapsed="false">
      <c r="A166" s="8" t="s">
        <v>66</v>
      </c>
      <c r="B166" s="31" t="n">
        <f aca="false">SUMIFS(Détail!$E:$E,Détail!$D:$D,"INPI VADS",Détail!$A:$A,"&gt;="&amp;DATE(2025,2,1),Détail!$A:$A,"&lt;"&amp;EDATE(DATE(2025,2,1),1))</f>
        <v>0</v>
      </c>
    </row>
    <row r="167" customFormat="false" ht="15" hidden="false" customHeight="true" outlineLevel="0" collapsed="false">
      <c r="A167" s="8" t="s">
        <v>67</v>
      </c>
      <c r="B167" s="31" t="n">
        <f aca="false">SUMIFS(Détail!$E:$E,Détail!$D:$D,"INPI VADS",Détail!$A:$A,"&gt;="&amp;DATE(2025,3,1),Détail!$A:$A,"&lt;"&amp;EDATE(DATE(2025,3,1),1))</f>
        <v>0</v>
      </c>
    </row>
    <row r="168" customFormat="false" ht="15" hidden="false" customHeight="true" outlineLevel="0" collapsed="false">
      <c r="A168" s="8" t="s">
        <v>68</v>
      </c>
      <c r="B168" s="31" t="n">
        <f aca="false">SUMIFS(Détail!$E:$E,Détail!$D:$D,"INPI VADS",Détail!$A:$A,"&gt;="&amp;DATE(2025,4,1),Détail!$A:$A,"&lt;"&amp;EDATE(DATE(2025,4,1),1))</f>
        <v>0</v>
      </c>
    </row>
    <row r="169" customFormat="false" ht="15" hidden="false" customHeight="true" outlineLevel="0" collapsed="false">
      <c r="A169" s="8" t="s">
        <v>69</v>
      </c>
      <c r="B169" s="31" t="n">
        <f aca="false">SUMIFS(Détail!$E:$E,Détail!$D:$D,"INPI VADS",Détail!$A:$A,"&gt;="&amp;DATE(2025,5,1),Détail!$A:$A,"&lt;"&amp;EDATE(DATE(2025,5,1),1))</f>
        <v>0</v>
      </c>
    </row>
    <row r="170" customFormat="false" ht="15" hidden="false" customHeight="true" outlineLevel="0" collapsed="false">
      <c r="A170" s="8" t="s">
        <v>70</v>
      </c>
      <c r="B170" s="31" t="n">
        <f aca="false">SUMIFS(Détail!$E:$E,Détail!$D:$D,"INPI VADS",Détail!$A:$A,"&gt;="&amp;DATE(2025,6,1),Détail!$A:$A,"&lt;"&amp;EDATE(DATE(2025,6,1),1))</f>
        <v>0</v>
      </c>
    </row>
    <row r="171" customFormat="false" ht="15" hidden="false" customHeight="true" outlineLevel="0" collapsed="false">
      <c r="A171" s="8" t="s">
        <v>71</v>
      </c>
      <c r="B171" s="31" t="n">
        <f aca="false">SUMIFS(Détail!$E:$E,Détail!$D:$D,"INPI VADS",Détail!$A:$A,"&gt;="&amp;DATE(2025,7,1),Détail!$A:$A,"&lt;"&amp;EDATE(DATE(2025,7,1),1))</f>
        <v>-190</v>
      </c>
    </row>
    <row r="172" customFormat="false" ht="15" hidden="false" customHeight="true" outlineLevel="0" collapsed="false">
      <c r="A172" s="8" t="s">
        <v>72</v>
      </c>
      <c r="B172" s="31" t="n">
        <f aca="false">SUMIFS(Détail!$E:$E,Détail!$D:$D,"INPI VADS",Détail!$A:$A,"&gt;="&amp;DATE(2025,8,1),Détail!$A:$A,"&lt;"&amp;EDATE(DATE(2025,8,1),1))</f>
        <v>0</v>
      </c>
    </row>
    <row r="173" customFormat="false" ht="15" hidden="false" customHeight="true" outlineLevel="0" collapsed="false">
      <c r="A173" s="8" t="s">
        <v>73</v>
      </c>
      <c r="B173" s="31" t="n">
        <f aca="false">SUMIFS(Détail!$E:$E,Détail!$D:$D,"INPI VADS",Détail!$A:$A,"&gt;="&amp;DATE(2025,9,1),Détail!$A:$A,"&lt;"&amp;EDATE(DATE(2025,9,1),1))</f>
        <v>0</v>
      </c>
    </row>
    <row r="174" customFormat="false" ht="15" hidden="false" customHeight="true" outlineLevel="0" collapsed="false">
      <c r="A174" s="8" t="s">
        <v>74</v>
      </c>
      <c r="B174" s="31" t="n">
        <f aca="false">SUMIFS(Détail!$E:$E,Détail!$D:$D,"INPI VADS",Détail!$A:$A,"&gt;="&amp;DATE(2025,10,1),Détail!$A:$A,"&lt;"&amp;EDATE(DATE(2025,10,1),1))</f>
        <v>0</v>
      </c>
    </row>
    <row r="175" customFormat="false" ht="15" hidden="false" customHeight="true" outlineLevel="0" collapsed="false">
      <c r="A175" s="8" t="s">
        <v>75</v>
      </c>
      <c r="B175" s="31" t="n">
        <f aca="false">SUMIFS(Détail!$E:$E,Détail!$D:$D,"INPI VADS",Détail!$A:$A,"&gt;="&amp;DATE(2025,11,1),Détail!$A:$A,"&lt;"&amp;EDATE(DATE(2025,11,1),1))</f>
        <v>-570</v>
      </c>
    </row>
    <row r="176" customFormat="false" ht="15" hidden="false" customHeight="true" outlineLevel="0" collapsed="false">
      <c r="A176" s="8" t="s">
        <v>76</v>
      </c>
      <c r="B176" s="31" t="n">
        <f aca="false">SUMIFS(Détail!$E:$E,Détail!$D:$D,"INPI VADS",Détail!$A:$A,"&gt;="&amp;DATE(2025,12,1),Détail!$A:$A,"&lt;"&amp;EDATE(DATE(2025,12,1),1))</f>
        <v>0</v>
      </c>
    </row>
    <row r="179" customFormat="false" ht="15" hidden="false" customHeight="true" outlineLevel="0" collapsed="false">
      <c r="A179" s="29" t="s">
        <v>170</v>
      </c>
      <c r="B179" s="29"/>
      <c r="C179" s="30" t="n">
        <f aca="false">SUMIF(Détail!$D:$D,"GS1 FRANCE",Détail!$E:$E)</f>
        <v>-742.8</v>
      </c>
    </row>
    <row r="180" customFormat="false" ht="15" hidden="false" customHeight="true" outlineLevel="0" collapsed="false">
      <c r="A180" s="24" t="s">
        <v>63</v>
      </c>
      <c r="B180" s="24" t="s">
        <v>64</v>
      </c>
    </row>
    <row r="181" customFormat="false" ht="15" hidden="false" customHeight="true" outlineLevel="0" collapsed="false">
      <c r="A181" s="8" t="s">
        <v>65</v>
      </c>
      <c r="B181" s="31" t="n">
        <f aca="false">SUMIFS(Détail!$E:$E,Détail!$D:$D,"GS1 FRANCE",Détail!$A:$A,"&gt;="&amp;DATE(2025,1,1),Détail!$A:$A,"&lt;"&amp;EDATE(DATE(2025,1,1),1))</f>
        <v>0</v>
      </c>
    </row>
    <row r="182" customFormat="false" ht="15" hidden="false" customHeight="true" outlineLevel="0" collapsed="false">
      <c r="A182" s="8" t="s">
        <v>66</v>
      </c>
      <c r="B182" s="31" t="n">
        <f aca="false">SUMIFS(Détail!$E:$E,Détail!$D:$D,"GS1 FRANCE",Détail!$A:$A,"&gt;="&amp;DATE(2025,2,1),Détail!$A:$A,"&lt;"&amp;EDATE(DATE(2025,2,1),1))</f>
        <v>-742.8</v>
      </c>
    </row>
    <row r="183" customFormat="false" ht="15" hidden="false" customHeight="true" outlineLevel="0" collapsed="false">
      <c r="A183" s="8" t="s">
        <v>67</v>
      </c>
      <c r="B183" s="31" t="n">
        <f aca="false">SUMIFS(Détail!$E:$E,Détail!$D:$D,"GS1 FRANCE",Détail!$A:$A,"&gt;="&amp;DATE(2025,3,1),Détail!$A:$A,"&lt;"&amp;EDATE(DATE(2025,3,1),1))</f>
        <v>0</v>
      </c>
    </row>
    <row r="184" customFormat="false" ht="15" hidden="false" customHeight="true" outlineLevel="0" collapsed="false">
      <c r="A184" s="8" t="s">
        <v>68</v>
      </c>
      <c r="B184" s="31" t="n">
        <f aca="false">SUMIFS(Détail!$E:$E,Détail!$D:$D,"GS1 FRANCE",Détail!$A:$A,"&gt;="&amp;DATE(2025,4,1),Détail!$A:$A,"&lt;"&amp;EDATE(DATE(2025,4,1),1))</f>
        <v>0</v>
      </c>
    </row>
    <row r="185" customFormat="false" ht="15" hidden="false" customHeight="true" outlineLevel="0" collapsed="false">
      <c r="A185" s="8" t="s">
        <v>69</v>
      </c>
      <c r="B185" s="31" t="n">
        <f aca="false">SUMIFS(Détail!$E:$E,Détail!$D:$D,"GS1 FRANCE",Détail!$A:$A,"&gt;="&amp;DATE(2025,5,1),Détail!$A:$A,"&lt;"&amp;EDATE(DATE(2025,5,1),1))</f>
        <v>0</v>
      </c>
    </row>
    <row r="186" customFormat="false" ht="15" hidden="false" customHeight="true" outlineLevel="0" collapsed="false">
      <c r="A186" s="8" t="s">
        <v>70</v>
      </c>
      <c r="B186" s="31" t="n">
        <f aca="false">SUMIFS(Détail!$E:$E,Détail!$D:$D,"GS1 FRANCE",Détail!$A:$A,"&gt;="&amp;DATE(2025,6,1),Détail!$A:$A,"&lt;"&amp;EDATE(DATE(2025,6,1),1))</f>
        <v>0</v>
      </c>
    </row>
    <row r="187" customFormat="false" ht="15" hidden="false" customHeight="true" outlineLevel="0" collapsed="false">
      <c r="A187" s="8" t="s">
        <v>71</v>
      </c>
      <c r="B187" s="31" t="n">
        <f aca="false">SUMIFS(Détail!$E:$E,Détail!$D:$D,"GS1 FRANCE",Détail!$A:$A,"&gt;="&amp;DATE(2025,7,1),Détail!$A:$A,"&lt;"&amp;EDATE(DATE(2025,7,1),1))</f>
        <v>0</v>
      </c>
    </row>
    <row r="188" customFormat="false" ht="15" hidden="false" customHeight="true" outlineLevel="0" collapsed="false">
      <c r="A188" s="8" t="s">
        <v>72</v>
      </c>
      <c r="B188" s="31" t="n">
        <f aca="false">SUMIFS(Détail!$E:$E,Détail!$D:$D,"GS1 FRANCE",Détail!$A:$A,"&gt;="&amp;DATE(2025,8,1),Détail!$A:$A,"&lt;"&amp;EDATE(DATE(2025,8,1),1))</f>
        <v>0</v>
      </c>
    </row>
    <row r="189" customFormat="false" ht="15" hidden="false" customHeight="true" outlineLevel="0" collapsed="false">
      <c r="A189" s="8" t="s">
        <v>73</v>
      </c>
      <c r="B189" s="31" t="n">
        <f aca="false">SUMIFS(Détail!$E:$E,Détail!$D:$D,"GS1 FRANCE",Détail!$A:$A,"&gt;="&amp;DATE(2025,9,1),Détail!$A:$A,"&lt;"&amp;EDATE(DATE(2025,9,1),1))</f>
        <v>0</v>
      </c>
    </row>
    <row r="190" customFormat="false" ht="15" hidden="false" customHeight="true" outlineLevel="0" collapsed="false">
      <c r="A190" s="8" t="s">
        <v>74</v>
      </c>
      <c r="B190" s="31" t="n">
        <f aca="false">SUMIFS(Détail!$E:$E,Détail!$D:$D,"GS1 FRANCE",Détail!$A:$A,"&gt;="&amp;DATE(2025,10,1),Détail!$A:$A,"&lt;"&amp;EDATE(DATE(2025,10,1),1))</f>
        <v>0</v>
      </c>
    </row>
    <row r="191" customFormat="false" ht="15" hidden="false" customHeight="true" outlineLevel="0" collapsed="false">
      <c r="A191" s="8" t="s">
        <v>75</v>
      </c>
      <c r="B191" s="31" t="n">
        <f aca="false">SUMIFS(Détail!$E:$E,Détail!$D:$D,"GS1 FRANCE",Détail!$A:$A,"&gt;="&amp;DATE(2025,11,1),Détail!$A:$A,"&lt;"&amp;EDATE(DATE(2025,11,1),1))</f>
        <v>0</v>
      </c>
    </row>
    <row r="192" customFormat="false" ht="15" hidden="false" customHeight="true" outlineLevel="0" collapsed="false">
      <c r="A192" s="8" t="s">
        <v>76</v>
      </c>
      <c r="B192" s="31" t="n">
        <f aca="false">SUMIFS(Détail!$E:$E,Détail!$D:$D,"GS1 FRANCE",Détail!$A:$A,"&gt;="&amp;DATE(2025,12,1),Détail!$A:$A,"&lt;"&amp;EDATE(DATE(2025,12,1),1))</f>
        <v>0</v>
      </c>
    </row>
    <row r="195" customFormat="false" ht="15" hidden="false" customHeight="true" outlineLevel="0" collapsed="false">
      <c r="A195" s="29" t="s">
        <v>171</v>
      </c>
      <c r="B195" s="29"/>
      <c r="C195" s="30" t="n">
        <f aca="false">SUMIF(Détail!$D:$D,"SELARL  ACTIS  AVOCATS",Détail!$E:$E)</f>
        <v>-720</v>
      </c>
    </row>
    <row r="196" customFormat="false" ht="15" hidden="false" customHeight="true" outlineLevel="0" collapsed="false">
      <c r="A196" s="24" t="s">
        <v>63</v>
      </c>
      <c r="B196" s="24" t="s">
        <v>64</v>
      </c>
    </row>
    <row r="197" customFormat="false" ht="15" hidden="false" customHeight="true" outlineLevel="0" collapsed="false">
      <c r="A197" s="8" t="s">
        <v>65</v>
      </c>
      <c r="B197" s="31" t="n">
        <f aca="false">SUMIFS(Détail!$E:$E,Détail!$D:$D,"SELARL  ACTIS  AVOCATS",Détail!$A:$A,"&gt;="&amp;DATE(2025,1,1),Détail!$A:$A,"&lt;"&amp;EDATE(DATE(2025,1,1),1))</f>
        <v>0</v>
      </c>
    </row>
    <row r="198" customFormat="false" ht="15" hidden="false" customHeight="true" outlineLevel="0" collapsed="false">
      <c r="A198" s="8" t="s">
        <v>66</v>
      </c>
      <c r="B198" s="31" t="n">
        <f aca="false">SUMIFS(Détail!$E:$E,Détail!$D:$D,"SELARL  ACTIS  AVOCATS",Détail!$A:$A,"&gt;="&amp;DATE(2025,2,1),Détail!$A:$A,"&lt;"&amp;EDATE(DATE(2025,2,1),1))</f>
        <v>0</v>
      </c>
    </row>
    <row r="199" customFormat="false" ht="15" hidden="false" customHeight="true" outlineLevel="0" collapsed="false">
      <c r="A199" s="8" t="s">
        <v>67</v>
      </c>
      <c r="B199" s="31" t="n">
        <f aca="false">SUMIFS(Détail!$E:$E,Détail!$D:$D,"SELARL  ACTIS  AVOCATS",Détail!$A:$A,"&gt;="&amp;DATE(2025,3,1),Détail!$A:$A,"&lt;"&amp;EDATE(DATE(2025,3,1),1))</f>
        <v>0</v>
      </c>
    </row>
    <row r="200" customFormat="false" ht="15" hidden="false" customHeight="true" outlineLevel="0" collapsed="false">
      <c r="A200" s="8" t="s">
        <v>68</v>
      </c>
      <c r="B200" s="31" t="n">
        <f aca="false">SUMIFS(Détail!$E:$E,Détail!$D:$D,"SELARL  ACTIS  AVOCATS",Détail!$A:$A,"&gt;="&amp;DATE(2025,4,1),Détail!$A:$A,"&lt;"&amp;EDATE(DATE(2025,4,1),1))</f>
        <v>0</v>
      </c>
    </row>
    <row r="201" customFormat="false" ht="15" hidden="false" customHeight="true" outlineLevel="0" collapsed="false">
      <c r="A201" s="8" t="s">
        <v>69</v>
      </c>
      <c r="B201" s="31" t="n">
        <f aca="false">SUMIFS(Détail!$E:$E,Détail!$D:$D,"SELARL  ACTIS  AVOCATS",Détail!$A:$A,"&gt;="&amp;DATE(2025,5,1),Détail!$A:$A,"&lt;"&amp;EDATE(DATE(2025,5,1),1))</f>
        <v>-720</v>
      </c>
    </row>
    <row r="202" customFormat="false" ht="15" hidden="false" customHeight="true" outlineLevel="0" collapsed="false">
      <c r="A202" s="8" t="s">
        <v>70</v>
      </c>
      <c r="B202" s="31" t="n">
        <f aca="false">SUMIFS(Détail!$E:$E,Détail!$D:$D,"SELARL  ACTIS  AVOCATS",Détail!$A:$A,"&gt;="&amp;DATE(2025,6,1),Détail!$A:$A,"&lt;"&amp;EDATE(DATE(2025,6,1),1))</f>
        <v>0</v>
      </c>
    </row>
    <row r="203" customFormat="false" ht="15" hidden="false" customHeight="true" outlineLevel="0" collapsed="false">
      <c r="A203" s="8" t="s">
        <v>71</v>
      </c>
      <c r="B203" s="31" t="n">
        <f aca="false">SUMIFS(Détail!$E:$E,Détail!$D:$D,"SELARL  ACTIS  AVOCATS",Détail!$A:$A,"&gt;="&amp;DATE(2025,7,1),Détail!$A:$A,"&lt;"&amp;EDATE(DATE(2025,7,1),1))</f>
        <v>0</v>
      </c>
    </row>
    <row r="204" customFormat="false" ht="15" hidden="false" customHeight="true" outlineLevel="0" collapsed="false">
      <c r="A204" s="8" t="s">
        <v>72</v>
      </c>
      <c r="B204" s="31" t="n">
        <f aca="false">SUMIFS(Détail!$E:$E,Détail!$D:$D,"SELARL  ACTIS  AVOCATS",Détail!$A:$A,"&gt;="&amp;DATE(2025,8,1),Détail!$A:$A,"&lt;"&amp;EDATE(DATE(2025,8,1),1))</f>
        <v>0</v>
      </c>
    </row>
    <row r="205" customFormat="false" ht="15" hidden="false" customHeight="true" outlineLevel="0" collapsed="false">
      <c r="A205" s="8" t="s">
        <v>73</v>
      </c>
      <c r="B205" s="31" t="n">
        <f aca="false">SUMIFS(Détail!$E:$E,Détail!$D:$D,"SELARL  ACTIS  AVOCATS",Détail!$A:$A,"&gt;="&amp;DATE(2025,9,1),Détail!$A:$A,"&lt;"&amp;EDATE(DATE(2025,9,1),1))</f>
        <v>0</v>
      </c>
    </row>
    <row r="206" customFormat="false" ht="15" hidden="false" customHeight="true" outlineLevel="0" collapsed="false">
      <c r="A206" s="8" t="s">
        <v>74</v>
      </c>
      <c r="B206" s="31" t="n">
        <f aca="false">SUMIFS(Détail!$E:$E,Détail!$D:$D,"SELARL  ACTIS  AVOCATS",Détail!$A:$A,"&gt;="&amp;DATE(2025,10,1),Détail!$A:$A,"&lt;"&amp;EDATE(DATE(2025,10,1),1))</f>
        <v>0</v>
      </c>
    </row>
    <row r="207" customFormat="false" ht="15" hidden="false" customHeight="true" outlineLevel="0" collapsed="false">
      <c r="A207" s="8" t="s">
        <v>75</v>
      </c>
      <c r="B207" s="31" t="n">
        <f aca="false">SUMIFS(Détail!$E:$E,Détail!$D:$D,"SELARL  ACTIS  AVOCATS",Détail!$A:$A,"&gt;="&amp;DATE(2025,11,1),Détail!$A:$A,"&lt;"&amp;EDATE(DATE(2025,11,1),1))</f>
        <v>0</v>
      </c>
    </row>
    <row r="208" customFormat="false" ht="15" hidden="false" customHeight="true" outlineLevel="0" collapsed="false">
      <c r="A208" s="8" t="s">
        <v>76</v>
      </c>
      <c r="B208" s="31" t="n">
        <f aca="false">SUMIFS(Détail!$E:$E,Détail!$D:$D,"SELARL  ACTIS  AVOCATS",Détail!$A:$A,"&gt;="&amp;DATE(2025,12,1),Détail!$A:$A,"&lt;"&amp;EDATE(DATE(2025,12,1),1))</f>
        <v>0</v>
      </c>
    </row>
    <row r="211" customFormat="false" ht="15" hidden="false" customHeight="true" outlineLevel="0" collapsed="false">
      <c r="A211" s="29" t="s">
        <v>172</v>
      </c>
      <c r="B211" s="29"/>
      <c r="C211" s="30" t="n">
        <f aca="false">SUMIF(Détail!$D:$D,"EQUIPE EXIBIT SRL",Détail!$E:$E)</f>
        <v>-500</v>
      </c>
    </row>
    <row r="212" customFormat="false" ht="15" hidden="false" customHeight="true" outlineLevel="0" collapsed="false">
      <c r="A212" s="24" t="s">
        <v>63</v>
      </c>
      <c r="B212" s="24" t="s">
        <v>64</v>
      </c>
    </row>
    <row r="213" customFormat="false" ht="15" hidden="false" customHeight="true" outlineLevel="0" collapsed="false">
      <c r="A213" s="8" t="s">
        <v>65</v>
      </c>
      <c r="B213" s="31" t="n">
        <f aca="false">SUMIFS(Détail!$E:$E,Détail!$D:$D,"EQUIPE EXIBIT SRL",Détail!$A:$A,"&gt;="&amp;DATE(2025,1,1),Détail!$A:$A,"&lt;"&amp;EDATE(DATE(2025,1,1),1))</f>
        <v>0</v>
      </c>
    </row>
    <row r="214" customFormat="false" ht="15" hidden="false" customHeight="true" outlineLevel="0" collapsed="false">
      <c r="A214" s="8" t="s">
        <v>66</v>
      </c>
      <c r="B214" s="31" t="n">
        <f aca="false">SUMIFS(Détail!$E:$E,Détail!$D:$D,"EQUIPE EXIBIT SRL",Détail!$A:$A,"&gt;="&amp;DATE(2025,2,1),Détail!$A:$A,"&lt;"&amp;EDATE(DATE(2025,2,1),1))</f>
        <v>0</v>
      </c>
    </row>
    <row r="215" customFormat="false" ht="15" hidden="false" customHeight="true" outlineLevel="0" collapsed="false">
      <c r="A215" s="8" t="s">
        <v>67</v>
      </c>
      <c r="B215" s="31" t="n">
        <f aca="false">SUMIFS(Détail!$E:$E,Détail!$D:$D,"EQUIPE EXIBIT SRL",Détail!$A:$A,"&gt;="&amp;DATE(2025,3,1),Détail!$A:$A,"&lt;"&amp;EDATE(DATE(2025,3,1),1))</f>
        <v>0</v>
      </c>
    </row>
    <row r="216" customFormat="false" ht="15" hidden="false" customHeight="true" outlineLevel="0" collapsed="false">
      <c r="A216" s="8" t="s">
        <v>68</v>
      </c>
      <c r="B216" s="31" t="n">
        <f aca="false">SUMIFS(Détail!$E:$E,Détail!$D:$D,"EQUIPE EXIBIT SRL",Détail!$A:$A,"&gt;="&amp;DATE(2025,4,1),Détail!$A:$A,"&lt;"&amp;EDATE(DATE(2025,4,1),1))</f>
        <v>-500</v>
      </c>
    </row>
    <row r="217" customFormat="false" ht="15" hidden="false" customHeight="true" outlineLevel="0" collapsed="false">
      <c r="A217" s="8" t="s">
        <v>69</v>
      </c>
      <c r="B217" s="31" t="n">
        <f aca="false">SUMIFS(Détail!$E:$E,Détail!$D:$D,"EQUIPE EXIBIT SRL",Détail!$A:$A,"&gt;="&amp;DATE(2025,5,1),Détail!$A:$A,"&lt;"&amp;EDATE(DATE(2025,5,1),1))</f>
        <v>0</v>
      </c>
    </row>
    <row r="218" customFormat="false" ht="15" hidden="false" customHeight="true" outlineLevel="0" collapsed="false">
      <c r="A218" s="8" t="s">
        <v>70</v>
      </c>
      <c r="B218" s="31" t="n">
        <f aca="false">SUMIFS(Détail!$E:$E,Détail!$D:$D,"EQUIPE EXIBIT SRL",Détail!$A:$A,"&gt;="&amp;DATE(2025,6,1),Détail!$A:$A,"&lt;"&amp;EDATE(DATE(2025,6,1),1))</f>
        <v>0</v>
      </c>
    </row>
    <row r="219" customFormat="false" ht="15" hidden="false" customHeight="true" outlineLevel="0" collapsed="false">
      <c r="A219" s="8" t="s">
        <v>71</v>
      </c>
      <c r="B219" s="31" t="n">
        <f aca="false">SUMIFS(Détail!$E:$E,Détail!$D:$D,"EQUIPE EXIBIT SRL",Détail!$A:$A,"&gt;="&amp;DATE(2025,7,1),Détail!$A:$A,"&lt;"&amp;EDATE(DATE(2025,7,1),1))</f>
        <v>0</v>
      </c>
    </row>
    <row r="220" customFormat="false" ht="15" hidden="false" customHeight="true" outlineLevel="0" collapsed="false">
      <c r="A220" s="8" t="s">
        <v>72</v>
      </c>
      <c r="B220" s="31" t="n">
        <f aca="false">SUMIFS(Détail!$E:$E,Détail!$D:$D,"EQUIPE EXIBIT SRL",Détail!$A:$A,"&gt;="&amp;DATE(2025,8,1),Détail!$A:$A,"&lt;"&amp;EDATE(DATE(2025,8,1),1))</f>
        <v>0</v>
      </c>
    </row>
    <row r="221" customFormat="false" ht="15" hidden="false" customHeight="true" outlineLevel="0" collapsed="false">
      <c r="A221" s="8" t="s">
        <v>73</v>
      </c>
      <c r="B221" s="31" t="n">
        <f aca="false">SUMIFS(Détail!$E:$E,Détail!$D:$D,"EQUIPE EXIBIT SRL",Détail!$A:$A,"&gt;="&amp;DATE(2025,9,1),Détail!$A:$A,"&lt;"&amp;EDATE(DATE(2025,9,1),1))</f>
        <v>0</v>
      </c>
    </row>
    <row r="222" customFormat="false" ht="15" hidden="false" customHeight="true" outlineLevel="0" collapsed="false">
      <c r="A222" s="8" t="s">
        <v>74</v>
      </c>
      <c r="B222" s="31" t="n">
        <f aca="false">SUMIFS(Détail!$E:$E,Détail!$D:$D,"EQUIPE EXIBIT SRL",Détail!$A:$A,"&gt;="&amp;DATE(2025,10,1),Détail!$A:$A,"&lt;"&amp;EDATE(DATE(2025,10,1),1))</f>
        <v>0</v>
      </c>
    </row>
    <row r="223" customFormat="false" ht="15" hidden="false" customHeight="true" outlineLevel="0" collapsed="false">
      <c r="A223" s="8" t="s">
        <v>75</v>
      </c>
      <c r="B223" s="31" t="n">
        <f aca="false">SUMIFS(Détail!$E:$E,Détail!$D:$D,"EQUIPE EXIBIT SRL",Détail!$A:$A,"&gt;="&amp;DATE(2025,11,1),Détail!$A:$A,"&lt;"&amp;EDATE(DATE(2025,11,1),1))</f>
        <v>0</v>
      </c>
    </row>
    <row r="224" customFormat="false" ht="15" hidden="false" customHeight="true" outlineLevel="0" collapsed="false">
      <c r="A224" s="8" t="s">
        <v>76</v>
      </c>
      <c r="B224" s="31" t="n">
        <f aca="false">SUMIFS(Détail!$E:$E,Détail!$D:$D,"EQUIPE EXIBIT SRL",Détail!$A:$A,"&gt;="&amp;DATE(2025,12,1),Détail!$A:$A,"&lt;"&amp;EDATE(DATE(2025,12,1),1))</f>
        <v>0</v>
      </c>
    </row>
    <row r="227" customFormat="false" ht="15" hidden="false" customHeight="true" outlineLevel="0" collapsed="false">
      <c r="A227" s="29" t="s">
        <v>173</v>
      </c>
      <c r="B227" s="29"/>
      <c r="C227" s="30" t="n">
        <f aca="false">SUMIF(Détail!$D:$D,"VIREMENT (sans libellé bénéficiaire)",Détail!$E:$E)</f>
        <v>-440</v>
      </c>
    </row>
    <row r="228" customFormat="false" ht="15" hidden="false" customHeight="true" outlineLevel="0" collapsed="false">
      <c r="A228" s="24" t="s">
        <v>63</v>
      </c>
      <c r="B228" s="24" t="s">
        <v>64</v>
      </c>
    </row>
    <row r="229" customFormat="false" ht="15" hidden="false" customHeight="true" outlineLevel="0" collapsed="false">
      <c r="A229" s="8" t="s">
        <v>65</v>
      </c>
      <c r="B229" s="31" t="n">
        <f aca="false">SUMIFS(Détail!$E:$E,Détail!$D:$D,"VIREMENT (sans libellé bénéficiaire)",Détail!$A:$A,"&gt;="&amp;DATE(2025,1,1),Détail!$A:$A,"&lt;"&amp;EDATE(DATE(2025,1,1),1))</f>
        <v>0</v>
      </c>
    </row>
    <row r="230" customFormat="false" ht="15" hidden="false" customHeight="true" outlineLevel="0" collapsed="false">
      <c r="A230" s="8" t="s">
        <v>66</v>
      </c>
      <c r="B230" s="31" t="n">
        <f aca="false">SUMIFS(Détail!$E:$E,Détail!$D:$D,"VIREMENT (sans libellé bénéficiaire)",Détail!$A:$A,"&gt;="&amp;DATE(2025,2,1),Détail!$A:$A,"&lt;"&amp;EDATE(DATE(2025,2,1),1))</f>
        <v>0</v>
      </c>
    </row>
    <row r="231" customFormat="false" ht="15" hidden="false" customHeight="true" outlineLevel="0" collapsed="false">
      <c r="A231" s="8" t="s">
        <v>67</v>
      </c>
      <c r="B231" s="31" t="n">
        <f aca="false">SUMIFS(Détail!$E:$E,Détail!$D:$D,"VIREMENT (sans libellé bénéficiaire)",Détail!$A:$A,"&gt;="&amp;DATE(2025,3,1),Détail!$A:$A,"&lt;"&amp;EDATE(DATE(2025,3,1),1))</f>
        <v>0</v>
      </c>
    </row>
    <row r="232" customFormat="false" ht="15" hidden="false" customHeight="true" outlineLevel="0" collapsed="false">
      <c r="A232" s="8" t="s">
        <v>68</v>
      </c>
      <c r="B232" s="31" t="n">
        <f aca="false">SUMIFS(Détail!$E:$E,Détail!$D:$D,"VIREMENT (sans libellé bénéficiaire)",Détail!$A:$A,"&gt;="&amp;DATE(2025,4,1),Détail!$A:$A,"&lt;"&amp;EDATE(DATE(2025,4,1),1))</f>
        <v>0</v>
      </c>
    </row>
    <row r="233" customFormat="false" ht="15" hidden="false" customHeight="true" outlineLevel="0" collapsed="false">
      <c r="A233" s="8" t="s">
        <v>69</v>
      </c>
      <c r="B233" s="31" t="n">
        <f aca="false">SUMIFS(Détail!$E:$E,Détail!$D:$D,"VIREMENT (sans libellé bénéficiaire)",Détail!$A:$A,"&gt;="&amp;DATE(2025,5,1),Détail!$A:$A,"&lt;"&amp;EDATE(DATE(2025,5,1),1))</f>
        <v>0</v>
      </c>
    </row>
    <row r="234" customFormat="false" ht="15" hidden="false" customHeight="true" outlineLevel="0" collapsed="false">
      <c r="A234" s="8" t="s">
        <v>70</v>
      </c>
      <c r="B234" s="31" t="n">
        <f aca="false">SUMIFS(Détail!$E:$E,Détail!$D:$D,"VIREMENT (sans libellé bénéficiaire)",Détail!$A:$A,"&gt;="&amp;DATE(2025,6,1),Détail!$A:$A,"&lt;"&amp;EDATE(DATE(2025,6,1),1))</f>
        <v>-440</v>
      </c>
    </row>
    <row r="235" customFormat="false" ht="15" hidden="false" customHeight="true" outlineLevel="0" collapsed="false">
      <c r="A235" s="8" t="s">
        <v>71</v>
      </c>
      <c r="B235" s="31" t="n">
        <f aca="false">SUMIFS(Détail!$E:$E,Détail!$D:$D,"VIREMENT (sans libellé bénéficiaire)",Détail!$A:$A,"&gt;="&amp;DATE(2025,7,1),Détail!$A:$A,"&lt;"&amp;EDATE(DATE(2025,7,1),1))</f>
        <v>0</v>
      </c>
    </row>
    <row r="236" customFormat="false" ht="15" hidden="false" customHeight="true" outlineLevel="0" collapsed="false">
      <c r="A236" s="8" t="s">
        <v>72</v>
      </c>
      <c r="B236" s="31" t="n">
        <f aca="false">SUMIFS(Détail!$E:$E,Détail!$D:$D,"VIREMENT (sans libellé bénéficiaire)",Détail!$A:$A,"&gt;="&amp;DATE(2025,8,1),Détail!$A:$A,"&lt;"&amp;EDATE(DATE(2025,8,1),1))</f>
        <v>0</v>
      </c>
    </row>
    <row r="237" customFormat="false" ht="15" hidden="false" customHeight="true" outlineLevel="0" collapsed="false">
      <c r="A237" s="8" t="s">
        <v>73</v>
      </c>
      <c r="B237" s="31" t="n">
        <f aca="false">SUMIFS(Détail!$E:$E,Détail!$D:$D,"VIREMENT (sans libellé bénéficiaire)",Détail!$A:$A,"&gt;="&amp;DATE(2025,9,1),Détail!$A:$A,"&lt;"&amp;EDATE(DATE(2025,9,1),1))</f>
        <v>0</v>
      </c>
    </row>
    <row r="238" customFormat="false" ht="15" hidden="false" customHeight="true" outlineLevel="0" collapsed="false">
      <c r="A238" s="8" t="s">
        <v>74</v>
      </c>
      <c r="B238" s="31" t="n">
        <f aca="false">SUMIFS(Détail!$E:$E,Détail!$D:$D,"VIREMENT (sans libellé bénéficiaire)",Détail!$A:$A,"&gt;="&amp;DATE(2025,10,1),Détail!$A:$A,"&lt;"&amp;EDATE(DATE(2025,10,1),1))</f>
        <v>0</v>
      </c>
    </row>
    <row r="239" customFormat="false" ht="15" hidden="false" customHeight="true" outlineLevel="0" collapsed="false">
      <c r="A239" s="8" t="s">
        <v>75</v>
      </c>
      <c r="B239" s="31" t="n">
        <f aca="false">SUMIFS(Détail!$E:$E,Détail!$D:$D,"VIREMENT (sans libellé bénéficiaire)",Détail!$A:$A,"&gt;="&amp;DATE(2025,11,1),Détail!$A:$A,"&lt;"&amp;EDATE(DATE(2025,11,1),1))</f>
        <v>0</v>
      </c>
    </row>
    <row r="240" customFormat="false" ht="15" hidden="false" customHeight="true" outlineLevel="0" collapsed="false">
      <c r="A240" s="8" t="s">
        <v>76</v>
      </c>
      <c r="B240" s="31" t="n">
        <f aca="false">SUMIFS(Détail!$E:$E,Détail!$D:$D,"VIREMENT (sans libellé bénéficiaire)",Détail!$A:$A,"&gt;="&amp;DATE(2025,12,1),Détail!$A:$A,"&lt;"&amp;EDATE(DATE(2025,12,1),1))</f>
        <v>0</v>
      </c>
    </row>
    <row r="243" customFormat="false" ht="15" hidden="false" customHeight="true" outlineLevel="0" collapsed="false">
      <c r="A243" s="29" t="s">
        <v>174</v>
      </c>
      <c r="B243" s="29"/>
      <c r="C243" s="30" t="n">
        <f aca="false">SUMIF(Détail!$D:$D,"ASSISTANCE DEMARCHES",Détail!$E:$E)</f>
        <v>-354</v>
      </c>
    </row>
    <row r="244" customFormat="false" ht="15" hidden="false" customHeight="true" outlineLevel="0" collapsed="false">
      <c r="A244" s="24" t="s">
        <v>63</v>
      </c>
      <c r="B244" s="24" t="s">
        <v>64</v>
      </c>
    </row>
    <row r="245" customFormat="false" ht="15" hidden="false" customHeight="true" outlineLevel="0" collapsed="false">
      <c r="A245" s="8" t="s">
        <v>65</v>
      </c>
      <c r="B245" s="31" t="n">
        <f aca="false">SUMIFS(Détail!$E:$E,Détail!$D:$D,"ASSISTANCE DEMARCHES",Détail!$A:$A,"&gt;="&amp;DATE(2025,1,1),Détail!$A:$A,"&lt;"&amp;EDATE(DATE(2025,1,1),1))</f>
        <v>0</v>
      </c>
    </row>
    <row r="246" customFormat="false" ht="15" hidden="false" customHeight="true" outlineLevel="0" collapsed="false">
      <c r="A246" s="8" t="s">
        <v>66</v>
      </c>
      <c r="B246" s="31" t="n">
        <f aca="false">SUMIFS(Détail!$E:$E,Détail!$D:$D,"ASSISTANCE DEMARCHES",Détail!$A:$A,"&gt;="&amp;DATE(2025,2,1),Détail!$A:$A,"&lt;"&amp;EDATE(DATE(2025,2,1),1))</f>
        <v>0</v>
      </c>
    </row>
    <row r="247" customFormat="false" ht="15" hidden="false" customHeight="true" outlineLevel="0" collapsed="false">
      <c r="A247" s="8" t="s">
        <v>67</v>
      </c>
      <c r="B247" s="31" t="n">
        <f aca="false">SUMIFS(Détail!$E:$E,Détail!$D:$D,"ASSISTANCE DEMARCHES",Détail!$A:$A,"&gt;="&amp;DATE(2025,3,1),Détail!$A:$A,"&lt;"&amp;EDATE(DATE(2025,3,1),1))</f>
        <v>0</v>
      </c>
    </row>
    <row r="248" customFormat="false" ht="15" hidden="false" customHeight="true" outlineLevel="0" collapsed="false">
      <c r="A248" s="8" t="s">
        <v>68</v>
      </c>
      <c r="B248" s="31" t="n">
        <f aca="false">SUMIFS(Détail!$E:$E,Détail!$D:$D,"ASSISTANCE DEMARCHES",Détail!$A:$A,"&gt;="&amp;DATE(2025,4,1),Détail!$A:$A,"&lt;"&amp;EDATE(DATE(2025,4,1),1))</f>
        <v>0</v>
      </c>
    </row>
    <row r="249" customFormat="false" ht="15" hidden="false" customHeight="true" outlineLevel="0" collapsed="false">
      <c r="A249" s="8" t="s">
        <v>69</v>
      </c>
      <c r="B249" s="31" t="n">
        <f aca="false">SUMIFS(Détail!$E:$E,Détail!$D:$D,"ASSISTANCE DEMARCHES",Détail!$A:$A,"&gt;="&amp;DATE(2025,5,1),Détail!$A:$A,"&lt;"&amp;EDATE(DATE(2025,5,1),1))</f>
        <v>0</v>
      </c>
    </row>
    <row r="250" customFormat="false" ht="15" hidden="false" customHeight="true" outlineLevel="0" collapsed="false">
      <c r="A250" s="8" t="s">
        <v>70</v>
      </c>
      <c r="B250" s="31" t="n">
        <f aca="false">SUMIFS(Détail!$E:$E,Détail!$D:$D,"ASSISTANCE DEMARCHES",Détail!$A:$A,"&gt;="&amp;DATE(2025,6,1),Détail!$A:$A,"&lt;"&amp;EDATE(DATE(2025,6,1),1))</f>
        <v>0</v>
      </c>
    </row>
    <row r="251" customFormat="false" ht="15" hidden="false" customHeight="true" outlineLevel="0" collapsed="false">
      <c r="A251" s="8" t="s">
        <v>71</v>
      </c>
      <c r="B251" s="31" t="n">
        <f aca="false">SUMIFS(Détail!$E:$E,Détail!$D:$D,"ASSISTANCE DEMARCHES",Détail!$A:$A,"&gt;="&amp;DATE(2025,7,1),Détail!$A:$A,"&lt;"&amp;EDATE(DATE(2025,7,1),1))</f>
        <v>-166.4</v>
      </c>
    </row>
    <row r="252" customFormat="false" ht="15" hidden="false" customHeight="true" outlineLevel="0" collapsed="false">
      <c r="A252" s="8" t="s">
        <v>72</v>
      </c>
      <c r="B252" s="31" t="n">
        <f aca="false">SUMIFS(Détail!$E:$E,Détail!$D:$D,"ASSISTANCE DEMARCHES",Détail!$A:$A,"&gt;="&amp;DATE(2025,8,1),Détail!$A:$A,"&lt;"&amp;EDATE(DATE(2025,8,1),1))</f>
        <v>0</v>
      </c>
    </row>
    <row r="253" customFormat="false" ht="15" hidden="false" customHeight="true" outlineLevel="0" collapsed="false">
      <c r="A253" s="8" t="s">
        <v>73</v>
      </c>
      <c r="B253" s="31" t="n">
        <f aca="false">SUMIFS(Détail!$E:$E,Détail!$D:$D,"ASSISTANCE DEMARCHES",Détail!$A:$A,"&gt;="&amp;DATE(2025,9,1),Détail!$A:$A,"&lt;"&amp;EDATE(DATE(2025,9,1),1))</f>
        <v>0</v>
      </c>
    </row>
    <row r="254" customFormat="false" ht="15" hidden="false" customHeight="true" outlineLevel="0" collapsed="false">
      <c r="A254" s="8" t="s">
        <v>74</v>
      </c>
      <c r="B254" s="31" t="n">
        <f aca="false">SUMIFS(Détail!$E:$E,Détail!$D:$D,"ASSISTANCE DEMARCHES",Détail!$A:$A,"&gt;="&amp;DATE(2025,10,1),Détail!$A:$A,"&lt;"&amp;EDATE(DATE(2025,10,1),1))</f>
        <v>0</v>
      </c>
    </row>
    <row r="255" customFormat="false" ht="15" hidden="false" customHeight="true" outlineLevel="0" collapsed="false">
      <c r="A255" s="8" t="s">
        <v>75</v>
      </c>
      <c r="B255" s="31" t="n">
        <f aca="false">SUMIFS(Détail!$E:$E,Détail!$D:$D,"ASSISTANCE DEMARCHES",Détail!$A:$A,"&gt;="&amp;DATE(2025,11,1),Détail!$A:$A,"&lt;"&amp;EDATE(DATE(2025,11,1),1))</f>
        <v>-187.6</v>
      </c>
    </row>
    <row r="256" customFormat="false" ht="15" hidden="false" customHeight="true" outlineLevel="0" collapsed="false">
      <c r="A256" s="8" t="s">
        <v>76</v>
      </c>
      <c r="B256" s="31" t="n">
        <f aca="false">SUMIFS(Détail!$E:$E,Détail!$D:$D,"ASSISTANCE DEMARCHES",Détail!$A:$A,"&gt;="&amp;DATE(2025,12,1),Détail!$A:$A,"&lt;"&amp;EDATE(DATE(2025,12,1),1))</f>
        <v>0</v>
      </c>
    </row>
    <row r="259" customFormat="false" ht="15" hidden="false" customHeight="true" outlineLevel="0" collapsed="false">
      <c r="A259" s="29" t="s">
        <v>175</v>
      </c>
      <c r="B259" s="29"/>
      <c r="C259" s="30" t="n">
        <f aca="false">SUMIF(Détail!$D:$D,"SOCIETE NOUVELL",Détail!$E:$E)</f>
        <v>-265.9</v>
      </c>
    </row>
    <row r="260" customFormat="false" ht="15" hidden="false" customHeight="true" outlineLevel="0" collapsed="false">
      <c r="A260" s="24" t="s">
        <v>63</v>
      </c>
      <c r="B260" s="24" t="s">
        <v>64</v>
      </c>
    </row>
    <row r="261" customFormat="false" ht="15" hidden="false" customHeight="true" outlineLevel="0" collapsed="false">
      <c r="A261" s="8" t="s">
        <v>65</v>
      </c>
      <c r="B261" s="31" t="n">
        <f aca="false">SUMIFS(Détail!$E:$E,Détail!$D:$D,"SOCIETE NOUVELL",Détail!$A:$A,"&gt;="&amp;DATE(2025,1,1),Détail!$A:$A,"&lt;"&amp;EDATE(DATE(2025,1,1),1))</f>
        <v>0</v>
      </c>
    </row>
    <row r="262" customFormat="false" ht="15" hidden="false" customHeight="true" outlineLevel="0" collapsed="false">
      <c r="A262" s="8" t="s">
        <v>66</v>
      </c>
      <c r="B262" s="31" t="n">
        <f aca="false">SUMIFS(Détail!$E:$E,Détail!$D:$D,"SOCIETE NOUVELL",Détail!$A:$A,"&gt;="&amp;DATE(2025,2,1),Détail!$A:$A,"&lt;"&amp;EDATE(DATE(2025,2,1),1))</f>
        <v>0</v>
      </c>
    </row>
    <row r="263" customFormat="false" ht="15" hidden="false" customHeight="true" outlineLevel="0" collapsed="false">
      <c r="A263" s="8" t="s">
        <v>67</v>
      </c>
      <c r="B263" s="31" t="n">
        <f aca="false">SUMIFS(Détail!$E:$E,Détail!$D:$D,"SOCIETE NOUVELL",Détail!$A:$A,"&gt;="&amp;DATE(2025,3,1),Détail!$A:$A,"&lt;"&amp;EDATE(DATE(2025,3,1),1))</f>
        <v>0</v>
      </c>
    </row>
    <row r="264" customFormat="false" ht="15" hidden="false" customHeight="true" outlineLevel="0" collapsed="false">
      <c r="A264" s="8" t="s">
        <v>68</v>
      </c>
      <c r="B264" s="31" t="n">
        <f aca="false">SUMIFS(Détail!$E:$E,Détail!$D:$D,"SOCIETE NOUVELL",Détail!$A:$A,"&gt;="&amp;DATE(2025,4,1),Détail!$A:$A,"&lt;"&amp;EDATE(DATE(2025,4,1),1))</f>
        <v>0</v>
      </c>
    </row>
    <row r="265" customFormat="false" ht="15" hidden="false" customHeight="true" outlineLevel="0" collapsed="false">
      <c r="A265" s="8" t="s">
        <v>69</v>
      </c>
      <c r="B265" s="31" t="n">
        <f aca="false">SUMIFS(Détail!$E:$E,Détail!$D:$D,"SOCIETE NOUVELL",Détail!$A:$A,"&gt;="&amp;DATE(2025,5,1),Détail!$A:$A,"&lt;"&amp;EDATE(DATE(2025,5,1),1))</f>
        <v>0</v>
      </c>
    </row>
    <row r="266" customFormat="false" ht="15" hidden="false" customHeight="true" outlineLevel="0" collapsed="false">
      <c r="A266" s="8" t="s">
        <v>70</v>
      </c>
      <c r="B266" s="31" t="n">
        <f aca="false">SUMIFS(Détail!$E:$E,Détail!$D:$D,"SOCIETE NOUVELL",Détail!$A:$A,"&gt;="&amp;DATE(2025,6,1),Détail!$A:$A,"&lt;"&amp;EDATE(DATE(2025,6,1),1))</f>
        <v>0</v>
      </c>
    </row>
    <row r="267" customFormat="false" ht="15" hidden="false" customHeight="true" outlineLevel="0" collapsed="false">
      <c r="A267" s="8" t="s">
        <v>71</v>
      </c>
      <c r="B267" s="31" t="n">
        <f aca="false">SUMIFS(Détail!$E:$E,Détail!$D:$D,"SOCIETE NOUVELL",Détail!$A:$A,"&gt;="&amp;DATE(2025,7,1),Détail!$A:$A,"&lt;"&amp;EDATE(DATE(2025,7,1),1))</f>
        <v>0</v>
      </c>
    </row>
    <row r="268" customFormat="false" ht="15" hidden="false" customHeight="true" outlineLevel="0" collapsed="false">
      <c r="A268" s="8" t="s">
        <v>72</v>
      </c>
      <c r="B268" s="31" t="n">
        <f aca="false">SUMIFS(Détail!$E:$E,Détail!$D:$D,"SOCIETE NOUVELL",Détail!$A:$A,"&gt;="&amp;DATE(2025,8,1),Détail!$A:$A,"&lt;"&amp;EDATE(DATE(2025,8,1),1))</f>
        <v>0</v>
      </c>
    </row>
    <row r="269" customFormat="false" ht="15" hidden="false" customHeight="true" outlineLevel="0" collapsed="false">
      <c r="A269" s="8" t="s">
        <v>73</v>
      </c>
      <c r="B269" s="31" t="n">
        <f aca="false">SUMIFS(Détail!$E:$E,Détail!$D:$D,"SOCIETE NOUVELL",Détail!$A:$A,"&gt;="&amp;DATE(2025,9,1),Détail!$A:$A,"&lt;"&amp;EDATE(DATE(2025,9,1),1))</f>
        <v>0</v>
      </c>
    </row>
    <row r="270" customFormat="false" ht="15" hidden="false" customHeight="true" outlineLevel="0" collapsed="false">
      <c r="A270" s="8" t="s">
        <v>74</v>
      </c>
      <c r="B270" s="31" t="n">
        <f aca="false">SUMIFS(Détail!$E:$E,Détail!$D:$D,"SOCIETE NOUVELL",Détail!$A:$A,"&gt;="&amp;DATE(2025,10,1),Détail!$A:$A,"&lt;"&amp;EDATE(DATE(2025,10,1),1))</f>
        <v>-265.9</v>
      </c>
    </row>
    <row r="271" customFormat="false" ht="15" hidden="false" customHeight="true" outlineLevel="0" collapsed="false">
      <c r="A271" s="8" t="s">
        <v>75</v>
      </c>
      <c r="B271" s="31" t="n">
        <f aca="false">SUMIFS(Détail!$E:$E,Détail!$D:$D,"SOCIETE NOUVELL",Détail!$A:$A,"&gt;="&amp;DATE(2025,11,1),Détail!$A:$A,"&lt;"&amp;EDATE(DATE(2025,11,1),1))</f>
        <v>0</v>
      </c>
    </row>
    <row r="272" customFormat="false" ht="15" hidden="false" customHeight="true" outlineLevel="0" collapsed="false">
      <c r="A272" s="8" t="s">
        <v>76</v>
      </c>
      <c r="B272" s="31" t="n">
        <f aca="false">SUMIFS(Détail!$E:$E,Détail!$D:$D,"SOCIETE NOUVELL",Détail!$A:$A,"&gt;="&amp;DATE(2025,12,1),Détail!$A:$A,"&lt;"&amp;EDATE(DATE(2025,12,1),1))</f>
        <v>0</v>
      </c>
    </row>
    <row r="275" customFormat="false" ht="15" hidden="false" customHeight="true" outlineLevel="0" collapsed="false">
      <c r="A275" s="29" t="s">
        <v>176</v>
      </c>
      <c r="B275" s="29"/>
      <c r="C275" s="30" t="n">
        <f aca="false">SUMIF(Détail!$D:$D,"IZI CONFORT",Détail!$E:$E)</f>
        <v>-218.27</v>
      </c>
    </row>
    <row r="276" customFormat="false" ht="15" hidden="false" customHeight="true" outlineLevel="0" collapsed="false">
      <c r="A276" s="24" t="s">
        <v>63</v>
      </c>
      <c r="B276" s="24" t="s">
        <v>64</v>
      </c>
    </row>
    <row r="277" customFormat="false" ht="15" hidden="false" customHeight="true" outlineLevel="0" collapsed="false">
      <c r="A277" s="8" t="s">
        <v>65</v>
      </c>
      <c r="B277" s="31" t="n">
        <f aca="false">SUMIFS(Détail!$E:$E,Détail!$D:$D,"IZI CONFORT",Détail!$A:$A,"&gt;="&amp;DATE(2025,1,1),Détail!$A:$A,"&lt;"&amp;EDATE(DATE(2025,1,1),1))</f>
        <v>0</v>
      </c>
    </row>
    <row r="278" customFormat="false" ht="15" hidden="false" customHeight="true" outlineLevel="0" collapsed="false">
      <c r="A278" s="8" t="s">
        <v>66</v>
      </c>
      <c r="B278" s="31" t="n">
        <f aca="false">SUMIFS(Détail!$E:$E,Détail!$D:$D,"IZI CONFORT",Détail!$A:$A,"&gt;="&amp;DATE(2025,2,1),Détail!$A:$A,"&lt;"&amp;EDATE(DATE(2025,2,1),1))</f>
        <v>0</v>
      </c>
    </row>
    <row r="279" customFormat="false" ht="15" hidden="false" customHeight="true" outlineLevel="0" collapsed="false">
      <c r="A279" s="8" t="s">
        <v>67</v>
      </c>
      <c r="B279" s="31" t="n">
        <f aca="false">SUMIFS(Détail!$E:$E,Détail!$D:$D,"IZI CONFORT",Détail!$A:$A,"&gt;="&amp;DATE(2025,3,1),Détail!$A:$A,"&lt;"&amp;EDATE(DATE(2025,3,1),1))</f>
        <v>0</v>
      </c>
    </row>
    <row r="280" customFormat="false" ht="15" hidden="false" customHeight="true" outlineLevel="0" collapsed="false">
      <c r="A280" s="8" t="s">
        <v>68</v>
      </c>
      <c r="B280" s="31" t="n">
        <f aca="false">SUMIFS(Détail!$E:$E,Détail!$D:$D,"IZI CONFORT",Détail!$A:$A,"&gt;="&amp;DATE(2025,4,1),Détail!$A:$A,"&lt;"&amp;EDATE(DATE(2025,4,1),1))</f>
        <v>0</v>
      </c>
    </row>
    <row r="281" customFormat="false" ht="15" hidden="false" customHeight="true" outlineLevel="0" collapsed="false">
      <c r="A281" s="8" t="s">
        <v>69</v>
      </c>
      <c r="B281" s="31" t="n">
        <f aca="false">SUMIFS(Détail!$E:$E,Détail!$D:$D,"IZI CONFORT",Détail!$A:$A,"&gt;="&amp;DATE(2025,5,1),Détail!$A:$A,"&lt;"&amp;EDATE(DATE(2025,5,1),1))</f>
        <v>-218.27</v>
      </c>
    </row>
    <row r="282" customFormat="false" ht="15" hidden="false" customHeight="true" outlineLevel="0" collapsed="false">
      <c r="A282" s="8" t="s">
        <v>70</v>
      </c>
      <c r="B282" s="31" t="n">
        <f aca="false">SUMIFS(Détail!$E:$E,Détail!$D:$D,"IZI CONFORT",Détail!$A:$A,"&gt;="&amp;DATE(2025,6,1),Détail!$A:$A,"&lt;"&amp;EDATE(DATE(2025,6,1),1))</f>
        <v>0</v>
      </c>
    </row>
    <row r="283" customFormat="false" ht="15" hidden="false" customHeight="true" outlineLevel="0" collapsed="false">
      <c r="A283" s="8" t="s">
        <v>71</v>
      </c>
      <c r="B283" s="31" t="n">
        <f aca="false">SUMIFS(Détail!$E:$E,Détail!$D:$D,"IZI CONFORT",Détail!$A:$A,"&gt;="&amp;DATE(2025,7,1),Détail!$A:$A,"&lt;"&amp;EDATE(DATE(2025,7,1),1))</f>
        <v>0</v>
      </c>
    </row>
    <row r="284" customFormat="false" ht="15" hidden="false" customHeight="true" outlineLevel="0" collapsed="false">
      <c r="A284" s="8" t="s">
        <v>72</v>
      </c>
      <c r="B284" s="31" t="n">
        <f aca="false">SUMIFS(Détail!$E:$E,Détail!$D:$D,"IZI CONFORT",Détail!$A:$A,"&gt;="&amp;DATE(2025,8,1),Détail!$A:$A,"&lt;"&amp;EDATE(DATE(2025,8,1),1))</f>
        <v>0</v>
      </c>
    </row>
    <row r="285" customFormat="false" ht="15" hidden="false" customHeight="true" outlineLevel="0" collapsed="false">
      <c r="A285" s="8" t="s">
        <v>73</v>
      </c>
      <c r="B285" s="31" t="n">
        <f aca="false">SUMIFS(Détail!$E:$E,Détail!$D:$D,"IZI CONFORT",Détail!$A:$A,"&gt;="&amp;DATE(2025,9,1),Détail!$A:$A,"&lt;"&amp;EDATE(DATE(2025,9,1),1))</f>
        <v>0</v>
      </c>
    </row>
    <row r="286" customFormat="false" ht="15" hidden="false" customHeight="true" outlineLevel="0" collapsed="false">
      <c r="A286" s="8" t="s">
        <v>74</v>
      </c>
      <c r="B286" s="31" t="n">
        <f aca="false">SUMIFS(Détail!$E:$E,Détail!$D:$D,"IZI CONFORT",Détail!$A:$A,"&gt;="&amp;DATE(2025,10,1),Détail!$A:$A,"&lt;"&amp;EDATE(DATE(2025,10,1),1))</f>
        <v>0</v>
      </c>
    </row>
    <row r="287" customFormat="false" ht="15" hidden="false" customHeight="true" outlineLevel="0" collapsed="false">
      <c r="A287" s="8" t="s">
        <v>75</v>
      </c>
      <c r="B287" s="31" t="n">
        <f aca="false">SUMIFS(Détail!$E:$E,Détail!$D:$D,"IZI CONFORT",Détail!$A:$A,"&gt;="&amp;DATE(2025,11,1),Détail!$A:$A,"&lt;"&amp;EDATE(DATE(2025,11,1),1))</f>
        <v>0</v>
      </c>
    </row>
    <row r="288" customFormat="false" ht="15" hidden="false" customHeight="true" outlineLevel="0" collapsed="false">
      <c r="A288" s="8" t="s">
        <v>76</v>
      </c>
      <c r="B288" s="31" t="n">
        <f aca="false">SUMIFS(Détail!$E:$E,Détail!$D:$D,"IZI CONFORT",Détail!$A:$A,"&gt;="&amp;DATE(2025,12,1),Détail!$A:$A,"&lt;"&amp;EDATE(DATE(2025,12,1),1))</f>
        <v>0</v>
      </c>
    </row>
    <row r="291" customFormat="false" ht="15" hidden="false" customHeight="true" outlineLevel="0" collapsed="false">
      <c r="A291" s="29" t="s">
        <v>177</v>
      </c>
      <c r="B291" s="29"/>
      <c r="C291" s="30" t="n">
        <f aca="false">SUMIF(Détail!$D:$D,"BRUNEAU",Détail!$E:$E)</f>
        <v>-140.96</v>
      </c>
    </row>
    <row r="292" customFormat="false" ht="15" hidden="false" customHeight="true" outlineLevel="0" collapsed="false">
      <c r="A292" s="24" t="s">
        <v>63</v>
      </c>
      <c r="B292" s="24" t="s">
        <v>64</v>
      </c>
    </row>
    <row r="293" customFormat="false" ht="15" hidden="false" customHeight="true" outlineLevel="0" collapsed="false">
      <c r="A293" s="8" t="s">
        <v>65</v>
      </c>
      <c r="B293" s="31" t="n">
        <f aca="false">SUMIFS(Détail!$E:$E,Détail!$D:$D,"BRUNEAU",Détail!$A:$A,"&gt;="&amp;DATE(2025,1,1),Détail!$A:$A,"&lt;"&amp;EDATE(DATE(2025,1,1),1))</f>
        <v>-140.96</v>
      </c>
    </row>
    <row r="294" customFormat="false" ht="15" hidden="false" customHeight="true" outlineLevel="0" collapsed="false">
      <c r="A294" s="8" t="s">
        <v>66</v>
      </c>
      <c r="B294" s="31" t="n">
        <f aca="false">SUMIFS(Détail!$E:$E,Détail!$D:$D,"BRUNEAU",Détail!$A:$A,"&gt;="&amp;DATE(2025,2,1),Détail!$A:$A,"&lt;"&amp;EDATE(DATE(2025,2,1),1))</f>
        <v>0</v>
      </c>
    </row>
    <row r="295" customFormat="false" ht="15" hidden="false" customHeight="true" outlineLevel="0" collapsed="false">
      <c r="A295" s="8" t="s">
        <v>67</v>
      </c>
      <c r="B295" s="31" t="n">
        <f aca="false">SUMIFS(Détail!$E:$E,Détail!$D:$D,"BRUNEAU",Détail!$A:$A,"&gt;="&amp;DATE(2025,3,1),Détail!$A:$A,"&lt;"&amp;EDATE(DATE(2025,3,1),1))</f>
        <v>0</v>
      </c>
    </row>
    <row r="296" customFormat="false" ht="15" hidden="false" customHeight="true" outlineLevel="0" collapsed="false">
      <c r="A296" s="8" t="s">
        <v>68</v>
      </c>
      <c r="B296" s="31" t="n">
        <f aca="false">SUMIFS(Détail!$E:$E,Détail!$D:$D,"BRUNEAU",Détail!$A:$A,"&gt;="&amp;DATE(2025,4,1),Détail!$A:$A,"&lt;"&amp;EDATE(DATE(2025,4,1),1))</f>
        <v>0</v>
      </c>
    </row>
    <row r="297" customFormat="false" ht="15" hidden="false" customHeight="true" outlineLevel="0" collapsed="false">
      <c r="A297" s="8" t="s">
        <v>69</v>
      </c>
      <c r="B297" s="31" t="n">
        <f aca="false">SUMIFS(Détail!$E:$E,Détail!$D:$D,"BRUNEAU",Détail!$A:$A,"&gt;="&amp;DATE(2025,5,1),Détail!$A:$A,"&lt;"&amp;EDATE(DATE(2025,5,1),1))</f>
        <v>0</v>
      </c>
    </row>
    <row r="298" customFormat="false" ht="15" hidden="false" customHeight="true" outlineLevel="0" collapsed="false">
      <c r="A298" s="8" t="s">
        <v>70</v>
      </c>
      <c r="B298" s="31" t="n">
        <f aca="false">SUMIFS(Détail!$E:$E,Détail!$D:$D,"BRUNEAU",Détail!$A:$A,"&gt;="&amp;DATE(2025,6,1),Détail!$A:$A,"&lt;"&amp;EDATE(DATE(2025,6,1),1))</f>
        <v>0</v>
      </c>
    </row>
    <row r="299" customFormat="false" ht="15" hidden="false" customHeight="true" outlineLevel="0" collapsed="false">
      <c r="A299" s="8" t="s">
        <v>71</v>
      </c>
      <c r="B299" s="31" t="n">
        <f aca="false">SUMIFS(Détail!$E:$E,Détail!$D:$D,"BRUNEAU",Détail!$A:$A,"&gt;="&amp;DATE(2025,7,1),Détail!$A:$A,"&lt;"&amp;EDATE(DATE(2025,7,1),1))</f>
        <v>0</v>
      </c>
    </row>
    <row r="300" customFormat="false" ht="15" hidden="false" customHeight="true" outlineLevel="0" collapsed="false">
      <c r="A300" s="8" t="s">
        <v>72</v>
      </c>
      <c r="B300" s="31" t="n">
        <f aca="false">SUMIFS(Détail!$E:$E,Détail!$D:$D,"BRUNEAU",Détail!$A:$A,"&gt;="&amp;DATE(2025,8,1),Détail!$A:$A,"&lt;"&amp;EDATE(DATE(2025,8,1),1))</f>
        <v>0</v>
      </c>
    </row>
    <row r="301" customFormat="false" ht="15" hidden="false" customHeight="true" outlineLevel="0" collapsed="false">
      <c r="A301" s="8" t="s">
        <v>73</v>
      </c>
      <c r="B301" s="31" t="n">
        <f aca="false">SUMIFS(Détail!$E:$E,Détail!$D:$D,"BRUNEAU",Détail!$A:$A,"&gt;="&amp;DATE(2025,9,1),Détail!$A:$A,"&lt;"&amp;EDATE(DATE(2025,9,1),1))</f>
        <v>0</v>
      </c>
    </row>
    <row r="302" customFormat="false" ht="15" hidden="false" customHeight="true" outlineLevel="0" collapsed="false">
      <c r="A302" s="8" t="s">
        <v>74</v>
      </c>
      <c r="B302" s="31" t="n">
        <f aca="false">SUMIFS(Détail!$E:$E,Détail!$D:$D,"BRUNEAU",Détail!$A:$A,"&gt;="&amp;DATE(2025,10,1),Détail!$A:$A,"&lt;"&amp;EDATE(DATE(2025,10,1),1))</f>
        <v>0</v>
      </c>
    </row>
    <row r="303" customFormat="false" ht="15" hidden="false" customHeight="true" outlineLevel="0" collapsed="false">
      <c r="A303" s="8" t="s">
        <v>75</v>
      </c>
      <c r="B303" s="31" t="n">
        <f aca="false">SUMIFS(Détail!$E:$E,Détail!$D:$D,"BRUNEAU",Détail!$A:$A,"&gt;="&amp;DATE(2025,11,1),Détail!$A:$A,"&lt;"&amp;EDATE(DATE(2025,11,1),1))</f>
        <v>0</v>
      </c>
    </row>
    <row r="304" customFormat="false" ht="15" hidden="false" customHeight="true" outlineLevel="0" collapsed="false">
      <c r="A304" s="8" t="s">
        <v>76</v>
      </c>
      <c r="B304" s="31" t="n">
        <f aca="false">SUMIFS(Détail!$E:$E,Détail!$D:$D,"BRUNEAU",Détail!$A:$A,"&gt;="&amp;DATE(2025,12,1),Détail!$A:$A,"&lt;"&amp;EDATE(DATE(2025,12,1),1))</f>
        <v>0</v>
      </c>
    </row>
    <row r="307" customFormat="false" ht="15" hidden="false" customHeight="true" outlineLevel="0" collapsed="false">
      <c r="A307" s="29" t="s">
        <v>178</v>
      </c>
      <c r="B307" s="29"/>
      <c r="C307" s="30" t="n">
        <f aca="false">SUMIF(Détail!$D:$D,"SERVIZIO",Détail!$E:$E)</f>
        <v>-128</v>
      </c>
    </row>
    <row r="308" customFormat="false" ht="15" hidden="false" customHeight="true" outlineLevel="0" collapsed="false">
      <c r="A308" s="24" t="s">
        <v>63</v>
      </c>
      <c r="B308" s="24" t="s">
        <v>64</v>
      </c>
    </row>
    <row r="309" customFormat="false" ht="15" hidden="false" customHeight="true" outlineLevel="0" collapsed="false">
      <c r="A309" s="8" t="s">
        <v>65</v>
      </c>
      <c r="B309" s="31" t="n">
        <f aca="false">SUMIFS(Détail!$E:$E,Détail!$D:$D,"SERVIZIO",Détail!$A:$A,"&gt;="&amp;DATE(2025,1,1),Détail!$A:$A,"&lt;"&amp;EDATE(DATE(2025,1,1),1))</f>
        <v>0</v>
      </c>
    </row>
    <row r="310" customFormat="false" ht="15" hidden="false" customHeight="true" outlineLevel="0" collapsed="false">
      <c r="A310" s="8" t="s">
        <v>66</v>
      </c>
      <c r="B310" s="31" t="n">
        <f aca="false">SUMIFS(Détail!$E:$E,Détail!$D:$D,"SERVIZIO",Détail!$A:$A,"&gt;="&amp;DATE(2025,2,1),Détail!$A:$A,"&lt;"&amp;EDATE(DATE(2025,2,1),1))</f>
        <v>-128</v>
      </c>
    </row>
    <row r="311" customFormat="false" ht="15" hidden="false" customHeight="true" outlineLevel="0" collapsed="false">
      <c r="A311" s="8" t="s">
        <v>67</v>
      </c>
      <c r="B311" s="31" t="n">
        <f aca="false">SUMIFS(Détail!$E:$E,Détail!$D:$D,"SERVIZIO",Détail!$A:$A,"&gt;="&amp;DATE(2025,3,1),Détail!$A:$A,"&lt;"&amp;EDATE(DATE(2025,3,1),1))</f>
        <v>0</v>
      </c>
    </row>
    <row r="312" customFormat="false" ht="15" hidden="false" customHeight="true" outlineLevel="0" collapsed="false">
      <c r="A312" s="8" t="s">
        <v>68</v>
      </c>
      <c r="B312" s="31" t="n">
        <f aca="false">SUMIFS(Détail!$E:$E,Détail!$D:$D,"SERVIZIO",Détail!$A:$A,"&gt;="&amp;DATE(2025,4,1),Détail!$A:$A,"&lt;"&amp;EDATE(DATE(2025,4,1),1))</f>
        <v>0</v>
      </c>
    </row>
    <row r="313" customFormat="false" ht="15" hidden="false" customHeight="true" outlineLevel="0" collapsed="false">
      <c r="A313" s="8" t="s">
        <v>69</v>
      </c>
      <c r="B313" s="31" t="n">
        <f aca="false">SUMIFS(Détail!$E:$E,Détail!$D:$D,"SERVIZIO",Détail!$A:$A,"&gt;="&amp;DATE(2025,5,1),Détail!$A:$A,"&lt;"&amp;EDATE(DATE(2025,5,1),1))</f>
        <v>0</v>
      </c>
    </row>
    <row r="314" customFormat="false" ht="15" hidden="false" customHeight="true" outlineLevel="0" collapsed="false">
      <c r="A314" s="8" t="s">
        <v>70</v>
      </c>
      <c r="B314" s="31" t="n">
        <f aca="false">SUMIFS(Détail!$E:$E,Détail!$D:$D,"SERVIZIO",Détail!$A:$A,"&gt;="&amp;DATE(2025,6,1),Détail!$A:$A,"&lt;"&amp;EDATE(DATE(2025,6,1),1))</f>
        <v>0</v>
      </c>
    </row>
    <row r="315" customFormat="false" ht="15" hidden="false" customHeight="true" outlineLevel="0" collapsed="false">
      <c r="A315" s="8" t="s">
        <v>71</v>
      </c>
      <c r="B315" s="31" t="n">
        <f aca="false">SUMIFS(Détail!$E:$E,Détail!$D:$D,"SERVIZIO",Détail!$A:$A,"&gt;="&amp;DATE(2025,7,1),Détail!$A:$A,"&lt;"&amp;EDATE(DATE(2025,7,1),1))</f>
        <v>0</v>
      </c>
    </row>
    <row r="316" customFormat="false" ht="15" hidden="false" customHeight="true" outlineLevel="0" collapsed="false">
      <c r="A316" s="8" t="s">
        <v>72</v>
      </c>
      <c r="B316" s="31" t="n">
        <f aca="false">SUMIFS(Détail!$E:$E,Détail!$D:$D,"SERVIZIO",Détail!$A:$A,"&gt;="&amp;DATE(2025,8,1),Détail!$A:$A,"&lt;"&amp;EDATE(DATE(2025,8,1),1))</f>
        <v>0</v>
      </c>
    </row>
    <row r="317" customFormat="false" ht="15" hidden="false" customHeight="true" outlineLevel="0" collapsed="false">
      <c r="A317" s="8" t="s">
        <v>73</v>
      </c>
      <c r="B317" s="31" t="n">
        <f aca="false">SUMIFS(Détail!$E:$E,Détail!$D:$D,"SERVIZIO",Détail!$A:$A,"&gt;="&amp;DATE(2025,9,1),Détail!$A:$A,"&lt;"&amp;EDATE(DATE(2025,9,1),1))</f>
        <v>0</v>
      </c>
    </row>
    <row r="318" customFormat="false" ht="15" hidden="false" customHeight="true" outlineLevel="0" collapsed="false">
      <c r="A318" s="8" t="s">
        <v>74</v>
      </c>
      <c r="B318" s="31" t="n">
        <f aca="false">SUMIFS(Détail!$E:$E,Détail!$D:$D,"SERVIZIO",Détail!$A:$A,"&gt;="&amp;DATE(2025,10,1),Détail!$A:$A,"&lt;"&amp;EDATE(DATE(2025,10,1),1))</f>
        <v>0</v>
      </c>
    </row>
    <row r="319" customFormat="false" ht="15" hidden="false" customHeight="true" outlineLevel="0" collapsed="false">
      <c r="A319" s="8" t="s">
        <v>75</v>
      </c>
      <c r="B319" s="31" t="n">
        <f aca="false">SUMIFS(Détail!$E:$E,Détail!$D:$D,"SERVIZIO",Détail!$A:$A,"&gt;="&amp;DATE(2025,11,1),Détail!$A:$A,"&lt;"&amp;EDATE(DATE(2025,11,1),1))</f>
        <v>0</v>
      </c>
    </row>
    <row r="320" customFormat="false" ht="15" hidden="false" customHeight="true" outlineLevel="0" collapsed="false">
      <c r="A320" s="8" t="s">
        <v>76</v>
      </c>
      <c r="B320" s="31" t="n">
        <f aca="false">SUMIFS(Détail!$E:$E,Détail!$D:$D,"SERVIZIO",Détail!$A:$A,"&gt;="&amp;DATE(2025,12,1),Détail!$A:$A,"&lt;"&amp;EDATE(DATE(2025,12,1),1))</f>
        <v>0</v>
      </c>
    </row>
    <row r="323" customFormat="false" ht="15" hidden="false" customHeight="true" outlineLevel="0" collapsed="false">
      <c r="A323" s="29" t="s">
        <v>179</v>
      </c>
      <c r="B323" s="29"/>
      <c r="C323" s="30" t="n">
        <f aca="false">SUMIF(Détail!$D:$D,"FADE AND SHAVE",Détail!$E:$E)</f>
        <v>-124.42</v>
      </c>
    </row>
    <row r="324" customFormat="false" ht="15" hidden="false" customHeight="true" outlineLevel="0" collapsed="false">
      <c r="A324" s="24" t="s">
        <v>63</v>
      </c>
      <c r="B324" s="24" t="s">
        <v>64</v>
      </c>
    </row>
    <row r="325" customFormat="false" ht="15" hidden="false" customHeight="true" outlineLevel="0" collapsed="false">
      <c r="A325" s="8" t="s">
        <v>65</v>
      </c>
      <c r="B325" s="31" t="n">
        <f aca="false">SUMIFS(Détail!$E:$E,Détail!$D:$D,"FADE AND SHAVE",Détail!$A:$A,"&gt;="&amp;DATE(2025,1,1),Détail!$A:$A,"&lt;"&amp;EDATE(DATE(2025,1,1),1))</f>
        <v>0</v>
      </c>
    </row>
    <row r="326" customFormat="false" ht="15" hidden="false" customHeight="true" outlineLevel="0" collapsed="false">
      <c r="A326" s="8" t="s">
        <v>66</v>
      </c>
      <c r="B326" s="31" t="n">
        <f aca="false">SUMIFS(Détail!$E:$E,Détail!$D:$D,"FADE AND SHAVE",Détail!$A:$A,"&gt;="&amp;DATE(2025,2,1),Détail!$A:$A,"&lt;"&amp;EDATE(DATE(2025,2,1),1))</f>
        <v>0</v>
      </c>
    </row>
    <row r="327" customFormat="false" ht="15" hidden="false" customHeight="true" outlineLevel="0" collapsed="false">
      <c r="A327" s="8" t="s">
        <v>67</v>
      </c>
      <c r="B327" s="31" t="n">
        <f aca="false">SUMIFS(Détail!$E:$E,Détail!$D:$D,"FADE AND SHAVE",Détail!$A:$A,"&gt;="&amp;DATE(2025,3,1),Détail!$A:$A,"&lt;"&amp;EDATE(DATE(2025,3,1),1))</f>
        <v>0</v>
      </c>
    </row>
    <row r="328" customFormat="false" ht="15" hidden="false" customHeight="true" outlineLevel="0" collapsed="false">
      <c r="A328" s="8" t="s">
        <v>68</v>
      </c>
      <c r="B328" s="31" t="n">
        <f aca="false">SUMIFS(Détail!$E:$E,Détail!$D:$D,"FADE AND SHAVE",Détail!$A:$A,"&gt;="&amp;DATE(2025,4,1),Détail!$A:$A,"&lt;"&amp;EDATE(DATE(2025,4,1),1))</f>
        <v>0</v>
      </c>
    </row>
    <row r="329" customFormat="false" ht="15" hidden="false" customHeight="true" outlineLevel="0" collapsed="false">
      <c r="A329" s="8" t="s">
        <v>69</v>
      </c>
      <c r="B329" s="31" t="n">
        <f aca="false">SUMIFS(Détail!$E:$E,Détail!$D:$D,"FADE AND SHAVE",Détail!$A:$A,"&gt;="&amp;DATE(2025,5,1),Détail!$A:$A,"&lt;"&amp;EDATE(DATE(2025,5,1),1))</f>
        <v>0</v>
      </c>
    </row>
    <row r="330" customFormat="false" ht="15" hidden="false" customHeight="true" outlineLevel="0" collapsed="false">
      <c r="A330" s="8" t="s">
        <v>70</v>
      </c>
      <c r="B330" s="31" t="n">
        <f aca="false">SUMIFS(Détail!$E:$E,Détail!$D:$D,"FADE AND SHAVE",Détail!$A:$A,"&gt;="&amp;DATE(2025,6,1),Détail!$A:$A,"&lt;"&amp;EDATE(DATE(2025,6,1),1))</f>
        <v>0</v>
      </c>
    </row>
    <row r="331" customFormat="false" ht="15" hidden="false" customHeight="true" outlineLevel="0" collapsed="false">
      <c r="A331" s="8" t="s">
        <v>71</v>
      </c>
      <c r="B331" s="31" t="n">
        <f aca="false">SUMIFS(Détail!$E:$E,Détail!$D:$D,"FADE AND SHAVE",Détail!$A:$A,"&gt;="&amp;DATE(2025,7,1),Détail!$A:$A,"&lt;"&amp;EDATE(DATE(2025,7,1),1))</f>
        <v>0</v>
      </c>
    </row>
    <row r="332" customFormat="false" ht="15" hidden="false" customHeight="true" outlineLevel="0" collapsed="false">
      <c r="A332" s="8" t="s">
        <v>72</v>
      </c>
      <c r="B332" s="31" t="n">
        <f aca="false">SUMIFS(Détail!$E:$E,Détail!$D:$D,"FADE AND SHAVE",Détail!$A:$A,"&gt;="&amp;DATE(2025,8,1),Détail!$A:$A,"&lt;"&amp;EDATE(DATE(2025,8,1),1))</f>
        <v>0</v>
      </c>
    </row>
    <row r="333" customFormat="false" ht="15" hidden="false" customHeight="true" outlineLevel="0" collapsed="false">
      <c r="A333" s="8" t="s">
        <v>73</v>
      </c>
      <c r="B333" s="31" t="n">
        <f aca="false">SUMIFS(Détail!$E:$E,Détail!$D:$D,"FADE AND SHAVE",Détail!$A:$A,"&gt;="&amp;DATE(2025,9,1),Détail!$A:$A,"&lt;"&amp;EDATE(DATE(2025,9,1),1))</f>
        <v>0</v>
      </c>
    </row>
    <row r="334" customFormat="false" ht="15" hidden="false" customHeight="true" outlineLevel="0" collapsed="false">
      <c r="A334" s="8" t="s">
        <v>74</v>
      </c>
      <c r="B334" s="31" t="n">
        <f aca="false">SUMIFS(Détail!$E:$E,Détail!$D:$D,"FADE AND SHAVE",Détail!$A:$A,"&gt;="&amp;DATE(2025,10,1),Détail!$A:$A,"&lt;"&amp;EDATE(DATE(2025,10,1),1))</f>
        <v>-124.42</v>
      </c>
    </row>
    <row r="335" customFormat="false" ht="15" hidden="false" customHeight="true" outlineLevel="0" collapsed="false">
      <c r="A335" s="8" t="s">
        <v>75</v>
      </c>
      <c r="B335" s="31" t="n">
        <f aca="false">SUMIFS(Détail!$E:$E,Détail!$D:$D,"FADE AND SHAVE",Détail!$A:$A,"&gt;="&amp;DATE(2025,11,1),Détail!$A:$A,"&lt;"&amp;EDATE(DATE(2025,11,1),1))</f>
        <v>0</v>
      </c>
    </row>
    <row r="336" customFormat="false" ht="15" hidden="false" customHeight="true" outlineLevel="0" collapsed="false">
      <c r="A336" s="8" t="s">
        <v>76</v>
      </c>
      <c r="B336" s="31" t="n">
        <f aca="false">SUMIFS(Détail!$E:$E,Détail!$D:$D,"FADE AND SHAVE",Détail!$A:$A,"&gt;="&amp;DATE(2025,12,1),Détail!$A:$A,"&lt;"&amp;EDATE(DATE(2025,12,1),1))</f>
        <v>0</v>
      </c>
    </row>
    <row r="339" customFormat="false" ht="15" hidden="false" customHeight="true" outlineLevel="0" collapsed="false">
      <c r="A339" s="29" t="s">
        <v>180</v>
      </c>
      <c r="B339" s="29"/>
      <c r="C339" s="30" t="n">
        <f aca="false">SUMIF(Détail!$D:$D,"SOGESCO SAS",Détail!$E:$E)</f>
        <v>-116</v>
      </c>
    </row>
    <row r="340" customFormat="false" ht="15" hidden="false" customHeight="true" outlineLevel="0" collapsed="false">
      <c r="A340" s="24" t="s">
        <v>63</v>
      </c>
      <c r="B340" s="24" t="s">
        <v>64</v>
      </c>
    </row>
    <row r="341" customFormat="false" ht="15" hidden="false" customHeight="true" outlineLevel="0" collapsed="false">
      <c r="A341" s="8" t="s">
        <v>65</v>
      </c>
      <c r="B341" s="31" t="n">
        <f aca="false">SUMIFS(Détail!$E:$E,Détail!$D:$D,"SOGESCO SAS",Détail!$A:$A,"&gt;="&amp;DATE(2025,1,1),Détail!$A:$A,"&lt;"&amp;EDATE(DATE(2025,1,1),1))</f>
        <v>0</v>
      </c>
    </row>
    <row r="342" customFormat="false" ht="15" hidden="false" customHeight="true" outlineLevel="0" collapsed="false">
      <c r="A342" s="8" t="s">
        <v>66</v>
      </c>
      <c r="B342" s="31" t="n">
        <f aca="false">SUMIFS(Détail!$E:$E,Détail!$D:$D,"SOGESCO SAS",Détail!$A:$A,"&gt;="&amp;DATE(2025,2,1),Détail!$A:$A,"&lt;"&amp;EDATE(DATE(2025,2,1),1))</f>
        <v>0</v>
      </c>
    </row>
    <row r="343" customFormat="false" ht="15" hidden="false" customHeight="true" outlineLevel="0" collapsed="false">
      <c r="A343" s="8" t="s">
        <v>67</v>
      </c>
      <c r="B343" s="31" t="n">
        <f aca="false">SUMIFS(Détail!$E:$E,Détail!$D:$D,"SOGESCO SAS",Détail!$A:$A,"&gt;="&amp;DATE(2025,3,1),Détail!$A:$A,"&lt;"&amp;EDATE(DATE(2025,3,1),1))</f>
        <v>-116</v>
      </c>
    </row>
    <row r="344" customFormat="false" ht="15" hidden="false" customHeight="true" outlineLevel="0" collapsed="false">
      <c r="A344" s="8" t="s">
        <v>68</v>
      </c>
      <c r="B344" s="31" t="n">
        <f aca="false">SUMIFS(Détail!$E:$E,Détail!$D:$D,"SOGESCO SAS",Détail!$A:$A,"&gt;="&amp;DATE(2025,4,1),Détail!$A:$A,"&lt;"&amp;EDATE(DATE(2025,4,1),1))</f>
        <v>0</v>
      </c>
    </row>
    <row r="345" customFormat="false" ht="15" hidden="false" customHeight="true" outlineLevel="0" collapsed="false">
      <c r="A345" s="8" t="s">
        <v>69</v>
      </c>
      <c r="B345" s="31" t="n">
        <f aca="false">SUMIFS(Détail!$E:$E,Détail!$D:$D,"SOGESCO SAS",Détail!$A:$A,"&gt;="&amp;DATE(2025,5,1),Détail!$A:$A,"&lt;"&amp;EDATE(DATE(2025,5,1),1))</f>
        <v>0</v>
      </c>
    </row>
    <row r="346" customFormat="false" ht="15" hidden="false" customHeight="true" outlineLevel="0" collapsed="false">
      <c r="A346" s="8" t="s">
        <v>70</v>
      </c>
      <c r="B346" s="31" t="n">
        <f aca="false">SUMIFS(Détail!$E:$E,Détail!$D:$D,"SOGESCO SAS",Détail!$A:$A,"&gt;="&amp;DATE(2025,6,1),Détail!$A:$A,"&lt;"&amp;EDATE(DATE(2025,6,1),1))</f>
        <v>0</v>
      </c>
    </row>
    <row r="347" customFormat="false" ht="15" hidden="false" customHeight="true" outlineLevel="0" collapsed="false">
      <c r="A347" s="8" t="s">
        <v>71</v>
      </c>
      <c r="B347" s="31" t="n">
        <f aca="false">SUMIFS(Détail!$E:$E,Détail!$D:$D,"SOGESCO SAS",Détail!$A:$A,"&gt;="&amp;DATE(2025,7,1),Détail!$A:$A,"&lt;"&amp;EDATE(DATE(2025,7,1),1))</f>
        <v>0</v>
      </c>
    </row>
    <row r="348" customFormat="false" ht="15" hidden="false" customHeight="true" outlineLevel="0" collapsed="false">
      <c r="A348" s="8" t="s">
        <v>72</v>
      </c>
      <c r="B348" s="31" t="n">
        <f aca="false">SUMIFS(Détail!$E:$E,Détail!$D:$D,"SOGESCO SAS",Détail!$A:$A,"&gt;="&amp;DATE(2025,8,1),Détail!$A:$A,"&lt;"&amp;EDATE(DATE(2025,8,1),1))</f>
        <v>0</v>
      </c>
    </row>
    <row r="349" customFormat="false" ht="15" hidden="false" customHeight="true" outlineLevel="0" collapsed="false">
      <c r="A349" s="8" t="s">
        <v>73</v>
      </c>
      <c r="B349" s="31" t="n">
        <f aca="false">SUMIFS(Détail!$E:$E,Détail!$D:$D,"SOGESCO SAS",Détail!$A:$A,"&gt;="&amp;DATE(2025,9,1),Détail!$A:$A,"&lt;"&amp;EDATE(DATE(2025,9,1),1))</f>
        <v>0</v>
      </c>
    </row>
    <row r="350" customFormat="false" ht="15" hidden="false" customHeight="true" outlineLevel="0" collapsed="false">
      <c r="A350" s="8" t="s">
        <v>74</v>
      </c>
      <c r="B350" s="31" t="n">
        <f aca="false">SUMIFS(Détail!$E:$E,Détail!$D:$D,"SOGESCO SAS",Détail!$A:$A,"&gt;="&amp;DATE(2025,10,1),Détail!$A:$A,"&lt;"&amp;EDATE(DATE(2025,10,1),1))</f>
        <v>0</v>
      </c>
    </row>
    <row r="351" customFormat="false" ht="15" hidden="false" customHeight="true" outlineLevel="0" collapsed="false">
      <c r="A351" s="8" t="s">
        <v>75</v>
      </c>
      <c r="B351" s="31" t="n">
        <f aca="false">SUMIFS(Détail!$E:$E,Détail!$D:$D,"SOGESCO SAS",Détail!$A:$A,"&gt;="&amp;DATE(2025,11,1),Détail!$A:$A,"&lt;"&amp;EDATE(DATE(2025,11,1),1))</f>
        <v>0</v>
      </c>
    </row>
    <row r="352" customFormat="false" ht="15" hidden="false" customHeight="true" outlineLevel="0" collapsed="false">
      <c r="A352" s="8" t="s">
        <v>76</v>
      </c>
      <c r="B352" s="31" t="n">
        <f aca="false">SUMIFS(Détail!$E:$E,Détail!$D:$D,"SOGESCO SAS",Détail!$A:$A,"&gt;="&amp;DATE(2025,12,1),Détail!$A:$A,"&lt;"&amp;EDATE(DATE(2025,12,1),1))</f>
        <v>0</v>
      </c>
    </row>
    <row r="355" customFormat="false" ht="15" hidden="false" customHeight="true" outlineLevel="0" collapsed="false">
      <c r="A355" s="29" t="s">
        <v>181</v>
      </c>
      <c r="B355" s="29"/>
      <c r="C355" s="30" t="n">
        <f aca="false">SUMIF(Détail!$D:$D,"MOHELLEBI SAMY",Détail!$E:$E)</f>
        <v>-108.5</v>
      </c>
    </row>
    <row r="356" customFormat="false" ht="15" hidden="false" customHeight="true" outlineLevel="0" collapsed="false">
      <c r="A356" s="24" t="s">
        <v>63</v>
      </c>
      <c r="B356" s="24" t="s">
        <v>64</v>
      </c>
    </row>
    <row r="357" customFormat="false" ht="15" hidden="false" customHeight="true" outlineLevel="0" collapsed="false">
      <c r="A357" s="8" t="s">
        <v>65</v>
      </c>
      <c r="B357" s="31" t="n">
        <f aca="false">SUMIFS(Détail!$E:$E,Détail!$D:$D,"MOHELLEBI SAMY",Détail!$A:$A,"&gt;="&amp;DATE(2025,1,1),Détail!$A:$A,"&lt;"&amp;EDATE(DATE(2025,1,1),1))</f>
        <v>0</v>
      </c>
    </row>
    <row r="358" customFormat="false" ht="15" hidden="false" customHeight="true" outlineLevel="0" collapsed="false">
      <c r="A358" s="8" t="s">
        <v>66</v>
      </c>
      <c r="B358" s="31" t="n">
        <f aca="false">SUMIFS(Détail!$E:$E,Détail!$D:$D,"MOHELLEBI SAMY",Détail!$A:$A,"&gt;="&amp;DATE(2025,2,1),Détail!$A:$A,"&lt;"&amp;EDATE(DATE(2025,2,1),1))</f>
        <v>0</v>
      </c>
    </row>
    <row r="359" customFormat="false" ht="15" hidden="false" customHeight="true" outlineLevel="0" collapsed="false">
      <c r="A359" s="8" t="s">
        <v>67</v>
      </c>
      <c r="B359" s="31" t="n">
        <f aca="false">SUMIFS(Détail!$E:$E,Détail!$D:$D,"MOHELLEBI SAMY",Détail!$A:$A,"&gt;="&amp;DATE(2025,3,1),Détail!$A:$A,"&lt;"&amp;EDATE(DATE(2025,3,1),1))</f>
        <v>0</v>
      </c>
    </row>
    <row r="360" customFormat="false" ht="15" hidden="false" customHeight="true" outlineLevel="0" collapsed="false">
      <c r="A360" s="8" t="s">
        <v>68</v>
      </c>
      <c r="B360" s="31" t="n">
        <f aca="false">SUMIFS(Détail!$E:$E,Détail!$D:$D,"MOHELLEBI SAMY",Détail!$A:$A,"&gt;="&amp;DATE(2025,4,1),Détail!$A:$A,"&lt;"&amp;EDATE(DATE(2025,4,1),1))</f>
        <v>0</v>
      </c>
    </row>
    <row r="361" customFormat="false" ht="15" hidden="false" customHeight="true" outlineLevel="0" collapsed="false">
      <c r="A361" s="8" t="s">
        <v>69</v>
      </c>
      <c r="B361" s="31" t="n">
        <f aca="false">SUMIFS(Détail!$E:$E,Détail!$D:$D,"MOHELLEBI SAMY",Détail!$A:$A,"&gt;="&amp;DATE(2025,5,1),Détail!$A:$A,"&lt;"&amp;EDATE(DATE(2025,5,1),1))</f>
        <v>0</v>
      </c>
    </row>
    <row r="362" customFormat="false" ht="15" hidden="false" customHeight="true" outlineLevel="0" collapsed="false">
      <c r="A362" s="8" t="s">
        <v>70</v>
      </c>
      <c r="B362" s="31" t="n">
        <f aca="false">SUMIFS(Détail!$E:$E,Détail!$D:$D,"MOHELLEBI SAMY",Détail!$A:$A,"&gt;="&amp;DATE(2025,6,1),Détail!$A:$A,"&lt;"&amp;EDATE(DATE(2025,6,1),1))</f>
        <v>0</v>
      </c>
    </row>
    <row r="363" customFormat="false" ht="15" hidden="false" customHeight="true" outlineLevel="0" collapsed="false">
      <c r="A363" s="8" t="s">
        <v>71</v>
      </c>
      <c r="B363" s="31" t="n">
        <f aca="false">SUMIFS(Détail!$E:$E,Détail!$D:$D,"MOHELLEBI SAMY",Détail!$A:$A,"&gt;="&amp;DATE(2025,7,1),Détail!$A:$A,"&lt;"&amp;EDATE(DATE(2025,7,1),1))</f>
        <v>0</v>
      </c>
    </row>
    <row r="364" customFormat="false" ht="15" hidden="false" customHeight="true" outlineLevel="0" collapsed="false">
      <c r="A364" s="8" t="s">
        <v>72</v>
      </c>
      <c r="B364" s="31" t="n">
        <f aca="false">SUMIFS(Détail!$E:$E,Détail!$D:$D,"MOHELLEBI SAMY",Détail!$A:$A,"&gt;="&amp;DATE(2025,8,1),Détail!$A:$A,"&lt;"&amp;EDATE(DATE(2025,8,1),1))</f>
        <v>0</v>
      </c>
    </row>
    <row r="365" customFormat="false" ht="15" hidden="false" customHeight="true" outlineLevel="0" collapsed="false">
      <c r="A365" s="8" t="s">
        <v>73</v>
      </c>
      <c r="B365" s="31" t="n">
        <f aca="false">SUMIFS(Détail!$E:$E,Détail!$D:$D,"MOHELLEBI SAMY",Détail!$A:$A,"&gt;="&amp;DATE(2025,9,1),Détail!$A:$A,"&lt;"&amp;EDATE(DATE(2025,9,1),1))</f>
        <v>0</v>
      </c>
    </row>
    <row r="366" customFormat="false" ht="15" hidden="false" customHeight="true" outlineLevel="0" collapsed="false">
      <c r="A366" s="8" t="s">
        <v>74</v>
      </c>
      <c r="B366" s="31" t="n">
        <f aca="false">SUMIFS(Détail!$E:$E,Détail!$D:$D,"MOHELLEBI SAMY",Détail!$A:$A,"&gt;="&amp;DATE(2025,10,1),Détail!$A:$A,"&lt;"&amp;EDATE(DATE(2025,10,1),1))</f>
        <v>0</v>
      </c>
    </row>
    <row r="367" customFormat="false" ht="15" hidden="false" customHeight="true" outlineLevel="0" collapsed="false">
      <c r="A367" s="8" t="s">
        <v>75</v>
      </c>
      <c r="B367" s="31" t="n">
        <f aca="false">SUMIFS(Détail!$E:$E,Détail!$D:$D,"MOHELLEBI SAMY",Détail!$A:$A,"&gt;="&amp;DATE(2025,11,1),Détail!$A:$A,"&lt;"&amp;EDATE(DATE(2025,11,1),1))</f>
        <v>-108.5</v>
      </c>
    </row>
    <row r="368" customFormat="false" ht="15" hidden="false" customHeight="true" outlineLevel="0" collapsed="false">
      <c r="A368" s="8" t="s">
        <v>76</v>
      </c>
      <c r="B368" s="31" t="n">
        <f aca="false">SUMIFS(Détail!$E:$E,Détail!$D:$D,"MOHELLEBI SAMY",Détail!$A:$A,"&gt;="&amp;DATE(2025,12,1),Détail!$A:$A,"&lt;"&amp;EDATE(DATE(2025,12,1),1))</f>
        <v>0</v>
      </c>
    </row>
    <row r="371" customFormat="false" ht="15" hidden="false" customHeight="true" outlineLevel="0" collapsed="false">
      <c r="A371" s="29" t="s">
        <v>182</v>
      </c>
      <c r="B371" s="29"/>
      <c r="C371" s="30" t="n">
        <f aca="false">SUMIF(Détail!$D:$D,"CENTRO CONGRESS",Détail!$E:$E)</f>
        <v>-104.1</v>
      </c>
    </row>
    <row r="372" customFormat="false" ht="15" hidden="false" customHeight="true" outlineLevel="0" collapsed="false">
      <c r="A372" s="24" t="s">
        <v>63</v>
      </c>
      <c r="B372" s="24" t="s">
        <v>64</v>
      </c>
    </row>
    <row r="373" customFormat="false" ht="15" hidden="false" customHeight="true" outlineLevel="0" collapsed="false">
      <c r="A373" s="8" t="s">
        <v>65</v>
      </c>
      <c r="B373" s="31" t="n">
        <f aca="false">SUMIFS(Détail!$E:$E,Détail!$D:$D,"CENTRO CONGRESS",Détail!$A:$A,"&gt;="&amp;DATE(2025,1,1),Détail!$A:$A,"&lt;"&amp;EDATE(DATE(2025,1,1),1))</f>
        <v>0</v>
      </c>
    </row>
    <row r="374" customFormat="false" ht="15" hidden="false" customHeight="true" outlineLevel="0" collapsed="false">
      <c r="A374" s="8" t="s">
        <v>66</v>
      </c>
      <c r="B374" s="31" t="n">
        <f aca="false">SUMIFS(Détail!$E:$E,Détail!$D:$D,"CENTRO CONGRESS",Détail!$A:$A,"&gt;="&amp;DATE(2025,2,1),Détail!$A:$A,"&lt;"&amp;EDATE(DATE(2025,2,1),1))</f>
        <v>-104.1</v>
      </c>
    </row>
    <row r="375" customFormat="false" ht="15" hidden="false" customHeight="true" outlineLevel="0" collapsed="false">
      <c r="A375" s="8" t="s">
        <v>67</v>
      </c>
      <c r="B375" s="31" t="n">
        <f aca="false">SUMIFS(Détail!$E:$E,Détail!$D:$D,"CENTRO CONGRESS",Détail!$A:$A,"&gt;="&amp;DATE(2025,3,1),Détail!$A:$A,"&lt;"&amp;EDATE(DATE(2025,3,1),1))</f>
        <v>0</v>
      </c>
    </row>
    <row r="376" customFormat="false" ht="15" hidden="false" customHeight="true" outlineLevel="0" collapsed="false">
      <c r="A376" s="8" t="s">
        <v>68</v>
      </c>
      <c r="B376" s="31" t="n">
        <f aca="false">SUMIFS(Détail!$E:$E,Détail!$D:$D,"CENTRO CONGRESS",Détail!$A:$A,"&gt;="&amp;DATE(2025,4,1),Détail!$A:$A,"&lt;"&amp;EDATE(DATE(2025,4,1),1))</f>
        <v>0</v>
      </c>
    </row>
    <row r="377" customFormat="false" ht="15" hidden="false" customHeight="true" outlineLevel="0" collapsed="false">
      <c r="A377" s="8" t="s">
        <v>69</v>
      </c>
      <c r="B377" s="31" t="n">
        <f aca="false">SUMIFS(Détail!$E:$E,Détail!$D:$D,"CENTRO CONGRESS",Détail!$A:$A,"&gt;="&amp;DATE(2025,5,1),Détail!$A:$A,"&lt;"&amp;EDATE(DATE(2025,5,1),1))</f>
        <v>0</v>
      </c>
    </row>
    <row r="378" customFormat="false" ht="15" hidden="false" customHeight="true" outlineLevel="0" collapsed="false">
      <c r="A378" s="8" t="s">
        <v>70</v>
      </c>
      <c r="B378" s="31" t="n">
        <f aca="false">SUMIFS(Détail!$E:$E,Détail!$D:$D,"CENTRO CONGRESS",Détail!$A:$A,"&gt;="&amp;DATE(2025,6,1),Détail!$A:$A,"&lt;"&amp;EDATE(DATE(2025,6,1),1))</f>
        <v>0</v>
      </c>
    </row>
    <row r="379" customFormat="false" ht="15" hidden="false" customHeight="true" outlineLevel="0" collapsed="false">
      <c r="A379" s="8" t="s">
        <v>71</v>
      </c>
      <c r="B379" s="31" t="n">
        <f aca="false">SUMIFS(Détail!$E:$E,Détail!$D:$D,"CENTRO CONGRESS",Détail!$A:$A,"&gt;="&amp;DATE(2025,7,1),Détail!$A:$A,"&lt;"&amp;EDATE(DATE(2025,7,1),1))</f>
        <v>0</v>
      </c>
    </row>
    <row r="380" customFormat="false" ht="15" hidden="false" customHeight="true" outlineLevel="0" collapsed="false">
      <c r="A380" s="8" t="s">
        <v>72</v>
      </c>
      <c r="B380" s="31" t="n">
        <f aca="false">SUMIFS(Détail!$E:$E,Détail!$D:$D,"CENTRO CONGRESS",Détail!$A:$A,"&gt;="&amp;DATE(2025,8,1),Détail!$A:$A,"&lt;"&amp;EDATE(DATE(2025,8,1),1))</f>
        <v>0</v>
      </c>
    </row>
    <row r="381" customFormat="false" ht="15" hidden="false" customHeight="true" outlineLevel="0" collapsed="false">
      <c r="A381" s="8" t="s">
        <v>73</v>
      </c>
      <c r="B381" s="31" t="n">
        <f aca="false">SUMIFS(Détail!$E:$E,Détail!$D:$D,"CENTRO CONGRESS",Détail!$A:$A,"&gt;="&amp;DATE(2025,9,1),Détail!$A:$A,"&lt;"&amp;EDATE(DATE(2025,9,1),1))</f>
        <v>0</v>
      </c>
    </row>
    <row r="382" customFormat="false" ht="15" hidden="false" customHeight="true" outlineLevel="0" collapsed="false">
      <c r="A382" s="8" t="s">
        <v>74</v>
      </c>
      <c r="B382" s="31" t="n">
        <f aca="false">SUMIFS(Détail!$E:$E,Détail!$D:$D,"CENTRO CONGRESS",Détail!$A:$A,"&gt;="&amp;DATE(2025,10,1),Détail!$A:$A,"&lt;"&amp;EDATE(DATE(2025,10,1),1))</f>
        <v>0</v>
      </c>
    </row>
    <row r="383" customFormat="false" ht="15" hidden="false" customHeight="true" outlineLevel="0" collapsed="false">
      <c r="A383" s="8" t="s">
        <v>75</v>
      </c>
      <c r="B383" s="31" t="n">
        <f aca="false">SUMIFS(Détail!$E:$E,Détail!$D:$D,"CENTRO CONGRESS",Détail!$A:$A,"&gt;="&amp;DATE(2025,11,1),Détail!$A:$A,"&lt;"&amp;EDATE(DATE(2025,11,1),1))</f>
        <v>0</v>
      </c>
    </row>
    <row r="384" customFormat="false" ht="15" hidden="false" customHeight="true" outlineLevel="0" collapsed="false">
      <c r="A384" s="8" t="s">
        <v>76</v>
      </c>
      <c r="B384" s="31" t="n">
        <f aca="false">SUMIFS(Détail!$E:$E,Détail!$D:$D,"CENTRO CONGRESS",Détail!$A:$A,"&gt;="&amp;DATE(2025,12,1),Détail!$A:$A,"&lt;"&amp;EDATE(DATE(2025,12,1),1))</f>
        <v>0</v>
      </c>
    </row>
    <row r="387" customFormat="false" ht="15" hidden="false" customHeight="true" outlineLevel="0" collapsed="false">
      <c r="A387" s="29" t="s">
        <v>183</v>
      </c>
      <c r="B387" s="29"/>
      <c r="C387" s="30" t="n">
        <f aca="false">SUMIF(Détail!$D:$D,"NUOVA SIDAP SRL",Détail!$E:$E)</f>
        <v>-99.45</v>
      </c>
    </row>
    <row r="388" customFormat="false" ht="15" hidden="false" customHeight="true" outlineLevel="0" collapsed="false">
      <c r="A388" s="24" t="s">
        <v>63</v>
      </c>
      <c r="B388" s="24" t="s">
        <v>64</v>
      </c>
    </row>
    <row r="389" customFormat="false" ht="15" hidden="false" customHeight="true" outlineLevel="0" collapsed="false">
      <c r="A389" s="8" t="s">
        <v>65</v>
      </c>
      <c r="B389" s="31" t="n">
        <f aca="false">SUMIFS(Détail!$E:$E,Détail!$D:$D,"NUOVA SIDAP SRL",Détail!$A:$A,"&gt;="&amp;DATE(2025,1,1),Détail!$A:$A,"&lt;"&amp;EDATE(DATE(2025,1,1),1))</f>
        <v>0</v>
      </c>
    </row>
    <row r="390" customFormat="false" ht="15" hidden="false" customHeight="true" outlineLevel="0" collapsed="false">
      <c r="A390" s="8" t="s">
        <v>66</v>
      </c>
      <c r="B390" s="31" t="n">
        <f aca="false">SUMIFS(Détail!$E:$E,Détail!$D:$D,"NUOVA SIDAP SRL",Détail!$A:$A,"&gt;="&amp;DATE(2025,2,1),Détail!$A:$A,"&lt;"&amp;EDATE(DATE(2025,2,1),1))</f>
        <v>-99.45</v>
      </c>
    </row>
    <row r="391" customFormat="false" ht="15" hidden="false" customHeight="true" outlineLevel="0" collapsed="false">
      <c r="A391" s="8" t="s">
        <v>67</v>
      </c>
      <c r="B391" s="31" t="n">
        <f aca="false">SUMIFS(Détail!$E:$E,Détail!$D:$D,"NUOVA SIDAP SRL",Détail!$A:$A,"&gt;="&amp;DATE(2025,3,1),Détail!$A:$A,"&lt;"&amp;EDATE(DATE(2025,3,1),1))</f>
        <v>0</v>
      </c>
    </row>
    <row r="392" customFormat="false" ht="15" hidden="false" customHeight="true" outlineLevel="0" collapsed="false">
      <c r="A392" s="8" t="s">
        <v>68</v>
      </c>
      <c r="B392" s="31" t="n">
        <f aca="false">SUMIFS(Détail!$E:$E,Détail!$D:$D,"NUOVA SIDAP SRL",Détail!$A:$A,"&gt;="&amp;DATE(2025,4,1),Détail!$A:$A,"&lt;"&amp;EDATE(DATE(2025,4,1),1))</f>
        <v>0</v>
      </c>
    </row>
    <row r="393" customFormat="false" ht="15" hidden="false" customHeight="true" outlineLevel="0" collapsed="false">
      <c r="A393" s="8" t="s">
        <v>69</v>
      </c>
      <c r="B393" s="31" t="n">
        <f aca="false">SUMIFS(Détail!$E:$E,Détail!$D:$D,"NUOVA SIDAP SRL",Détail!$A:$A,"&gt;="&amp;DATE(2025,5,1),Détail!$A:$A,"&lt;"&amp;EDATE(DATE(2025,5,1),1))</f>
        <v>0</v>
      </c>
    </row>
    <row r="394" customFormat="false" ht="15" hidden="false" customHeight="true" outlineLevel="0" collapsed="false">
      <c r="A394" s="8" t="s">
        <v>70</v>
      </c>
      <c r="B394" s="31" t="n">
        <f aca="false">SUMIFS(Détail!$E:$E,Détail!$D:$D,"NUOVA SIDAP SRL",Détail!$A:$A,"&gt;="&amp;DATE(2025,6,1),Détail!$A:$A,"&lt;"&amp;EDATE(DATE(2025,6,1),1))</f>
        <v>0</v>
      </c>
    </row>
    <row r="395" customFormat="false" ht="15" hidden="false" customHeight="true" outlineLevel="0" collapsed="false">
      <c r="A395" s="8" t="s">
        <v>71</v>
      </c>
      <c r="B395" s="31" t="n">
        <f aca="false">SUMIFS(Détail!$E:$E,Détail!$D:$D,"NUOVA SIDAP SRL",Détail!$A:$A,"&gt;="&amp;DATE(2025,7,1),Détail!$A:$A,"&lt;"&amp;EDATE(DATE(2025,7,1),1))</f>
        <v>0</v>
      </c>
    </row>
    <row r="396" customFormat="false" ht="15" hidden="false" customHeight="true" outlineLevel="0" collapsed="false">
      <c r="A396" s="8" t="s">
        <v>72</v>
      </c>
      <c r="B396" s="31" t="n">
        <f aca="false">SUMIFS(Détail!$E:$E,Détail!$D:$D,"NUOVA SIDAP SRL",Détail!$A:$A,"&gt;="&amp;DATE(2025,8,1),Détail!$A:$A,"&lt;"&amp;EDATE(DATE(2025,8,1),1))</f>
        <v>0</v>
      </c>
    </row>
    <row r="397" customFormat="false" ht="15" hidden="false" customHeight="true" outlineLevel="0" collapsed="false">
      <c r="A397" s="8" t="s">
        <v>73</v>
      </c>
      <c r="B397" s="31" t="n">
        <f aca="false">SUMIFS(Détail!$E:$E,Détail!$D:$D,"NUOVA SIDAP SRL",Détail!$A:$A,"&gt;="&amp;DATE(2025,9,1),Détail!$A:$A,"&lt;"&amp;EDATE(DATE(2025,9,1),1))</f>
        <v>0</v>
      </c>
    </row>
    <row r="398" customFormat="false" ht="15" hidden="false" customHeight="true" outlineLevel="0" collapsed="false">
      <c r="A398" s="8" t="s">
        <v>74</v>
      </c>
      <c r="B398" s="31" t="n">
        <f aca="false">SUMIFS(Détail!$E:$E,Détail!$D:$D,"NUOVA SIDAP SRL",Détail!$A:$A,"&gt;="&amp;DATE(2025,10,1),Détail!$A:$A,"&lt;"&amp;EDATE(DATE(2025,10,1),1))</f>
        <v>0</v>
      </c>
    </row>
    <row r="399" customFormat="false" ht="15" hidden="false" customHeight="true" outlineLevel="0" collapsed="false">
      <c r="A399" s="8" t="s">
        <v>75</v>
      </c>
      <c r="B399" s="31" t="n">
        <f aca="false">SUMIFS(Détail!$E:$E,Détail!$D:$D,"NUOVA SIDAP SRL",Détail!$A:$A,"&gt;="&amp;DATE(2025,11,1),Détail!$A:$A,"&lt;"&amp;EDATE(DATE(2025,11,1),1))</f>
        <v>0</v>
      </c>
    </row>
    <row r="400" customFormat="false" ht="15" hidden="false" customHeight="true" outlineLevel="0" collapsed="false">
      <c r="A400" s="8" t="s">
        <v>76</v>
      </c>
      <c r="B400" s="31" t="n">
        <f aca="false">SUMIFS(Détail!$E:$E,Détail!$D:$D,"NUOVA SIDAP SRL",Détail!$A:$A,"&gt;="&amp;DATE(2025,12,1),Détail!$A:$A,"&lt;"&amp;EDATE(DATE(2025,12,1),1))</f>
        <v>0</v>
      </c>
    </row>
    <row r="403" customFormat="false" ht="15" hidden="false" customHeight="true" outlineLevel="0" collapsed="false">
      <c r="A403" s="29" t="s">
        <v>184</v>
      </c>
      <c r="B403" s="29"/>
      <c r="C403" s="30" t="n">
        <f aca="false">SUMIF(Détail!$D:$D,"SUMUP",Détail!$E:$E)</f>
        <v>-93.6</v>
      </c>
    </row>
    <row r="404" customFormat="false" ht="15" hidden="false" customHeight="true" outlineLevel="0" collapsed="false">
      <c r="A404" s="24" t="s">
        <v>63</v>
      </c>
      <c r="B404" s="24" t="s">
        <v>64</v>
      </c>
    </row>
    <row r="405" customFormat="false" ht="15" hidden="false" customHeight="true" outlineLevel="0" collapsed="false">
      <c r="A405" s="8" t="s">
        <v>65</v>
      </c>
      <c r="B405" s="31" t="n">
        <f aca="false">SUMIFS(Détail!$E:$E,Détail!$D:$D,"SUMUP",Détail!$A:$A,"&gt;="&amp;DATE(2025,1,1),Détail!$A:$A,"&lt;"&amp;EDATE(DATE(2025,1,1),1))</f>
        <v>0</v>
      </c>
    </row>
    <row r="406" customFormat="false" ht="15" hidden="false" customHeight="true" outlineLevel="0" collapsed="false">
      <c r="A406" s="8" t="s">
        <v>66</v>
      </c>
      <c r="B406" s="31" t="n">
        <f aca="false">SUMIFS(Détail!$E:$E,Détail!$D:$D,"SUMUP",Détail!$A:$A,"&gt;="&amp;DATE(2025,2,1),Détail!$A:$A,"&lt;"&amp;EDATE(DATE(2025,2,1),1))</f>
        <v>-26</v>
      </c>
    </row>
    <row r="407" customFormat="false" ht="15" hidden="false" customHeight="true" outlineLevel="0" collapsed="false">
      <c r="A407" s="8" t="s">
        <v>67</v>
      </c>
      <c r="B407" s="31" t="n">
        <f aca="false">SUMIFS(Détail!$E:$E,Détail!$D:$D,"SUMUP",Détail!$A:$A,"&gt;="&amp;DATE(2025,3,1),Détail!$A:$A,"&lt;"&amp;EDATE(DATE(2025,3,1),1))</f>
        <v>0</v>
      </c>
    </row>
    <row r="408" customFormat="false" ht="15" hidden="false" customHeight="true" outlineLevel="0" collapsed="false">
      <c r="A408" s="8" t="s">
        <v>68</v>
      </c>
      <c r="B408" s="31" t="n">
        <f aca="false">SUMIFS(Détail!$E:$E,Détail!$D:$D,"SUMUP",Détail!$A:$A,"&gt;="&amp;DATE(2025,4,1),Détail!$A:$A,"&lt;"&amp;EDATE(DATE(2025,4,1),1))</f>
        <v>0</v>
      </c>
    </row>
    <row r="409" customFormat="false" ht="15" hidden="false" customHeight="true" outlineLevel="0" collapsed="false">
      <c r="A409" s="8" t="s">
        <v>69</v>
      </c>
      <c r="B409" s="31" t="n">
        <f aca="false">SUMIFS(Détail!$E:$E,Détail!$D:$D,"SUMUP",Détail!$A:$A,"&gt;="&amp;DATE(2025,5,1),Détail!$A:$A,"&lt;"&amp;EDATE(DATE(2025,5,1),1))</f>
        <v>0</v>
      </c>
    </row>
    <row r="410" customFormat="false" ht="15" hidden="false" customHeight="true" outlineLevel="0" collapsed="false">
      <c r="A410" s="8" t="s">
        <v>70</v>
      </c>
      <c r="B410" s="31" t="n">
        <f aca="false">SUMIFS(Détail!$E:$E,Détail!$D:$D,"SUMUP",Détail!$A:$A,"&gt;="&amp;DATE(2025,6,1),Détail!$A:$A,"&lt;"&amp;EDATE(DATE(2025,6,1),1))</f>
        <v>0</v>
      </c>
    </row>
    <row r="411" customFormat="false" ht="15" hidden="false" customHeight="true" outlineLevel="0" collapsed="false">
      <c r="A411" s="8" t="s">
        <v>71</v>
      </c>
      <c r="B411" s="31" t="n">
        <f aca="false">SUMIFS(Détail!$E:$E,Détail!$D:$D,"SUMUP",Détail!$A:$A,"&gt;="&amp;DATE(2025,7,1),Détail!$A:$A,"&lt;"&amp;EDATE(DATE(2025,7,1),1))</f>
        <v>0</v>
      </c>
    </row>
    <row r="412" customFormat="false" ht="15" hidden="false" customHeight="true" outlineLevel="0" collapsed="false">
      <c r="A412" s="8" t="s">
        <v>72</v>
      </c>
      <c r="B412" s="31" t="n">
        <f aca="false">SUMIFS(Détail!$E:$E,Détail!$D:$D,"SUMUP",Détail!$A:$A,"&gt;="&amp;DATE(2025,8,1),Détail!$A:$A,"&lt;"&amp;EDATE(DATE(2025,8,1),1))</f>
        <v>0</v>
      </c>
    </row>
    <row r="413" customFormat="false" ht="15" hidden="false" customHeight="true" outlineLevel="0" collapsed="false">
      <c r="A413" s="8" t="s">
        <v>73</v>
      </c>
      <c r="B413" s="31" t="n">
        <f aca="false">SUMIFS(Détail!$E:$E,Détail!$D:$D,"SUMUP",Détail!$A:$A,"&gt;="&amp;DATE(2025,9,1),Détail!$A:$A,"&lt;"&amp;EDATE(DATE(2025,9,1),1))</f>
        <v>0</v>
      </c>
    </row>
    <row r="414" customFormat="false" ht="15" hidden="false" customHeight="true" outlineLevel="0" collapsed="false">
      <c r="A414" s="8" t="s">
        <v>74</v>
      </c>
      <c r="B414" s="31" t="n">
        <f aca="false">SUMIFS(Détail!$E:$E,Détail!$D:$D,"SUMUP",Détail!$A:$A,"&gt;="&amp;DATE(2025,10,1),Détail!$A:$A,"&lt;"&amp;EDATE(DATE(2025,10,1),1))</f>
        <v>0</v>
      </c>
    </row>
    <row r="415" customFormat="false" ht="15" hidden="false" customHeight="true" outlineLevel="0" collapsed="false">
      <c r="A415" s="8" t="s">
        <v>75</v>
      </c>
      <c r="B415" s="31" t="n">
        <f aca="false">SUMIFS(Détail!$E:$E,Détail!$D:$D,"SUMUP",Détail!$A:$A,"&gt;="&amp;DATE(2025,11,1),Détail!$A:$A,"&lt;"&amp;EDATE(DATE(2025,11,1),1))</f>
        <v>-67.6</v>
      </c>
    </row>
    <row r="416" customFormat="false" ht="15" hidden="false" customHeight="true" outlineLevel="0" collapsed="false">
      <c r="A416" s="8" t="s">
        <v>76</v>
      </c>
      <c r="B416" s="31" t="n">
        <f aca="false">SUMIFS(Détail!$E:$E,Détail!$D:$D,"SUMUP",Détail!$A:$A,"&gt;="&amp;DATE(2025,12,1),Détail!$A:$A,"&lt;"&amp;EDATE(DATE(2025,12,1),1))</f>
        <v>0</v>
      </c>
    </row>
    <row r="419" customFormat="false" ht="15" hidden="false" customHeight="true" outlineLevel="0" collapsed="false">
      <c r="A419" s="29" t="s">
        <v>185</v>
      </c>
      <c r="B419" s="29"/>
      <c r="C419" s="30" t="n">
        <f aca="false">SUMIF(Détail!$D:$D,"ADIDAS",Détail!$E:$E)</f>
        <v>-54.09</v>
      </c>
    </row>
    <row r="420" customFormat="false" ht="15" hidden="false" customHeight="true" outlineLevel="0" collapsed="false">
      <c r="A420" s="24" t="s">
        <v>63</v>
      </c>
      <c r="B420" s="24" t="s">
        <v>64</v>
      </c>
    </row>
    <row r="421" customFormat="false" ht="15" hidden="false" customHeight="true" outlineLevel="0" collapsed="false">
      <c r="A421" s="8" t="s">
        <v>65</v>
      </c>
      <c r="B421" s="31" t="n">
        <f aca="false">SUMIFS(Détail!$E:$E,Détail!$D:$D,"ADIDAS",Détail!$A:$A,"&gt;="&amp;DATE(2025,1,1),Détail!$A:$A,"&lt;"&amp;EDATE(DATE(2025,1,1),1))</f>
        <v>0</v>
      </c>
    </row>
    <row r="422" customFormat="false" ht="15" hidden="false" customHeight="true" outlineLevel="0" collapsed="false">
      <c r="A422" s="8" t="s">
        <v>66</v>
      </c>
      <c r="B422" s="31" t="n">
        <f aca="false">SUMIFS(Détail!$E:$E,Détail!$D:$D,"ADIDAS",Détail!$A:$A,"&gt;="&amp;DATE(2025,2,1),Détail!$A:$A,"&lt;"&amp;EDATE(DATE(2025,2,1),1))</f>
        <v>0</v>
      </c>
    </row>
    <row r="423" customFormat="false" ht="15" hidden="false" customHeight="true" outlineLevel="0" collapsed="false">
      <c r="A423" s="8" t="s">
        <v>67</v>
      </c>
      <c r="B423" s="31" t="n">
        <f aca="false">SUMIFS(Détail!$E:$E,Détail!$D:$D,"ADIDAS",Détail!$A:$A,"&gt;="&amp;DATE(2025,3,1),Détail!$A:$A,"&lt;"&amp;EDATE(DATE(2025,3,1),1))</f>
        <v>0</v>
      </c>
    </row>
    <row r="424" customFormat="false" ht="15" hidden="false" customHeight="true" outlineLevel="0" collapsed="false">
      <c r="A424" s="8" t="s">
        <v>68</v>
      </c>
      <c r="B424" s="31" t="n">
        <f aca="false">SUMIFS(Détail!$E:$E,Détail!$D:$D,"ADIDAS",Détail!$A:$A,"&gt;="&amp;DATE(2025,4,1),Détail!$A:$A,"&lt;"&amp;EDATE(DATE(2025,4,1),1))</f>
        <v>0</v>
      </c>
    </row>
    <row r="425" customFormat="false" ht="15" hidden="false" customHeight="true" outlineLevel="0" collapsed="false">
      <c r="A425" s="8" t="s">
        <v>69</v>
      </c>
      <c r="B425" s="31" t="n">
        <f aca="false">SUMIFS(Détail!$E:$E,Détail!$D:$D,"ADIDAS",Détail!$A:$A,"&gt;="&amp;DATE(2025,5,1),Détail!$A:$A,"&lt;"&amp;EDATE(DATE(2025,5,1),1))</f>
        <v>0</v>
      </c>
    </row>
    <row r="426" customFormat="false" ht="15" hidden="false" customHeight="true" outlineLevel="0" collapsed="false">
      <c r="A426" s="8" t="s">
        <v>70</v>
      </c>
      <c r="B426" s="31" t="n">
        <f aca="false">SUMIFS(Détail!$E:$E,Détail!$D:$D,"ADIDAS",Détail!$A:$A,"&gt;="&amp;DATE(2025,6,1),Détail!$A:$A,"&lt;"&amp;EDATE(DATE(2025,6,1),1))</f>
        <v>0</v>
      </c>
    </row>
    <row r="427" customFormat="false" ht="15" hidden="false" customHeight="true" outlineLevel="0" collapsed="false">
      <c r="A427" s="8" t="s">
        <v>71</v>
      </c>
      <c r="B427" s="31" t="n">
        <f aca="false">SUMIFS(Détail!$E:$E,Détail!$D:$D,"ADIDAS",Détail!$A:$A,"&gt;="&amp;DATE(2025,7,1),Détail!$A:$A,"&lt;"&amp;EDATE(DATE(2025,7,1),1))</f>
        <v>0</v>
      </c>
    </row>
    <row r="428" customFormat="false" ht="15" hidden="false" customHeight="true" outlineLevel="0" collapsed="false">
      <c r="A428" s="8" t="s">
        <v>72</v>
      </c>
      <c r="B428" s="31" t="n">
        <f aca="false">SUMIFS(Détail!$E:$E,Détail!$D:$D,"ADIDAS",Détail!$A:$A,"&gt;="&amp;DATE(2025,8,1),Détail!$A:$A,"&lt;"&amp;EDATE(DATE(2025,8,1),1))</f>
        <v>0</v>
      </c>
    </row>
    <row r="429" customFormat="false" ht="15" hidden="false" customHeight="true" outlineLevel="0" collapsed="false">
      <c r="A429" s="8" t="s">
        <v>73</v>
      </c>
      <c r="B429" s="31" t="n">
        <f aca="false">SUMIFS(Détail!$E:$E,Détail!$D:$D,"ADIDAS",Détail!$A:$A,"&gt;="&amp;DATE(2025,9,1),Détail!$A:$A,"&lt;"&amp;EDATE(DATE(2025,9,1),1))</f>
        <v>0</v>
      </c>
    </row>
    <row r="430" customFormat="false" ht="15" hidden="false" customHeight="true" outlineLevel="0" collapsed="false">
      <c r="A430" s="8" t="s">
        <v>74</v>
      </c>
      <c r="B430" s="31" t="n">
        <f aca="false">SUMIFS(Détail!$E:$E,Détail!$D:$D,"ADIDAS",Détail!$A:$A,"&gt;="&amp;DATE(2025,10,1),Détail!$A:$A,"&lt;"&amp;EDATE(DATE(2025,10,1),1))</f>
        <v>-54.09</v>
      </c>
    </row>
    <row r="431" customFormat="false" ht="15" hidden="false" customHeight="true" outlineLevel="0" collapsed="false">
      <c r="A431" s="8" t="s">
        <v>75</v>
      </c>
      <c r="B431" s="31" t="n">
        <f aca="false">SUMIFS(Détail!$E:$E,Détail!$D:$D,"ADIDAS",Détail!$A:$A,"&gt;="&amp;DATE(2025,11,1),Détail!$A:$A,"&lt;"&amp;EDATE(DATE(2025,11,1),1))</f>
        <v>0</v>
      </c>
    </row>
    <row r="432" customFormat="false" ht="15" hidden="false" customHeight="true" outlineLevel="0" collapsed="false">
      <c r="A432" s="8" t="s">
        <v>76</v>
      </c>
      <c r="B432" s="31" t="n">
        <f aca="false">SUMIFS(Détail!$E:$E,Détail!$D:$D,"ADIDAS",Détail!$A:$A,"&gt;="&amp;DATE(2025,12,1),Détail!$A:$A,"&lt;"&amp;EDATE(DATE(2025,12,1),1))</f>
        <v>0</v>
      </c>
    </row>
    <row r="435" customFormat="false" ht="15" hidden="false" customHeight="true" outlineLevel="0" collapsed="false">
      <c r="A435" s="29" t="s">
        <v>186</v>
      </c>
      <c r="B435" s="29"/>
      <c r="C435" s="30" t="n">
        <f aca="false">SUMIF(Détail!$D:$D,"HB LEISURE GAME",Détail!$E:$E)</f>
        <v>-53.25</v>
      </c>
    </row>
    <row r="436" customFormat="false" ht="15" hidden="false" customHeight="true" outlineLevel="0" collapsed="false">
      <c r="A436" s="24" t="s">
        <v>63</v>
      </c>
      <c r="B436" s="24" t="s">
        <v>64</v>
      </c>
    </row>
    <row r="437" customFormat="false" ht="15" hidden="false" customHeight="true" outlineLevel="0" collapsed="false">
      <c r="A437" s="8" t="s">
        <v>65</v>
      </c>
      <c r="B437" s="31" t="n">
        <f aca="false">SUMIFS(Détail!$E:$E,Détail!$D:$D,"HB LEISURE GAME",Détail!$A:$A,"&gt;="&amp;DATE(2025,1,1),Détail!$A:$A,"&lt;"&amp;EDATE(DATE(2025,1,1),1))</f>
        <v>0</v>
      </c>
    </row>
    <row r="438" customFormat="false" ht="15" hidden="false" customHeight="true" outlineLevel="0" collapsed="false">
      <c r="A438" s="8" t="s">
        <v>66</v>
      </c>
      <c r="B438" s="31" t="n">
        <f aca="false">SUMIFS(Détail!$E:$E,Détail!$D:$D,"HB LEISURE GAME",Détail!$A:$A,"&gt;="&amp;DATE(2025,2,1),Détail!$A:$A,"&lt;"&amp;EDATE(DATE(2025,2,1),1))</f>
        <v>0</v>
      </c>
    </row>
    <row r="439" customFormat="false" ht="15" hidden="false" customHeight="true" outlineLevel="0" collapsed="false">
      <c r="A439" s="8" t="s">
        <v>67</v>
      </c>
      <c r="B439" s="31" t="n">
        <f aca="false">SUMIFS(Détail!$E:$E,Détail!$D:$D,"HB LEISURE GAME",Détail!$A:$A,"&gt;="&amp;DATE(2025,3,1),Détail!$A:$A,"&lt;"&amp;EDATE(DATE(2025,3,1),1))</f>
        <v>0</v>
      </c>
    </row>
    <row r="440" customFormat="false" ht="15" hidden="false" customHeight="true" outlineLevel="0" collapsed="false">
      <c r="A440" s="8" t="s">
        <v>68</v>
      </c>
      <c r="B440" s="31" t="n">
        <f aca="false">SUMIFS(Détail!$E:$E,Détail!$D:$D,"HB LEISURE GAME",Détail!$A:$A,"&gt;="&amp;DATE(2025,4,1),Détail!$A:$A,"&lt;"&amp;EDATE(DATE(2025,4,1),1))</f>
        <v>0</v>
      </c>
    </row>
    <row r="441" customFormat="false" ht="15" hidden="false" customHeight="true" outlineLevel="0" collapsed="false">
      <c r="A441" s="8" t="s">
        <v>69</v>
      </c>
      <c r="B441" s="31" t="n">
        <f aca="false">SUMIFS(Détail!$E:$E,Détail!$D:$D,"HB LEISURE GAME",Détail!$A:$A,"&gt;="&amp;DATE(2025,5,1),Détail!$A:$A,"&lt;"&amp;EDATE(DATE(2025,5,1),1))</f>
        <v>0</v>
      </c>
    </row>
    <row r="442" customFormat="false" ht="15" hidden="false" customHeight="true" outlineLevel="0" collapsed="false">
      <c r="A442" s="8" t="s">
        <v>70</v>
      </c>
      <c r="B442" s="31" t="n">
        <f aca="false">SUMIFS(Détail!$E:$E,Détail!$D:$D,"HB LEISURE GAME",Détail!$A:$A,"&gt;="&amp;DATE(2025,6,1),Détail!$A:$A,"&lt;"&amp;EDATE(DATE(2025,6,1),1))</f>
        <v>0</v>
      </c>
    </row>
    <row r="443" customFormat="false" ht="15" hidden="false" customHeight="true" outlineLevel="0" collapsed="false">
      <c r="A443" s="8" t="s">
        <v>71</v>
      </c>
      <c r="B443" s="31" t="n">
        <f aca="false">SUMIFS(Détail!$E:$E,Détail!$D:$D,"HB LEISURE GAME",Détail!$A:$A,"&gt;="&amp;DATE(2025,7,1),Détail!$A:$A,"&lt;"&amp;EDATE(DATE(2025,7,1),1))</f>
        <v>0</v>
      </c>
    </row>
    <row r="444" customFormat="false" ht="15" hidden="false" customHeight="true" outlineLevel="0" collapsed="false">
      <c r="A444" s="8" t="s">
        <v>72</v>
      </c>
      <c r="B444" s="31" t="n">
        <f aca="false">SUMIFS(Détail!$E:$E,Détail!$D:$D,"HB LEISURE GAME",Détail!$A:$A,"&gt;="&amp;DATE(2025,8,1),Détail!$A:$A,"&lt;"&amp;EDATE(DATE(2025,8,1),1))</f>
        <v>0</v>
      </c>
    </row>
    <row r="445" customFormat="false" ht="15" hidden="false" customHeight="true" outlineLevel="0" collapsed="false">
      <c r="A445" s="8" t="s">
        <v>73</v>
      </c>
      <c r="B445" s="31" t="n">
        <f aca="false">SUMIFS(Détail!$E:$E,Détail!$D:$D,"HB LEISURE GAME",Détail!$A:$A,"&gt;="&amp;DATE(2025,9,1),Détail!$A:$A,"&lt;"&amp;EDATE(DATE(2025,9,1),1))</f>
        <v>0</v>
      </c>
    </row>
    <row r="446" customFormat="false" ht="15" hidden="false" customHeight="true" outlineLevel="0" collapsed="false">
      <c r="A446" s="8" t="s">
        <v>74</v>
      </c>
      <c r="B446" s="31" t="n">
        <f aca="false">SUMIFS(Détail!$E:$E,Détail!$D:$D,"HB LEISURE GAME",Détail!$A:$A,"&gt;="&amp;DATE(2025,10,1),Détail!$A:$A,"&lt;"&amp;EDATE(DATE(2025,10,1),1))</f>
        <v>-53.25</v>
      </c>
    </row>
    <row r="447" customFormat="false" ht="15" hidden="false" customHeight="true" outlineLevel="0" collapsed="false">
      <c r="A447" s="8" t="s">
        <v>75</v>
      </c>
      <c r="B447" s="31" t="n">
        <f aca="false">SUMIFS(Détail!$E:$E,Détail!$D:$D,"HB LEISURE GAME",Détail!$A:$A,"&gt;="&amp;DATE(2025,11,1),Détail!$A:$A,"&lt;"&amp;EDATE(DATE(2025,11,1),1))</f>
        <v>0</v>
      </c>
    </row>
    <row r="448" customFormat="false" ht="15" hidden="false" customHeight="true" outlineLevel="0" collapsed="false">
      <c r="A448" s="8" t="s">
        <v>76</v>
      </c>
      <c r="B448" s="31" t="n">
        <f aca="false">SUMIFS(Détail!$E:$E,Détail!$D:$D,"HB LEISURE GAME",Détail!$A:$A,"&gt;="&amp;DATE(2025,12,1),Détail!$A:$A,"&lt;"&amp;EDATE(DATE(2025,12,1),1))</f>
        <v>0</v>
      </c>
    </row>
    <row r="451" customFormat="false" ht="15" hidden="false" customHeight="true" outlineLevel="0" collapsed="false">
      <c r="A451" s="29" t="s">
        <v>187</v>
      </c>
      <c r="B451" s="29"/>
      <c r="C451" s="30" t="n">
        <f aca="false">SUMIF(Détail!$D:$D,"GLR AUVERGNE",Détail!$E:$E)</f>
        <v>-42.8</v>
      </c>
    </row>
    <row r="452" customFormat="false" ht="15" hidden="false" customHeight="true" outlineLevel="0" collapsed="false">
      <c r="A452" s="24" t="s">
        <v>63</v>
      </c>
      <c r="B452" s="24" t="s">
        <v>64</v>
      </c>
    </row>
    <row r="453" customFormat="false" ht="15" hidden="false" customHeight="true" outlineLevel="0" collapsed="false">
      <c r="A453" s="8" t="s">
        <v>65</v>
      </c>
      <c r="B453" s="31" t="n">
        <f aca="false">SUMIFS(Détail!$E:$E,Détail!$D:$D,"GLR AUVERGNE",Détail!$A:$A,"&gt;="&amp;DATE(2025,1,1),Détail!$A:$A,"&lt;"&amp;EDATE(DATE(2025,1,1),1))</f>
        <v>0</v>
      </c>
    </row>
    <row r="454" customFormat="false" ht="15" hidden="false" customHeight="true" outlineLevel="0" collapsed="false">
      <c r="A454" s="8" t="s">
        <v>66</v>
      </c>
      <c r="B454" s="31" t="n">
        <f aca="false">SUMIFS(Détail!$E:$E,Détail!$D:$D,"GLR AUVERGNE",Détail!$A:$A,"&gt;="&amp;DATE(2025,2,1),Détail!$A:$A,"&lt;"&amp;EDATE(DATE(2025,2,1),1))</f>
        <v>0</v>
      </c>
    </row>
    <row r="455" customFormat="false" ht="15" hidden="false" customHeight="true" outlineLevel="0" collapsed="false">
      <c r="A455" s="8" t="s">
        <v>67</v>
      </c>
      <c r="B455" s="31" t="n">
        <f aca="false">SUMIFS(Détail!$E:$E,Détail!$D:$D,"GLR AUVERGNE",Détail!$A:$A,"&gt;="&amp;DATE(2025,3,1),Détail!$A:$A,"&lt;"&amp;EDATE(DATE(2025,3,1),1))</f>
        <v>0</v>
      </c>
    </row>
    <row r="456" customFormat="false" ht="15" hidden="false" customHeight="true" outlineLevel="0" collapsed="false">
      <c r="A456" s="8" t="s">
        <v>68</v>
      </c>
      <c r="B456" s="31" t="n">
        <f aca="false">SUMIFS(Détail!$E:$E,Détail!$D:$D,"GLR AUVERGNE",Détail!$A:$A,"&gt;="&amp;DATE(2025,4,1),Détail!$A:$A,"&lt;"&amp;EDATE(DATE(2025,4,1),1))</f>
        <v>0</v>
      </c>
    </row>
    <row r="457" customFormat="false" ht="15" hidden="false" customHeight="true" outlineLevel="0" collapsed="false">
      <c r="A457" s="8" t="s">
        <v>69</v>
      </c>
      <c r="B457" s="31" t="n">
        <f aca="false">SUMIFS(Détail!$E:$E,Détail!$D:$D,"GLR AUVERGNE",Détail!$A:$A,"&gt;="&amp;DATE(2025,5,1),Détail!$A:$A,"&lt;"&amp;EDATE(DATE(2025,5,1),1))</f>
        <v>0</v>
      </c>
    </row>
    <row r="458" customFormat="false" ht="15" hidden="false" customHeight="true" outlineLevel="0" collapsed="false">
      <c r="A458" s="8" t="s">
        <v>70</v>
      </c>
      <c r="B458" s="31" t="n">
        <f aca="false">SUMIFS(Détail!$E:$E,Détail!$D:$D,"GLR AUVERGNE",Détail!$A:$A,"&gt;="&amp;DATE(2025,6,1),Détail!$A:$A,"&lt;"&amp;EDATE(DATE(2025,6,1),1))</f>
        <v>0</v>
      </c>
    </row>
    <row r="459" customFormat="false" ht="15" hidden="false" customHeight="true" outlineLevel="0" collapsed="false">
      <c r="A459" s="8" t="s">
        <v>71</v>
      </c>
      <c r="B459" s="31" t="n">
        <f aca="false">SUMIFS(Détail!$E:$E,Détail!$D:$D,"GLR AUVERGNE",Détail!$A:$A,"&gt;="&amp;DATE(2025,7,1),Détail!$A:$A,"&lt;"&amp;EDATE(DATE(2025,7,1),1))</f>
        <v>-42.8</v>
      </c>
    </row>
    <row r="460" customFormat="false" ht="15" hidden="false" customHeight="true" outlineLevel="0" collapsed="false">
      <c r="A460" s="8" t="s">
        <v>72</v>
      </c>
      <c r="B460" s="31" t="n">
        <f aca="false">SUMIFS(Détail!$E:$E,Détail!$D:$D,"GLR AUVERGNE",Détail!$A:$A,"&gt;="&amp;DATE(2025,8,1),Détail!$A:$A,"&lt;"&amp;EDATE(DATE(2025,8,1),1))</f>
        <v>0</v>
      </c>
    </row>
    <row r="461" customFormat="false" ht="15" hidden="false" customHeight="true" outlineLevel="0" collapsed="false">
      <c r="A461" s="8" t="s">
        <v>73</v>
      </c>
      <c r="B461" s="31" t="n">
        <f aca="false">SUMIFS(Détail!$E:$E,Détail!$D:$D,"GLR AUVERGNE",Détail!$A:$A,"&gt;="&amp;DATE(2025,9,1),Détail!$A:$A,"&lt;"&amp;EDATE(DATE(2025,9,1),1))</f>
        <v>0</v>
      </c>
    </row>
    <row r="462" customFormat="false" ht="15" hidden="false" customHeight="true" outlineLevel="0" collapsed="false">
      <c r="A462" s="8" t="s">
        <v>74</v>
      </c>
      <c r="B462" s="31" t="n">
        <f aca="false">SUMIFS(Détail!$E:$E,Détail!$D:$D,"GLR AUVERGNE",Détail!$A:$A,"&gt;="&amp;DATE(2025,10,1),Détail!$A:$A,"&lt;"&amp;EDATE(DATE(2025,10,1),1))</f>
        <v>0</v>
      </c>
    </row>
    <row r="463" customFormat="false" ht="15" hidden="false" customHeight="true" outlineLevel="0" collapsed="false">
      <c r="A463" s="8" t="s">
        <v>75</v>
      </c>
      <c r="B463" s="31" t="n">
        <f aca="false">SUMIFS(Détail!$E:$E,Détail!$D:$D,"GLR AUVERGNE",Détail!$A:$A,"&gt;="&amp;DATE(2025,11,1),Détail!$A:$A,"&lt;"&amp;EDATE(DATE(2025,11,1),1))</f>
        <v>0</v>
      </c>
    </row>
    <row r="464" customFormat="false" ht="15" hidden="false" customHeight="true" outlineLevel="0" collapsed="false">
      <c r="A464" s="8" t="s">
        <v>76</v>
      </c>
      <c r="B464" s="31" t="n">
        <f aca="false">SUMIFS(Détail!$E:$E,Détail!$D:$D,"GLR AUVERGNE",Détail!$A:$A,"&gt;="&amp;DATE(2025,12,1),Détail!$A:$A,"&lt;"&amp;EDATE(DATE(2025,12,1),1))</f>
        <v>0</v>
      </c>
    </row>
    <row r="467" customFormat="false" ht="15" hidden="false" customHeight="true" outlineLevel="0" collapsed="false">
      <c r="A467" s="29" t="s">
        <v>188</v>
      </c>
      <c r="B467" s="29"/>
      <c r="C467" s="30" t="n">
        <f aca="false">SUMIF(Détail!$D:$D,"BRED JOINVILLE POL1",Détail!$E:$E)</f>
        <v>-40</v>
      </c>
    </row>
    <row r="468" customFormat="false" ht="15" hidden="false" customHeight="true" outlineLevel="0" collapsed="false">
      <c r="A468" s="24" t="s">
        <v>63</v>
      </c>
      <c r="B468" s="24" t="s">
        <v>64</v>
      </c>
    </row>
    <row r="469" customFormat="false" ht="15" hidden="false" customHeight="true" outlineLevel="0" collapsed="false">
      <c r="A469" s="8" t="s">
        <v>65</v>
      </c>
      <c r="B469" s="31" t="n">
        <f aca="false">SUMIFS(Détail!$E:$E,Détail!$D:$D,"BRED JOINVILLE POL1",Détail!$A:$A,"&gt;="&amp;DATE(2025,1,1),Détail!$A:$A,"&lt;"&amp;EDATE(DATE(2025,1,1),1))</f>
        <v>0</v>
      </c>
    </row>
    <row r="470" customFormat="false" ht="15" hidden="false" customHeight="true" outlineLevel="0" collapsed="false">
      <c r="A470" s="8" t="s">
        <v>66</v>
      </c>
      <c r="B470" s="31" t="n">
        <f aca="false">SUMIFS(Détail!$E:$E,Détail!$D:$D,"BRED JOINVILLE POL1",Détail!$A:$A,"&gt;="&amp;DATE(2025,2,1),Détail!$A:$A,"&lt;"&amp;EDATE(DATE(2025,2,1),1))</f>
        <v>0</v>
      </c>
    </row>
    <row r="471" customFormat="false" ht="15" hidden="false" customHeight="true" outlineLevel="0" collapsed="false">
      <c r="A471" s="8" t="s">
        <v>67</v>
      </c>
      <c r="B471" s="31" t="n">
        <f aca="false">SUMIFS(Détail!$E:$E,Détail!$D:$D,"BRED JOINVILLE POL1",Détail!$A:$A,"&gt;="&amp;DATE(2025,3,1),Détail!$A:$A,"&lt;"&amp;EDATE(DATE(2025,3,1),1))</f>
        <v>0</v>
      </c>
    </row>
    <row r="472" customFormat="false" ht="15" hidden="false" customHeight="true" outlineLevel="0" collapsed="false">
      <c r="A472" s="8" t="s">
        <v>68</v>
      </c>
      <c r="B472" s="31" t="n">
        <f aca="false">SUMIFS(Détail!$E:$E,Détail!$D:$D,"BRED JOINVILLE POL1",Détail!$A:$A,"&gt;="&amp;DATE(2025,4,1),Détail!$A:$A,"&lt;"&amp;EDATE(DATE(2025,4,1),1))</f>
        <v>0</v>
      </c>
    </row>
    <row r="473" customFormat="false" ht="15" hidden="false" customHeight="true" outlineLevel="0" collapsed="false">
      <c r="A473" s="8" t="s">
        <v>69</v>
      </c>
      <c r="B473" s="31" t="n">
        <f aca="false">SUMIFS(Détail!$E:$E,Détail!$D:$D,"BRED JOINVILLE POL1",Détail!$A:$A,"&gt;="&amp;DATE(2025,5,1),Détail!$A:$A,"&lt;"&amp;EDATE(DATE(2025,5,1),1))</f>
        <v>0</v>
      </c>
    </row>
    <row r="474" customFormat="false" ht="15" hidden="false" customHeight="true" outlineLevel="0" collapsed="false">
      <c r="A474" s="8" t="s">
        <v>70</v>
      </c>
      <c r="B474" s="31" t="n">
        <f aca="false">SUMIFS(Détail!$E:$E,Détail!$D:$D,"BRED JOINVILLE POL1",Détail!$A:$A,"&gt;="&amp;DATE(2025,6,1),Détail!$A:$A,"&lt;"&amp;EDATE(DATE(2025,6,1),1))</f>
        <v>0</v>
      </c>
    </row>
    <row r="475" customFormat="false" ht="15" hidden="false" customHeight="true" outlineLevel="0" collapsed="false">
      <c r="A475" s="8" t="s">
        <v>71</v>
      </c>
      <c r="B475" s="31" t="n">
        <f aca="false">SUMIFS(Détail!$E:$E,Détail!$D:$D,"BRED JOINVILLE POL1",Détail!$A:$A,"&gt;="&amp;DATE(2025,7,1),Détail!$A:$A,"&lt;"&amp;EDATE(DATE(2025,7,1),1))</f>
        <v>0</v>
      </c>
    </row>
    <row r="476" customFormat="false" ht="15" hidden="false" customHeight="true" outlineLevel="0" collapsed="false">
      <c r="A476" s="8" t="s">
        <v>72</v>
      </c>
      <c r="B476" s="31" t="n">
        <f aca="false">SUMIFS(Détail!$E:$E,Détail!$D:$D,"BRED JOINVILLE POL1",Détail!$A:$A,"&gt;="&amp;DATE(2025,8,1),Détail!$A:$A,"&lt;"&amp;EDATE(DATE(2025,8,1),1))</f>
        <v>0</v>
      </c>
    </row>
    <row r="477" customFormat="false" ht="15" hidden="false" customHeight="true" outlineLevel="0" collapsed="false">
      <c r="A477" s="8" t="s">
        <v>73</v>
      </c>
      <c r="B477" s="31" t="n">
        <f aca="false">SUMIFS(Détail!$E:$E,Détail!$D:$D,"BRED JOINVILLE POL1",Détail!$A:$A,"&gt;="&amp;DATE(2025,9,1),Détail!$A:$A,"&lt;"&amp;EDATE(DATE(2025,9,1),1))</f>
        <v>0</v>
      </c>
    </row>
    <row r="478" customFormat="false" ht="15" hidden="false" customHeight="true" outlineLevel="0" collapsed="false">
      <c r="A478" s="8" t="s">
        <v>74</v>
      </c>
      <c r="B478" s="31" t="n">
        <f aca="false">SUMIFS(Détail!$E:$E,Détail!$D:$D,"BRED JOINVILLE POL1",Détail!$A:$A,"&gt;="&amp;DATE(2025,10,1),Détail!$A:$A,"&lt;"&amp;EDATE(DATE(2025,10,1),1))</f>
        <v>-40</v>
      </c>
    </row>
    <row r="479" customFormat="false" ht="15" hidden="false" customHeight="true" outlineLevel="0" collapsed="false">
      <c r="A479" s="8" t="s">
        <v>75</v>
      </c>
      <c r="B479" s="31" t="n">
        <f aca="false">SUMIFS(Détail!$E:$E,Détail!$D:$D,"BRED JOINVILLE POL1",Détail!$A:$A,"&gt;="&amp;DATE(2025,11,1),Détail!$A:$A,"&lt;"&amp;EDATE(DATE(2025,11,1),1))</f>
        <v>0</v>
      </c>
    </row>
    <row r="480" customFormat="false" ht="15" hidden="false" customHeight="true" outlineLevel="0" collapsed="false">
      <c r="A480" s="8" t="s">
        <v>76</v>
      </c>
      <c r="B480" s="31" t="n">
        <f aca="false">SUMIFS(Détail!$E:$E,Détail!$D:$D,"BRED JOINVILLE POL1",Détail!$A:$A,"&gt;="&amp;DATE(2025,12,1),Détail!$A:$A,"&lt;"&amp;EDATE(DATE(2025,12,1),1))</f>
        <v>0</v>
      </c>
    </row>
    <row r="483" customFormat="false" ht="15" hidden="false" customHeight="true" outlineLevel="0" collapsed="false">
      <c r="A483" s="29" t="s">
        <v>189</v>
      </c>
      <c r="B483" s="29"/>
      <c r="C483" s="30" t="n">
        <f aca="false">SUMIF(Détail!$D:$D,"SC.POKESHOP JOI",Détail!$E:$E)</f>
        <v>-35.3</v>
      </c>
    </row>
    <row r="484" customFormat="false" ht="15" hidden="false" customHeight="true" outlineLevel="0" collapsed="false">
      <c r="A484" s="24" t="s">
        <v>63</v>
      </c>
      <c r="B484" s="24" t="s">
        <v>64</v>
      </c>
    </row>
    <row r="485" customFormat="false" ht="15" hidden="false" customHeight="true" outlineLevel="0" collapsed="false">
      <c r="A485" s="8" t="s">
        <v>65</v>
      </c>
      <c r="B485" s="31" t="n">
        <f aca="false">SUMIFS(Détail!$E:$E,Détail!$D:$D,"SC.POKESHOP JOI",Détail!$A:$A,"&gt;="&amp;DATE(2025,1,1),Détail!$A:$A,"&lt;"&amp;EDATE(DATE(2025,1,1),1))</f>
        <v>0</v>
      </c>
    </row>
    <row r="486" customFormat="false" ht="15" hidden="false" customHeight="true" outlineLevel="0" collapsed="false">
      <c r="A486" s="8" t="s">
        <v>66</v>
      </c>
      <c r="B486" s="31" t="n">
        <f aca="false">SUMIFS(Détail!$E:$E,Détail!$D:$D,"SC.POKESHOP JOI",Détail!$A:$A,"&gt;="&amp;DATE(2025,2,1),Détail!$A:$A,"&lt;"&amp;EDATE(DATE(2025,2,1),1))</f>
        <v>0</v>
      </c>
    </row>
    <row r="487" customFormat="false" ht="15" hidden="false" customHeight="true" outlineLevel="0" collapsed="false">
      <c r="A487" s="8" t="s">
        <v>67</v>
      </c>
      <c r="B487" s="31" t="n">
        <f aca="false">SUMIFS(Détail!$E:$E,Détail!$D:$D,"SC.POKESHOP JOI",Détail!$A:$A,"&gt;="&amp;DATE(2025,3,1),Détail!$A:$A,"&lt;"&amp;EDATE(DATE(2025,3,1),1))</f>
        <v>0</v>
      </c>
    </row>
    <row r="488" customFormat="false" ht="15" hidden="false" customHeight="true" outlineLevel="0" collapsed="false">
      <c r="A488" s="8" t="s">
        <v>68</v>
      </c>
      <c r="B488" s="31" t="n">
        <f aca="false">SUMIFS(Détail!$E:$E,Détail!$D:$D,"SC.POKESHOP JOI",Détail!$A:$A,"&gt;="&amp;DATE(2025,4,1),Détail!$A:$A,"&lt;"&amp;EDATE(DATE(2025,4,1),1))</f>
        <v>0</v>
      </c>
    </row>
    <row r="489" customFormat="false" ht="15" hidden="false" customHeight="true" outlineLevel="0" collapsed="false">
      <c r="A489" s="8" t="s">
        <v>69</v>
      </c>
      <c r="B489" s="31" t="n">
        <f aca="false">SUMIFS(Détail!$E:$E,Détail!$D:$D,"SC.POKESHOP JOI",Détail!$A:$A,"&gt;="&amp;DATE(2025,5,1),Détail!$A:$A,"&lt;"&amp;EDATE(DATE(2025,5,1),1))</f>
        <v>-16.4</v>
      </c>
    </row>
    <row r="490" customFormat="false" ht="15" hidden="false" customHeight="true" outlineLevel="0" collapsed="false">
      <c r="A490" s="8" t="s">
        <v>70</v>
      </c>
      <c r="B490" s="31" t="n">
        <f aca="false">SUMIFS(Détail!$E:$E,Détail!$D:$D,"SC.POKESHOP JOI",Détail!$A:$A,"&gt;="&amp;DATE(2025,6,1),Détail!$A:$A,"&lt;"&amp;EDATE(DATE(2025,6,1),1))</f>
        <v>-18.9</v>
      </c>
    </row>
    <row r="491" customFormat="false" ht="15" hidden="false" customHeight="true" outlineLevel="0" collapsed="false">
      <c r="A491" s="8" t="s">
        <v>71</v>
      </c>
      <c r="B491" s="31" t="n">
        <f aca="false">SUMIFS(Détail!$E:$E,Détail!$D:$D,"SC.POKESHOP JOI",Détail!$A:$A,"&gt;="&amp;DATE(2025,7,1),Détail!$A:$A,"&lt;"&amp;EDATE(DATE(2025,7,1),1))</f>
        <v>0</v>
      </c>
    </row>
    <row r="492" customFormat="false" ht="15" hidden="false" customHeight="true" outlineLevel="0" collapsed="false">
      <c r="A492" s="8" t="s">
        <v>72</v>
      </c>
      <c r="B492" s="31" t="n">
        <f aca="false">SUMIFS(Détail!$E:$E,Détail!$D:$D,"SC.POKESHOP JOI",Détail!$A:$A,"&gt;="&amp;DATE(2025,8,1),Détail!$A:$A,"&lt;"&amp;EDATE(DATE(2025,8,1),1))</f>
        <v>0</v>
      </c>
    </row>
    <row r="493" customFormat="false" ht="15" hidden="false" customHeight="true" outlineLevel="0" collapsed="false">
      <c r="A493" s="8" t="s">
        <v>73</v>
      </c>
      <c r="B493" s="31" t="n">
        <f aca="false">SUMIFS(Détail!$E:$E,Détail!$D:$D,"SC.POKESHOP JOI",Détail!$A:$A,"&gt;="&amp;DATE(2025,9,1),Détail!$A:$A,"&lt;"&amp;EDATE(DATE(2025,9,1),1))</f>
        <v>0</v>
      </c>
    </row>
    <row r="494" customFormat="false" ht="15" hidden="false" customHeight="true" outlineLevel="0" collapsed="false">
      <c r="A494" s="8" t="s">
        <v>74</v>
      </c>
      <c r="B494" s="31" t="n">
        <f aca="false">SUMIFS(Détail!$E:$E,Détail!$D:$D,"SC.POKESHOP JOI",Détail!$A:$A,"&gt;="&amp;DATE(2025,10,1),Détail!$A:$A,"&lt;"&amp;EDATE(DATE(2025,10,1),1))</f>
        <v>0</v>
      </c>
    </row>
    <row r="495" customFormat="false" ht="15" hidden="false" customHeight="true" outlineLevel="0" collapsed="false">
      <c r="A495" s="8" t="s">
        <v>75</v>
      </c>
      <c r="B495" s="31" t="n">
        <f aca="false">SUMIFS(Détail!$E:$E,Détail!$D:$D,"SC.POKESHOP JOI",Détail!$A:$A,"&gt;="&amp;DATE(2025,11,1),Détail!$A:$A,"&lt;"&amp;EDATE(DATE(2025,11,1),1))</f>
        <v>0</v>
      </c>
    </row>
    <row r="496" customFormat="false" ht="15" hidden="false" customHeight="true" outlineLevel="0" collapsed="false">
      <c r="A496" s="8" t="s">
        <v>76</v>
      </c>
      <c r="B496" s="31" t="n">
        <f aca="false">SUMIFS(Détail!$E:$E,Détail!$D:$D,"SC.POKESHOP JOI",Détail!$A:$A,"&gt;="&amp;DATE(2025,12,1),Détail!$A:$A,"&lt;"&amp;EDATE(DATE(2025,12,1),1))</f>
        <v>0</v>
      </c>
    </row>
    <row r="499" customFormat="false" ht="15" hidden="false" customHeight="true" outlineLevel="0" collapsed="false">
      <c r="A499" s="29" t="s">
        <v>190</v>
      </c>
      <c r="B499" s="29"/>
      <c r="C499" s="30" t="n">
        <f aca="false">SUMIF(Détail!$D:$D,"ATLANTIS",Détail!$E:$E)</f>
        <v>-30</v>
      </c>
    </row>
    <row r="500" customFormat="false" ht="15" hidden="false" customHeight="true" outlineLevel="0" collapsed="false">
      <c r="A500" s="24" t="s">
        <v>63</v>
      </c>
      <c r="B500" s="24" t="s">
        <v>64</v>
      </c>
    </row>
    <row r="501" customFormat="false" ht="15" hidden="false" customHeight="true" outlineLevel="0" collapsed="false">
      <c r="A501" s="8" t="s">
        <v>65</v>
      </c>
      <c r="B501" s="31" t="n">
        <f aca="false">SUMIFS(Détail!$E:$E,Détail!$D:$D,"ATLANTIS",Détail!$A:$A,"&gt;="&amp;DATE(2025,1,1),Détail!$A:$A,"&lt;"&amp;EDATE(DATE(2025,1,1),1))</f>
        <v>0</v>
      </c>
    </row>
    <row r="502" customFormat="false" ht="15" hidden="false" customHeight="true" outlineLevel="0" collapsed="false">
      <c r="A502" s="8" t="s">
        <v>66</v>
      </c>
      <c r="B502" s="31" t="n">
        <f aca="false">SUMIFS(Détail!$E:$E,Détail!$D:$D,"ATLANTIS",Détail!$A:$A,"&gt;="&amp;DATE(2025,2,1),Détail!$A:$A,"&lt;"&amp;EDATE(DATE(2025,2,1),1))</f>
        <v>0</v>
      </c>
    </row>
    <row r="503" customFormat="false" ht="15" hidden="false" customHeight="true" outlineLevel="0" collapsed="false">
      <c r="A503" s="8" t="s">
        <v>67</v>
      </c>
      <c r="B503" s="31" t="n">
        <f aca="false">SUMIFS(Détail!$E:$E,Détail!$D:$D,"ATLANTIS",Détail!$A:$A,"&gt;="&amp;DATE(2025,3,1),Détail!$A:$A,"&lt;"&amp;EDATE(DATE(2025,3,1),1))</f>
        <v>0</v>
      </c>
    </row>
    <row r="504" customFormat="false" ht="15" hidden="false" customHeight="true" outlineLevel="0" collapsed="false">
      <c r="A504" s="8" t="s">
        <v>68</v>
      </c>
      <c r="B504" s="31" t="n">
        <f aca="false">SUMIFS(Détail!$E:$E,Détail!$D:$D,"ATLANTIS",Détail!$A:$A,"&gt;="&amp;DATE(2025,4,1),Détail!$A:$A,"&lt;"&amp;EDATE(DATE(2025,4,1),1))</f>
        <v>-20</v>
      </c>
    </row>
    <row r="505" customFormat="false" ht="15" hidden="false" customHeight="true" outlineLevel="0" collapsed="false">
      <c r="A505" s="8" t="s">
        <v>69</v>
      </c>
      <c r="B505" s="31" t="n">
        <f aca="false">SUMIFS(Détail!$E:$E,Détail!$D:$D,"ATLANTIS",Détail!$A:$A,"&gt;="&amp;DATE(2025,5,1),Détail!$A:$A,"&lt;"&amp;EDATE(DATE(2025,5,1),1))</f>
        <v>0</v>
      </c>
    </row>
    <row r="506" customFormat="false" ht="15" hidden="false" customHeight="true" outlineLevel="0" collapsed="false">
      <c r="A506" s="8" t="s">
        <v>70</v>
      </c>
      <c r="B506" s="31" t="n">
        <f aca="false">SUMIFS(Détail!$E:$E,Détail!$D:$D,"ATLANTIS",Détail!$A:$A,"&gt;="&amp;DATE(2025,6,1),Détail!$A:$A,"&lt;"&amp;EDATE(DATE(2025,6,1),1))</f>
        <v>0</v>
      </c>
    </row>
    <row r="507" customFormat="false" ht="15" hidden="false" customHeight="true" outlineLevel="0" collapsed="false">
      <c r="A507" s="8" t="s">
        <v>71</v>
      </c>
      <c r="B507" s="31" t="n">
        <f aca="false">SUMIFS(Détail!$E:$E,Détail!$D:$D,"ATLANTIS",Détail!$A:$A,"&gt;="&amp;DATE(2025,7,1),Détail!$A:$A,"&lt;"&amp;EDATE(DATE(2025,7,1),1))</f>
        <v>-10</v>
      </c>
    </row>
    <row r="508" customFormat="false" ht="15" hidden="false" customHeight="true" outlineLevel="0" collapsed="false">
      <c r="A508" s="8" t="s">
        <v>72</v>
      </c>
      <c r="B508" s="31" t="n">
        <f aca="false">SUMIFS(Détail!$E:$E,Détail!$D:$D,"ATLANTIS",Détail!$A:$A,"&gt;="&amp;DATE(2025,8,1),Détail!$A:$A,"&lt;"&amp;EDATE(DATE(2025,8,1),1))</f>
        <v>0</v>
      </c>
    </row>
    <row r="509" customFormat="false" ht="15" hidden="false" customHeight="true" outlineLevel="0" collapsed="false">
      <c r="A509" s="8" t="s">
        <v>73</v>
      </c>
      <c r="B509" s="31" t="n">
        <f aca="false">SUMIFS(Détail!$E:$E,Détail!$D:$D,"ATLANTIS",Détail!$A:$A,"&gt;="&amp;DATE(2025,9,1),Détail!$A:$A,"&lt;"&amp;EDATE(DATE(2025,9,1),1))</f>
        <v>0</v>
      </c>
    </row>
    <row r="510" customFormat="false" ht="15" hidden="false" customHeight="true" outlineLevel="0" collapsed="false">
      <c r="A510" s="8" t="s">
        <v>74</v>
      </c>
      <c r="B510" s="31" t="n">
        <f aca="false">SUMIFS(Détail!$E:$E,Détail!$D:$D,"ATLANTIS",Détail!$A:$A,"&gt;="&amp;DATE(2025,10,1),Détail!$A:$A,"&lt;"&amp;EDATE(DATE(2025,10,1),1))</f>
        <v>0</v>
      </c>
    </row>
    <row r="511" customFormat="false" ht="15" hidden="false" customHeight="true" outlineLevel="0" collapsed="false">
      <c r="A511" s="8" t="s">
        <v>75</v>
      </c>
      <c r="B511" s="31" t="n">
        <f aca="false">SUMIFS(Détail!$E:$E,Détail!$D:$D,"ATLANTIS",Détail!$A:$A,"&gt;="&amp;DATE(2025,11,1),Détail!$A:$A,"&lt;"&amp;EDATE(DATE(2025,11,1),1))</f>
        <v>0</v>
      </c>
    </row>
    <row r="512" customFormat="false" ht="15" hidden="false" customHeight="true" outlineLevel="0" collapsed="false">
      <c r="A512" s="8" t="s">
        <v>76</v>
      </c>
      <c r="B512" s="31" t="n">
        <f aca="false">SUMIFS(Détail!$E:$E,Détail!$D:$D,"ATLANTIS",Détail!$A:$A,"&gt;="&amp;DATE(2025,12,1),Détail!$A:$A,"&lt;"&amp;EDATE(DATE(2025,12,1),1))</f>
        <v>0</v>
      </c>
    </row>
    <row r="515" customFormat="false" ht="15" hidden="false" customHeight="true" outlineLevel="0" collapsed="false">
      <c r="A515" s="29" t="s">
        <v>191</v>
      </c>
      <c r="B515" s="29"/>
      <c r="C515" s="30" t="n">
        <f aca="false">SUMIF(Détail!$D:$D,"RAPTOR TEAM TOU",Détail!$E:$E)</f>
        <v>-29.02</v>
      </c>
    </row>
    <row r="516" customFormat="false" ht="15" hidden="false" customHeight="true" outlineLevel="0" collapsed="false">
      <c r="A516" s="24" t="s">
        <v>63</v>
      </c>
      <c r="B516" s="24" t="s">
        <v>64</v>
      </c>
    </row>
    <row r="517" customFormat="false" ht="15" hidden="false" customHeight="true" outlineLevel="0" collapsed="false">
      <c r="A517" s="8" t="s">
        <v>65</v>
      </c>
      <c r="B517" s="31" t="n">
        <f aca="false">SUMIFS(Détail!$E:$E,Détail!$D:$D,"RAPTOR TEAM TOU",Détail!$A:$A,"&gt;="&amp;DATE(2025,1,1),Détail!$A:$A,"&lt;"&amp;EDATE(DATE(2025,1,1),1))</f>
        <v>0</v>
      </c>
    </row>
    <row r="518" customFormat="false" ht="15" hidden="false" customHeight="true" outlineLevel="0" collapsed="false">
      <c r="A518" s="8" t="s">
        <v>66</v>
      </c>
      <c r="B518" s="31" t="n">
        <f aca="false">SUMIFS(Détail!$E:$E,Détail!$D:$D,"RAPTOR TEAM TOU",Détail!$A:$A,"&gt;="&amp;DATE(2025,2,1),Détail!$A:$A,"&lt;"&amp;EDATE(DATE(2025,2,1),1))</f>
        <v>0</v>
      </c>
    </row>
    <row r="519" customFormat="false" ht="15" hidden="false" customHeight="true" outlineLevel="0" collapsed="false">
      <c r="A519" s="8" t="s">
        <v>67</v>
      </c>
      <c r="B519" s="31" t="n">
        <f aca="false">SUMIFS(Détail!$E:$E,Détail!$D:$D,"RAPTOR TEAM TOU",Détail!$A:$A,"&gt;="&amp;DATE(2025,3,1),Détail!$A:$A,"&lt;"&amp;EDATE(DATE(2025,3,1),1))</f>
        <v>0</v>
      </c>
    </row>
    <row r="520" customFormat="false" ht="15" hidden="false" customHeight="true" outlineLevel="0" collapsed="false">
      <c r="A520" s="8" t="s">
        <v>68</v>
      </c>
      <c r="B520" s="31" t="n">
        <f aca="false">SUMIFS(Détail!$E:$E,Détail!$D:$D,"RAPTOR TEAM TOU",Détail!$A:$A,"&gt;="&amp;DATE(2025,4,1),Détail!$A:$A,"&lt;"&amp;EDATE(DATE(2025,4,1),1))</f>
        <v>0</v>
      </c>
    </row>
    <row r="521" customFormat="false" ht="15" hidden="false" customHeight="true" outlineLevel="0" collapsed="false">
      <c r="A521" s="8" t="s">
        <v>69</v>
      </c>
      <c r="B521" s="31" t="n">
        <f aca="false">SUMIFS(Détail!$E:$E,Détail!$D:$D,"RAPTOR TEAM TOU",Détail!$A:$A,"&gt;="&amp;DATE(2025,5,1),Détail!$A:$A,"&lt;"&amp;EDATE(DATE(2025,5,1),1))</f>
        <v>0</v>
      </c>
    </row>
    <row r="522" customFormat="false" ht="15" hidden="false" customHeight="true" outlineLevel="0" collapsed="false">
      <c r="A522" s="8" t="s">
        <v>70</v>
      </c>
      <c r="B522" s="31" t="n">
        <f aca="false">SUMIFS(Détail!$E:$E,Détail!$D:$D,"RAPTOR TEAM TOU",Détail!$A:$A,"&gt;="&amp;DATE(2025,6,1),Détail!$A:$A,"&lt;"&amp;EDATE(DATE(2025,6,1),1))</f>
        <v>0</v>
      </c>
    </row>
    <row r="523" customFormat="false" ht="15" hidden="false" customHeight="true" outlineLevel="0" collapsed="false">
      <c r="A523" s="8" t="s">
        <v>71</v>
      </c>
      <c r="B523" s="31" t="n">
        <f aca="false">SUMIFS(Détail!$E:$E,Détail!$D:$D,"RAPTOR TEAM TOU",Détail!$A:$A,"&gt;="&amp;DATE(2025,7,1),Détail!$A:$A,"&lt;"&amp;EDATE(DATE(2025,7,1),1))</f>
        <v>0</v>
      </c>
    </row>
    <row r="524" customFormat="false" ht="15" hidden="false" customHeight="true" outlineLevel="0" collapsed="false">
      <c r="A524" s="8" t="s">
        <v>72</v>
      </c>
      <c r="B524" s="31" t="n">
        <f aca="false">SUMIFS(Détail!$E:$E,Détail!$D:$D,"RAPTOR TEAM TOU",Détail!$A:$A,"&gt;="&amp;DATE(2025,8,1),Détail!$A:$A,"&lt;"&amp;EDATE(DATE(2025,8,1),1))</f>
        <v>0</v>
      </c>
    </row>
    <row r="525" customFormat="false" ht="15" hidden="false" customHeight="true" outlineLevel="0" collapsed="false">
      <c r="A525" s="8" t="s">
        <v>73</v>
      </c>
      <c r="B525" s="31" t="n">
        <f aca="false">SUMIFS(Détail!$E:$E,Détail!$D:$D,"RAPTOR TEAM TOU",Détail!$A:$A,"&gt;="&amp;DATE(2025,9,1),Détail!$A:$A,"&lt;"&amp;EDATE(DATE(2025,9,1),1))</f>
        <v>0</v>
      </c>
    </row>
    <row r="526" customFormat="false" ht="15" hidden="false" customHeight="true" outlineLevel="0" collapsed="false">
      <c r="A526" s="8" t="s">
        <v>74</v>
      </c>
      <c r="B526" s="31" t="n">
        <f aca="false">SUMIFS(Détail!$E:$E,Détail!$D:$D,"RAPTOR TEAM TOU",Détail!$A:$A,"&gt;="&amp;DATE(2025,10,1),Détail!$A:$A,"&lt;"&amp;EDATE(DATE(2025,10,1),1))</f>
        <v>-29.02</v>
      </c>
    </row>
    <row r="527" customFormat="false" ht="15" hidden="false" customHeight="true" outlineLevel="0" collapsed="false">
      <c r="A527" s="8" t="s">
        <v>75</v>
      </c>
      <c r="B527" s="31" t="n">
        <f aca="false">SUMIFS(Détail!$E:$E,Détail!$D:$D,"RAPTOR TEAM TOU",Détail!$A:$A,"&gt;="&amp;DATE(2025,11,1),Détail!$A:$A,"&lt;"&amp;EDATE(DATE(2025,11,1),1))</f>
        <v>0</v>
      </c>
    </row>
    <row r="528" customFormat="false" ht="15" hidden="false" customHeight="true" outlineLevel="0" collapsed="false">
      <c r="A528" s="8" t="s">
        <v>76</v>
      </c>
      <c r="B528" s="31" t="n">
        <f aca="false">SUMIFS(Détail!$E:$E,Détail!$D:$D,"RAPTOR TEAM TOU",Détail!$A:$A,"&gt;="&amp;DATE(2025,12,1),Détail!$A:$A,"&lt;"&amp;EDATE(DATE(2025,12,1),1))</f>
        <v>0</v>
      </c>
    </row>
    <row r="531" customFormat="false" ht="15" hidden="false" customHeight="true" outlineLevel="0" collapsed="false">
      <c r="A531" s="29" t="s">
        <v>192</v>
      </c>
      <c r="B531" s="29"/>
      <c r="C531" s="30" t="n">
        <f aca="false">SUMIF(Détail!$D:$D,"DAY TO DAY HYPE",Détail!$E:$E)</f>
        <v>-26.1</v>
      </c>
    </row>
    <row r="532" customFormat="false" ht="15" hidden="false" customHeight="true" outlineLevel="0" collapsed="false">
      <c r="A532" s="24" t="s">
        <v>63</v>
      </c>
      <c r="B532" s="24" t="s">
        <v>64</v>
      </c>
    </row>
    <row r="533" customFormat="false" ht="15" hidden="false" customHeight="true" outlineLevel="0" collapsed="false">
      <c r="A533" s="8" t="s">
        <v>65</v>
      </c>
      <c r="B533" s="31" t="n">
        <f aca="false">SUMIFS(Détail!$E:$E,Détail!$D:$D,"DAY TO DAY HYPE",Détail!$A:$A,"&gt;="&amp;DATE(2025,1,1),Détail!$A:$A,"&lt;"&amp;EDATE(DATE(2025,1,1),1))</f>
        <v>0</v>
      </c>
    </row>
    <row r="534" customFormat="false" ht="15" hidden="false" customHeight="true" outlineLevel="0" collapsed="false">
      <c r="A534" s="8" t="s">
        <v>66</v>
      </c>
      <c r="B534" s="31" t="n">
        <f aca="false">SUMIFS(Détail!$E:$E,Détail!$D:$D,"DAY TO DAY HYPE",Détail!$A:$A,"&gt;="&amp;DATE(2025,2,1),Détail!$A:$A,"&lt;"&amp;EDATE(DATE(2025,2,1),1))</f>
        <v>0</v>
      </c>
    </row>
    <row r="535" customFormat="false" ht="15" hidden="false" customHeight="true" outlineLevel="0" collapsed="false">
      <c r="A535" s="8" t="s">
        <v>67</v>
      </c>
      <c r="B535" s="31" t="n">
        <f aca="false">SUMIFS(Détail!$E:$E,Détail!$D:$D,"DAY TO DAY HYPE",Détail!$A:$A,"&gt;="&amp;DATE(2025,3,1),Détail!$A:$A,"&lt;"&amp;EDATE(DATE(2025,3,1),1))</f>
        <v>0</v>
      </c>
    </row>
    <row r="536" customFormat="false" ht="15" hidden="false" customHeight="true" outlineLevel="0" collapsed="false">
      <c r="A536" s="8" t="s">
        <v>68</v>
      </c>
      <c r="B536" s="31" t="n">
        <f aca="false">SUMIFS(Détail!$E:$E,Détail!$D:$D,"DAY TO DAY HYPE",Détail!$A:$A,"&gt;="&amp;DATE(2025,4,1),Détail!$A:$A,"&lt;"&amp;EDATE(DATE(2025,4,1),1))</f>
        <v>0</v>
      </c>
    </row>
    <row r="537" customFormat="false" ht="15" hidden="false" customHeight="true" outlineLevel="0" collapsed="false">
      <c r="A537" s="8" t="s">
        <v>69</v>
      </c>
      <c r="B537" s="31" t="n">
        <f aca="false">SUMIFS(Détail!$E:$E,Détail!$D:$D,"DAY TO DAY HYPE",Détail!$A:$A,"&gt;="&amp;DATE(2025,5,1),Détail!$A:$A,"&lt;"&amp;EDATE(DATE(2025,5,1),1))</f>
        <v>0</v>
      </c>
    </row>
    <row r="538" customFormat="false" ht="15" hidden="false" customHeight="true" outlineLevel="0" collapsed="false">
      <c r="A538" s="8" t="s">
        <v>70</v>
      </c>
      <c r="B538" s="31" t="n">
        <f aca="false">SUMIFS(Détail!$E:$E,Détail!$D:$D,"DAY TO DAY HYPE",Détail!$A:$A,"&gt;="&amp;DATE(2025,6,1),Détail!$A:$A,"&lt;"&amp;EDATE(DATE(2025,6,1),1))</f>
        <v>0</v>
      </c>
    </row>
    <row r="539" customFormat="false" ht="15" hidden="false" customHeight="true" outlineLevel="0" collapsed="false">
      <c r="A539" s="8" t="s">
        <v>71</v>
      </c>
      <c r="B539" s="31" t="n">
        <f aca="false">SUMIFS(Détail!$E:$E,Détail!$D:$D,"DAY TO DAY HYPE",Détail!$A:$A,"&gt;="&amp;DATE(2025,7,1),Détail!$A:$A,"&lt;"&amp;EDATE(DATE(2025,7,1),1))</f>
        <v>0</v>
      </c>
    </row>
    <row r="540" customFormat="false" ht="15" hidden="false" customHeight="true" outlineLevel="0" collapsed="false">
      <c r="A540" s="8" t="s">
        <v>72</v>
      </c>
      <c r="B540" s="31" t="n">
        <f aca="false">SUMIFS(Détail!$E:$E,Détail!$D:$D,"DAY TO DAY HYPE",Détail!$A:$A,"&gt;="&amp;DATE(2025,8,1),Détail!$A:$A,"&lt;"&amp;EDATE(DATE(2025,8,1),1))</f>
        <v>0</v>
      </c>
    </row>
    <row r="541" customFormat="false" ht="15" hidden="false" customHeight="true" outlineLevel="0" collapsed="false">
      <c r="A541" s="8" t="s">
        <v>73</v>
      </c>
      <c r="B541" s="31" t="n">
        <f aca="false">SUMIFS(Détail!$E:$E,Détail!$D:$D,"DAY TO DAY HYPE",Détail!$A:$A,"&gt;="&amp;DATE(2025,9,1),Détail!$A:$A,"&lt;"&amp;EDATE(DATE(2025,9,1),1))</f>
        <v>0</v>
      </c>
    </row>
    <row r="542" customFormat="false" ht="15" hidden="false" customHeight="true" outlineLevel="0" collapsed="false">
      <c r="A542" s="8" t="s">
        <v>74</v>
      </c>
      <c r="B542" s="31" t="n">
        <f aca="false">SUMIFS(Détail!$E:$E,Détail!$D:$D,"DAY TO DAY HYPE",Détail!$A:$A,"&gt;="&amp;DATE(2025,10,1),Détail!$A:$A,"&lt;"&amp;EDATE(DATE(2025,10,1),1))</f>
        <v>0</v>
      </c>
    </row>
    <row r="543" customFormat="false" ht="15" hidden="false" customHeight="true" outlineLevel="0" collapsed="false">
      <c r="A543" s="8" t="s">
        <v>75</v>
      </c>
      <c r="B543" s="31" t="n">
        <f aca="false">SUMIFS(Détail!$E:$E,Détail!$D:$D,"DAY TO DAY HYPE",Détail!$A:$A,"&gt;="&amp;DATE(2025,11,1),Détail!$A:$A,"&lt;"&amp;EDATE(DATE(2025,11,1),1))</f>
        <v>-26.1</v>
      </c>
    </row>
    <row r="544" customFormat="false" ht="15" hidden="false" customHeight="true" outlineLevel="0" collapsed="false">
      <c r="A544" s="8" t="s">
        <v>76</v>
      </c>
      <c r="B544" s="31" t="n">
        <f aca="false">SUMIFS(Détail!$E:$E,Détail!$D:$D,"DAY TO DAY HYPE",Détail!$A:$A,"&gt;="&amp;DATE(2025,12,1),Détail!$A:$A,"&lt;"&amp;EDATE(DATE(2025,12,1),1))</f>
        <v>0</v>
      </c>
    </row>
    <row r="547" customFormat="false" ht="15" hidden="false" customHeight="true" outlineLevel="0" collapsed="false">
      <c r="A547" s="29" t="s">
        <v>193</v>
      </c>
      <c r="B547" s="29"/>
      <c r="C547" s="30" t="n">
        <f aca="false">SUMIF(Détail!$D:$D,"DWTC EXHIBITION",Détail!$E:$E)</f>
        <v>-19.32</v>
      </c>
    </row>
    <row r="548" customFormat="false" ht="15" hidden="false" customHeight="true" outlineLevel="0" collapsed="false">
      <c r="A548" s="24" t="s">
        <v>63</v>
      </c>
      <c r="B548" s="24" t="s">
        <v>64</v>
      </c>
    </row>
    <row r="549" customFormat="false" ht="15" hidden="false" customHeight="true" outlineLevel="0" collapsed="false">
      <c r="A549" s="8" t="s">
        <v>65</v>
      </c>
      <c r="B549" s="31" t="n">
        <f aca="false">SUMIFS(Détail!$E:$E,Détail!$D:$D,"DWTC EXHIBITION",Détail!$A:$A,"&gt;="&amp;DATE(2025,1,1),Détail!$A:$A,"&lt;"&amp;EDATE(DATE(2025,1,1),1))</f>
        <v>0</v>
      </c>
    </row>
    <row r="550" customFormat="false" ht="15" hidden="false" customHeight="true" outlineLevel="0" collapsed="false">
      <c r="A550" s="8" t="s">
        <v>66</v>
      </c>
      <c r="B550" s="31" t="n">
        <f aca="false">SUMIFS(Détail!$E:$E,Détail!$D:$D,"DWTC EXHIBITION",Détail!$A:$A,"&gt;="&amp;DATE(2025,2,1),Détail!$A:$A,"&lt;"&amp;EDATE(DATE(2025,2,1),1))</f>
        <v>0</v>
      </c>
    </row>
    <row r="551" customFormat="false" ht="15" hidden="false" customHeight="true" outlineLevel="0" collapsed="false">
      <c r="A551" s="8" t="s">
        <v>67</v>
      </c>
      <c r="B551" s="31" t="n">
        <f aca="false">SUMIFS(Détail!$E:$E,Détail!$D:$D,"DWTC EXHIBITION",Détail!$A:$A,"&gt;="&amp;DATE(2025,3,1),Détail!$A:$A,"&lt;"&amp;EDATE(DATE(2025,3,1),1))</f>
        <v>0</v>
      </c>
    </row>
    <row r="552" customFormat="false" ht="15" hidden="false" customHeight="true" outlineLevel="0" collapsed="false">
      <c r="A552" s="8" t="s">
        <v>68</v>
      </c>
      <c r="B552" s="31" t="n">
        <f aca="false">SUMIFS(Détail!$E:$E,Détail!$D:$D,"DWTC EXHIBITION",Détail!$A:$A,"&gt;="&amp;DATE(2025,4,1),Détail!$A:$A,"&lt;"&amp;EDATE(DATE(2025,4,1),1))</f>
        <v>0</v>
      </c>
    </row>
    <row r="553" customFormat="false" ht="15" hidden="false" customHeight="true" outlineLevel="0" collapsed="false">
      <c r="A553" s="8" t="s">
        <v>69</v>
      </c>
      <c r="B553" s="31" t="n">
        <f aca="false">SUMIFS(Détail!$E:$E,Détail!$D:$D,"DWTC EXHIBITION",Détail!$A:$A,"&gt;="&amp;DATE(2025,5,1),Détail!$A:$A,"&lt;"&amp;EDATE(DATE(2025,5,1),1))</f>
        <v>0</v>
      </c>
    </row>
    <row r="554" customFormat="false" ht="15" hidden="false" customHeight="true" outlineLevel="0" collapsed="false">
      <c r="A554" s="8" t="s">
        <v>70</v>
      </c>
      <c r="B554" s="31" t="n">
        <f aca="false">SUMIFS(Détail!$E:$E,Détail!$D:$D,"DWTC EXHIBITION",Détail!$A:$A,"&gt;="&amp;DATE(2025,6,1),Détail!$A:$A,"&lt;"&amp;EDATE(DATE(2025,6,1),1))</f>
        <v>0</v>
      </c>
    </row>
    <row r="555" customFormat="false" ht="15" hidden="false" customHeight="true" outlineLevel="0" collapsed="false">
      <c r="A555" s="8" t="s">
        <v>71</v>
      </c>
      <c r="B555" s="31" t="n">
        <f aca="false">SUMIFS(Détail!$E:$E,Détail!$D:$D,"DWTC EXHIBITION",Détail!$A:$A,"&gt;="&amp;DATE(2025,7,1),Détail!$A:$A,"&lt;"&amp;EDATE(DATE(2025,7,1),1))</f>
        <v>0</v>
      </c>
    </row>
    <row r="556" customFormat="false" ht="15" hidden="false" customHeight="true" outlineLevel="0" collapsed="false">
      <c r="A556" s="8" t="s">
        <v>72</v>
      </c>
      <c r="B556" s="31" t="n">
        <f aca="false">SUMIFS(Détail!$E:$E,Détail!$D:$D,"DWTC EXHIBITION",Détail!$A:$A,"&gt;="&amp;DATE(2025,8,1),Détail!$A:$A,"&lt;"&amp;EDATE(DATE(2025,8,1),1))</f>
        <v>0</v>
      </c>
    </row>
    <row r="557" customFormat="false" ht="15" hidden="false" customHeight="true" outlineLevel="0" collapsed="false">
      <c r="A557" s="8" t="s">
        <v>73</v>
      </c>
      <c r="B557" s="31" t="n">
        <f aca="false">SUMIFS(Détail!$E:$E,Détail!$D:$D,"DWTC EXHIBITION",Détail!$A:$A,"&gt;="&amp;DATE(2025,9,1),Détail!$A:$A,"&lt;"&amp;EDATE(DATE(2025,9,1),1))</f>
        <v>0</v>
      </c>
    </row>
    <row r="558" customFormat="false" ht="15" hidden="false" customHeight="true" outlineLevel="0" collapsed="false">
      <c r="A558" s="8" t="s">
        <v>74</v>
      </c>
      <c r="B558" s="31" t="n">
        <f aca="false">SUMIFS(Détail!$E:$E,Détail!$D:$D,"DWTC EXHIBITION",Détail!$A:$A,"&gt;="&amp;DATE(2025,10,1),Détail!$A:$A,"&lt;"&amp;EDATE(DATE(2025,10,1),1))</f>
        <v>-19.32</v>
      </c>
    </row>
    <row r="559" customFormat="false" ht="15" hidden="false" customHeight="true" outlineLevel="0" collapsed="false">
      <c r="A559" s="8" t="s">
        <v>75</v>
      </c>
      <c r="B559" s="31" t="n">
        <f aca="false">SUMIFS(Détail!$E:$E,Détail!$D:$D,"DWTC EXHIBITION",Détail!$A:$A,"&gt;="&amp;DATE(2025,11,1),Détail!$A:$A,"&lt;"&amp;EDATE(DATE(2025,11,1),1))</f>
        <v>0</v>
      </c>
    </row>
    <row r="560" customFormat="false" ht="15" hidden="false" customHeight="true" outlineLevel="0" collapsed="false">
      <c r="A560" s="8" t="s">
        <v>76</v>
      </c>
      <c r="B560" s="31" t="n">
        <f aca="false">SUMIFS(Détail!$E:$E,Détail!$D:$D,"DWTC EXHIBITION",Détail!$A:$A,"&gt;="&amp;DATE(2025,12,1),Détail!$A:$A,"&lt;"&amp;EDATE(DATE(2025,12,1),1))</f>
        <v>0</v>
      </c>
    </row>
    <row r="563" customFormat="false" ht="15" hidden="false" customHeight="true" outlineLevel="0" collapsed="false">
      <c r="A563" s="29" t="s">
        <v>194</v>
      </c>
      <c r="B563" s="29"/>
      <c r="C563" s="30" t="n">
        <f aca="false">SUMIF(Détail!$D:$D,"COMMANDE",Détail!$E:$E)</f>
        <v>-13.86</v>
      </c>
    </row>
    <row r="564" customFormat="false" ht="15" hidden="false" customHeight="true" outlineLevel="0" collapsed="false">
      <c r="A564" s="24" t="s">
        <v>63</v>
      </c>
      <c r="B564" s="24" t="s">
        <v>64</v>
      </c>
    </row>
    <row r="565" customFormat="false" ht="15" hidden="false" customHeight="true" outlineLevel="0" collapsed="false">
      <c r="A565" s="8" t="s">
        <v>65</v>
      </c>
      <c r="B565" s="31" t="n">
        <f aca="false">SUMIFS(Détail!$E:$E,Détail!$D:$D,"COMMANDE",Détail!$A:$A,"&gt;="&amp;DATE(2025,1,1),Détail!$A:$A,"&lt;"&amp;EDATE(DATE(2025,1,1),1))</f>
        <v>-4.62</v>
      </c>
    </row>
    <row r="566" customFormat="false" ht="15" hidden="false" customHeight="true" outlineLevel="0" collapsed="false">
      <c r="A566" s="8" t="s">
        <v>66</v>
      </c>
      <c r="B566" s="31" t="n">
        <f aca="false">SUMIFS(Détail!$E:$E,Détail!$D:$D,"COMMANDE",Détail!$A:$A,"&gt;="&amp;DATE(2025,2,1),Détail!$A:$A,"&lt;"&amp;EDATE(DATE(2025,2,1),1))</f>
        <v>0</v>
      </c>
    </row>
    <row r="567" customFormat="false" ht="15" hidden="false" customHeight="true" outlineLevel="0" collapsed="false">
      <c r="A567" s="8" t="s">
        <v>67</v>
      </c>
      <c r="B567" s="31" t="n">
        <f aca="false">SUMIFS(Détail!$E:$E,Détail!$D:$D,"COMMANDE",Détail!$A:$A,"&gt;="&amp;DATE(2025,3,1),Détail!$A:$A,"&lt;"&amp;EDATE(DATE(2025,3,1),1))</f>
        <v>0</v>
      </c>
    </row>
    <row r="568" customFormat="false" ht="15" hidden="false" customHeight="true" outlineLevel="0" collapsed="false">
      <c r="A568" s="8" t="s">
        <v>68</v>
      </c>
      <c r="B568" s="31" t="n">
        <f aca="false">SUMIFS(Détail!$E:$E,Détail!$D:$D,"COMMANDE",Détail!$A:$A,"&gt;="&amp;DATE(2025,4,1),Détail!$A:$A,"&lt;"&amp;EDATE(DATE(2025,4,1),1))</f>
        <v>0</v>
      </c>
    </row>
    <row r="569" customFormat="false" ht="15" hidden="false" customHeight="true" outlineLevel="0" collapsed="false">
      <c r="A569" s="8" t="s">
        <v>69</v>
      </c>
      <c r="B569" s="31" t="n">
        <f aca="false">SUMIFS(Détail!$E:$E,Détail!$D:$D,"COMMANDE",Détail!$A:$A,"&gt;="&amp;DATE(2025,5,1),Détail!$A:$A,"&lt;"&amp;EDATE(DATE(2025,5,1),1))</f>
        <v>0</v>
      </c>
    </row>
    <row r="570" customFormat="false" ht="15" hidden="false" customHeight="true" outlineLevel="0" collapsed="false">
      <c r="A570" s="8" t="s">
        <v>70</v>
      </c>
      <c r="B570" s="31" t="n">
        <f aca="false">SUMIFS(Détail!$E:$E,Détail!$D:$D,"COMMANDE",Détail!$A:$A,"&gt;="&amp;DATE(2025,6,1),Détail!$A:$A,"&lt;"&amp;EDATE(DATE(2025,6,1),1))</f>
        <v>-4.62</v>
      </c>
    </row>
    <row r="571" customFormat="false" ht="15" hidden="false" customHeight="true" outlineLevel="0" collapsed="false">
      <c r="A571" s="8" t="s">
        <v>71</v>
      </c>
      <c r="B571" s="31" t="n">
        <f aca="false">SUMIFS(Détail!$E:$E,Détail!$D:$D,"COMMANDE",Détail!$A:$A,"&gt;="&amp;DATE(2025,7,1),Détail!$A:$A,"&lt;"&amp;EDATE(DATE(2025,7,1),1))</f>
        <v>0</v>
      </c>
    </row>
    <row r="572" customFormat="false" ht="15" hidden="false" customHeight="true" outlineLevel="0" collapsed="false">
      <c r="A572" s="8" t="s">
        <v>72</v>
      </c>
      <c r="B572" s="31" t="n">
        <f aca="false">SUMIFS(Détail!$E:$E,Détail!$D:$D,"COMMANDE",Détail!$A:$A,"&gt;="&amp;DATE(2025,8,1),Détail!$A:$A,"&lt;"&amp;EDATE(DATE(2025,8,1),1))</f>
        <v>0</v>
      </c>
    </row>
    <row r="573" customFormat="false" ht="15" hidden="false" customHeight="true" outlineLevel="0" collapsed="false">
      <c r="A573" s="8" t="s">
        <v>73</v>
      </c>
      <c r="B573" s="31" t="n">
        <f aca="false">SUMIFS(Détail!$E:$E,Détail!$D:$D,"COMMANDE",Détail!$A:$A,"&gt;="&amp;DATE(2025,9,1),Détail!$A:$A,"&lt;"&amp;EDATE(DATE(2025,9,1),1))</f>
        <v>-4.62</v>
      </c>
    </row>
    <row r="574" customFormat="false" ht="15" hidden="false" customHeight="true" outlineLevel="0" collapsed="false">
      <c r="A574" s="8" t="s">
        <v>74</v>
      </c>
      <c r="B574" s="31" t="n">
        <f aca="false">SUMIFS(Détail!$E:$E,Détail!$D:$D,"COMMANDE",Détail!$A:$A,"&gt;="&amp;DATE(2025,10,1),Détail!$A:$A,"&lt;"&amp;EDATE(DATE(2025,10,1),1))</f>
        <v>0</v>
      </c>
    </row>
    <row r="575" customFormat="false" ht="15" hidden="false" customHeight="true" outlineLevel="0" collapsed="false">
      <c r="A575" s="8" t="s">
        <v>75</v>
      </c>
      <c r="B575" s="31" t="n">
        <f aca="false">SUMIFS(Détail!$E:$E,Détail!$D:$D,"COMMANDE",Détail!$A:$A,"&gt;="&amp;DATE(2025,11,1),Détail!$A:$A,"&lt;"&amp;EDATE(DATE(2025,11,1),1))</f>
        <v>0</v>
      </c>
    </row>
    <row r="576" customFormat="false" ht="15" hidden="false" customHeight="true" outlineLevel="0" collapsed="false">
      <c r="A576" s="8" t="s">
        <v>76</v>
      </c>
      <c r="B576" s="31" t="n">
        <f aca="false">SUMIFS(Détail!$E:$E,Détail!$D:$D,"COMMANDE",Détail!$A:$A,"&gt;="&amp;DATE(2025,12,1),Détail!$A:$A,"&lt;"&amp;EDATE(DATE(2025,12,1),1))</f>
        <v>0</v>
      </c>
    </row>
    <row r="579" customFormat="false" ht="15" hidden="false" customHeight="true" outlineLevel="0" collapsed="false">
      <c r="A579" s="29" t="s">
        <v>195</v>
      </c>
      <c r="B579" s="29"/>
      <c r="C579" s="30" t="n">
        <f aca="false">SUMIF(Détail!$D:$D,"COMPAGNIE EIFFA",Détail!$E:$E)</f>
        <v>-13.7</v>
      </c>
    </row>
    <row r="580" customFormat="false" ht="15" hidden="false" customHeight="true" outlineLevel="0" collapsed="false">
      <c r="A580" s="24" t="s">
        <v>63</v>
      </c>
      <c r="B580" s="24" t="s">
        <v>64</v>
      </c>
    </row>
    <row r="581" customFormat="false" ht="15" hidden="false" customHeight="true" outlineLevel="0" collapsed="false">
      <c r="A581" s="8" t="s">
        <v>65</v>
      </c>
      <c r="B581" s="31" t="n">
        <f aca="false">SUMIFS(Détail!$E:$E,Détail!$D:$D,"COMPAGNIE EIFFA",Détail!$A:$A,"&gt;="&amp;DATE(2025,1,1),Détail!$A:$A,"&lt;"&amp;EDATE(DATE(2025,1,1),1))</f>
        <v>0</v>
      </c>
    </row>
    <row r="582" customFormat="false" ht="15" hidden="false" customHeight="true" outlineLevel="0" collapsed="false">
      <c r="A582" s="8" t="s">
        <v>66</v>
      </c>
      <c r="B582" s="31" t="n">
        <f aca="false">SUMIFS(Détail!$E:$E,Détail!$D:$D,"COMPAGNIE EIFFA",Détail!$A:$A,"&gt;="&amp;DATE(2025,2,1),Détail!$A:$A,"&lt;"&amp;EDATE(DATE(2025,2,1),1))</f>
        <v>0</v>
      </c>
    </row>
    <row r="583" customFormat="false" ht="15" hidden="false" customHeight="true" outlineLevel="0" collapsed="false">
      <c r="A583" s="8" t="s">
        <v>67</v>
      </c>
      <c r="B583" s="31" t="n">
        <f aca="false">SUMIFS(Détail!$E:$E,Détail!$D:$D,"COMPAGNIE EIFFA",Détail!$A:$A,"&gt;="&amp;DATE(2025,3,1),Détail!$A:$A,"&lt;"&amp;EDATE(DATE(2025,3,1),1))</f>
        <v>0</v>
      </c>
    </row>
    <row r="584" customFormat="false" ht="15" hidden="false" customHeight="true" outlineLevel="0" collapsed="false">
      <c r="A584" s="8" t="s">
        <v>68</v>
      </c>
      <c r="B584" s="31" t="n">
        <f aca="false">SUMIFS(Détail!$E:$E,Détail!$D:$D,"COMPAGNIE EIFFA",Détail!$A:$A,"&gt;="&amp;DATE(2025,4,1),Détail!$A:$A,"&lt;"&amp;EDATE(DATE(2025,4,1),1))</f>
        <v>0</v>
      </c>
    </row>
    <row r="585" customFormat="false" ht="15" hidden="false" customHeight="true" outlineLevel="0" collapsed="false">
      <c r="A585" s="8" t="s">
        <v>69</v>
      </c>
      <c r="B585" s="31" t="n">
        <f aca="false">SUMIFS(Détail!$E:$E,Détail!$D:$D,"COMPAGNIE EIFFA",Détail!$A:$A,"&gt;="&amp;DATE(2025,5,1),Détail!$A:$A,"&lt;"&amp;EDATE(DATE(2025,5,1),1))</f>
        <v>0</v>
      </c>
    </row>
    <row r="586" customFormat="false" ht="15" hidden="false" customHeight="true" outlineLevel="0" collapsed="false">
      <c r="A586" s="8" t="s">
        <v>70</v>
      </c>
      <c r="B586" s="31" t="n">
        <f aca="false">SUMIFS(Détail!$E:$E,Détail!$D:$D,"COMPAGNIE EIFFA",Détail!$A:$A,"&gt;="&amp;DATE(2025,6,1),Détail!$A:$A,"&lt;"&amp;EDATE(DATE(2025,6,1),1))</f>
        <v>0</v>
      </c>
    </row>
    <row r="587" customFormat="false" ht="15" hidden="false" customHeight="true" outlineLevel="0" collapsed="false">
      <c r="A587" s="8" t="s">
        <v>71</v>
      </c>
      <c r="B587" s="31" t="n">
        <f aca="false">SUMIFS(Détail!$E:$E,Détail!$D:$D,"COMPAGNIE EIFFA",Détail!$A:$A,"&gt;="&amp;DATE(2025,7,1),Détail!$A:$A,"&lt;"&amp;EDATE(DATE(2025,7,1),1))</f>
        <v>-13.7</v>
      </c>
    </row>
    <row r="588" customFormat="false" ht="15" hidden="false" customHeight="true" outlineLevel="0" collapsed="false">
      <c r="A588" s="8" t="s">
        <v>72</v>
      </c>
      <c r="B588" s="31" t="n">
        <f aca="false">SUMIFS(Détail!$E:$E,Détail!$D:$D,"COMPAGNIE EIFFA",Détail!$A:$A,"&gt;="&amp;DATE(2025,8,1),Détail!$A:$A,"&lt;"&amp;EDATE(DATE(2025,8,1),1))</f>
        <v>0</v>
      </c>
    </row>
    <row r="589" customFormat="false" ht="15" hidden="false" customHeight="true" outlineLevel="0" collapsed="false">
      <c r="A589" s="8" t="s">
        <v>73</v>
      </c>
      <c r="B589" s="31" t="n">
        <f aca="false">SUMIFS(Détail!$E:$E,Détail!$D:$D,"COMPAGNIE EIFFA",Détail!$A:$A,"&gt;="&amp;DATE(2025,9,1),Détail!$A:$A,"&lt;"&amp;EDATE(DATE(2025,9,1),1))</f>
        <v>0</v>
      </c>
    </row>
    <row r="590" customFormat="false" ht="15" hidden="false" customHeight="true" outlineLevel="0" collapsed="false">
      <c r="A590" s="8" t="s">
        <v>74</v>
      </c>
      <c r="B590" s="31" t="n">
        <f aca="false">SUMIFS(Détail!$E:$E,Détail!$D:$D,"COMPAGNIE EIFFA",Détail!$A:$A,"&gt;="&amp;DATE(2025,10,1),Détail!$A:$A,"&lt;"&amp;EDATE(DATE(2025,10,1),1))</f>
        <v>0</v>
      </c>
    </row>
    <row r="591" customFormat="false" ht="15" hidden="false" customHeight="true" outlineLevel="0" collapsed="false">
      <c r="A591" s="8" t="s">
        <v>75</v>
      </c>
      <c r="B591" s="31" t="n">
        <f aca="false">SUMIFS(Détail!$E:$E,Détail!$D:$D,"COMPAGNIE EIFFA",Détail!$A:$A,"&gt;="&amp;DATE(2025,11,1),Détail!$A:$A,"&lt;"&amp;EDATE(DATE(2025,11,1),1))</f>
        <v>0</v>
      </c>
    </row>
    <row r="592" customFormat="false" ht="15" hidden="false" customHeight="true" outlineLevel="0" collapsed="false">
      <c r="A592" s="8" t="s">
        <v>76</v>
      </c>
      <c r="B592" s="31" t="n">
        <f aca="false">SUMIFS(Détail!$E:$E,Détail!$D:$D,"COMPAGNIE EIFFA",Détail!$A:$A,"&gt;="&amp;DATE(2025,12,1),Détail!$A:$A,"&lt;"&amp;EDATE(DATE(2025,12,1),1))</f>
        <v>0</v>
      </c>
    </row>
    <row r="595" customFormat="false" ht="15" hidden="false" customHeight="true" outlineLevel="0" collapsed="false">
      <c r="A595" s="29" t="s">
        <v>196</v>
      </c>
      <c r="B595" s="29"/>
      <c r="C595" s="30" t="n">
        <f aca="false">SUMIF(Détail!$D:$D,"CEVM NFC",Détail!$E:$E)</f>
        <v>-13.7</v>
      </c>
    </row>
    <row r="596" customFormat="false" ht="15" hidden="false" customHeight="true" outlineLevel="0" collapsed="false">
      <c r="A596" s="24" t="s">
        <v>63</v>
      </c>
      <c r="B596" s="24" t="s">
        <v>64</v>
      </c>
    </row>
    <row r="597" customFormat="false" ht="15" hidden="false" customHeight="true" outlineLevel="0" collapsed="false">
      <c r="A597" s="8" t="s">
        <v>65</v>
      </c>
      <c r="B597" s="31" t="n">
        <f aca="false">SUMIFS(Détail!$E:$E,Détail!$D:$D,"CEVM NFC",Détail!$A:$A,"&gt;="&amp;DATE(2025,1,1),Détail!$A:$A,"&lt;"&amp;EDATE(DATE(2025,1,1),1))</f>
        <v>0</v>
      </c>
    </row>
    <row r="598" customFormat="false" ht="15" hidden="false" customHeight="true" outlineLevel="0" collapsed="false">
      <c r="A598" s="8" t="s">
        <v>66</v>
      </c>
      <c r="B598" s="31" t="n">
        <f aca="false">SUMIFS(Détail!$E:$E,Détail!$D:$D,"CEVM NFC",Détail!$A:$A,"&gt;="&amp;DATE(2025,2,1),Détail!$A:$A,"&lt;"&amp;EDATE(DATE(2025,2,1),1))</f>
        <v>0</v>
      </c>
    </row>
    <row r="599" customFormat="false" ht="15" hidden="false" customHeight="true" outlineLevel="0" collapsed="false">
      <c r="A599" s="8" t="s">
        <v>67</v>
      </c>
      <c r="B599" s="31" t="n">
        <f aca="false">SUMIFS(Détail!$E:$E,Détail!$D:$D,"CEVM NFC",Détail!$A:$A,"&gt;="&amp;DATE(2025,3,1),Détail!$A:$A,"&lt;"&amp;EDATE(DATE(2025,3,1),1))</f>
        <v>0</v>
      </c>
    </row>
    <row r="600" customFormat="false" ht="15" hidden="false" customHeight="true" outlineLevel="0" collapsed="false">
      <c r="A600" s="8" t="s">
        <v>68</v>
      </c>
      <c r="B600" s="31" t="n">
        <f aca="false">SUMIFS(Détail!$E:$E,Détail!$D:$D,"CEVM NFC",Détail!$A:$A,"&gt;="&amp;DATE(2025,4,1),Détail!$A:$A,"&lt;"&amp;EDATE(DATE(2025,4,1),1))</f>
        <v>0</v>
      </c>
    </row>
    <row r="601" customFormat="false" ht="15" hidden="false" customHeight="true" outlineLevel="0" collapsed="false">
      <c r="A601" s="8" t="s">
        <v>69</v>
      </c>
      <c r="B601" s="31" t="n">
        <f aca="false">SUMIFS(Détail!$E:$E,Détail!$D:$D,"CEVM NFC",Détail!$A:$A,"&gt;="&amp;DATE(2025,5,1),Détail!$A:$A,"&lt;"&amp;EDATE(DATE(2025,5,1),1))</f>
        <v>0</v>
      </c>
    </row>
    <row r="602" customFormat="false" ht="15" hidden="false" customHeight="true" outlineLevel="0" collapsed="false">
      <c r="A602" s="8" t="s">
        <v>70</v>
      </c>
      <c r="B602" s="31" t="n">
        <f aca="false">SUMIFS(Détail!$E:$E,Détail!$D:$D,"CEVM NFC",Détail!$A:$A,"&gt;="&amp;DATE(2025,6,1),Détail!$A:$A,"&lt;"&amp;EDATE(DATE(2025,6,1),1))</f>
        <v>0</v>
      </c>
    </row>
    <row r="603" customFormat="false" ht="15" hidden="false" customHeight="true" outlineLevel="0" collapsed="false">
      <c r="A603" s="8" t="s">
        <v>71</v>
      </c>
      <c r="B603" s="31" t="n">
        <f aca="false">SUMIFS(Détail!$E:$E,Détail!$D:$D,"CEVM NFC",Détail!$A:$A,"&gt;="&amp;DATE(2025,7,1),Détail!$A:$A,"&lt;"&amp;EDATE(DATE(2025,7,1),1))</f>
        <v>0</v>
      </c>
    </row>
    <row r="604" customFormat="false" ht="15" hidden="false" customHeight="true" outlineLevel="0" collapsed="false">
      <c r="A604" s="8" t="s">
        <v>72</v>
      </c>
      <c r="B604" s="31" t="n">
        <f aca="false">SUMIFS(Détail!$E:$E,Détail!$D:$D,"CEVM NFC",Détail!$A:$A,"&gt;="&amp;DATE(2025,8,1),Détail!$A:$A,"&lt;"&amp;EDATE(DATE(2025,8,1),1))</f>
        <v>-13.7</v>
      </c>
    </row>
    <row r="605" customFormat="false" ht="15" hidden="false" customHeight="true" outlineLevel="0" collapsed="false">
      <c r="A605" s="8" t="s">
        <v>73</v>
      </c>
      <c r="B605" s="31" t="n">
        <f aca="false">SUMIFS(Détail!$E:$E,Détail!$D:$D,"CEVM NFC",Détail!$A:$A,"&gt;="&amp;DATE(2025,9,1),Détail!$A:$A,"&lt;"&amp;EDATE(DATE(2025,9,1),1))</f>
        <v>0</v>
      </c>
    </row>
    <row r="606" customFormat="false" ht="15" hidden="false" customHeight="true" outlineLevel="0" collapsed="false">
      <c r="A606" s="8" t="s">
        <v>74</v>
      </c>
      <c r="B606" s="31" t="n">
        <f aca="false">SUMIFS(Détail!$E:$E,Détail!$D:$D,"CEVM NFC",Détail!$A:$A,"&gt;="&amp;DATE(2025,10,1),Détail!$A:$A,"&lt;"&amp;EDATE(DATE(2025,10,1),1))</f>
        <v>0</v>
      </c>
    </row>
    <row r="607" customFormat="false" ht="15" hidden="false" customHeight="true" outlineLevel="0" collapsed="false">
      <c r="A607" s="8" t="s">
        <v>75</v>
      </c>
      <c r="B607" s="31" t="n">
        <f aca="false">SUMIFS(Détail!$E:$E,Détail!$D:$D,"CEVM NFC",Détail!$A:$A,"&gt;="&amp;DATE(2025,11,1),Détail!$A:$A,"&lt;"&amp;EDATE(DATE(2025,11,1),1))</f>
        <v>0</v>
      </c>
    </row>
    <row r="608" customFormat="false" ht="15" hidden="false" customHeight="true" outlineLevel="0" collapsed="false">
      <c r="A608" s="8" t="s">
        <v>76</v>
      </c>
      <c r="B608" s="31" t="n">
        <f aca="false">SUMIFS(Détail!$E:$E,Détail!$D:$D,"CEVM NFC",Détail!$A:$A,"&gt;="&amp;DATE(2025,12,1),Détail!$A:$A,"&lt;"&amp;EDATE(DATE(2025,12,1),1))</f>
        <v>0</v>
      </c>
    </row>
    <row r="611" customFormat="false" ht="15" hidden="false" customHeight="true" outlineLevel="0" collapsed="false">
      <c r="A611" s="29" t="s">
        <v>197</v>
      </c>
      <c r="B611" s="29"/>
      <c r="C611" s="30" t="n">
        <f aca="false">SUMIF(Détail!$D:$D,"SDC PARIS MASSE",Détail!$E:$E)</f>
        <v>-10.35</v>
      </c>
    </row>
    <row r="612" customFormat="false" ht="15" hidden="false" customHeight="true" outlineLevel="0" collapsed="false">
      <c r="A612" s="24" t="s">
        <v>63</v>
      </c>
      <c r="B612" s="24" t="s">
        <v>64</v>
      </c>
    </row>
    <row r="613" customFormat="false" ht="15" hidden="false" customHeight="true" outlineLevel="0" collapsed="false">
      <c r="A613" s="8" t="s">
        <v>65</v>
      </c>
      <c r="B613" s="31" t="n">
        <f aca="false">SUMIFS(Détail!$E:$E,Détail!$D:$D,"SDC PARIS MASSE",Détail!$A:$A,"&gt;="&amp;DATE(2025,1,1),Détail!$A:$A,"&lt;"&amp;EDATE(DATE(2025,1,1),1))</f>
        <v>0</v>
      </c>
    </row>
    <row r="614" customFormat="false" ht="15" hidden="false" customHeight="true" outlineLevel="0" collapsed="false">
      <c r="A614" s="8" t="s">
        <v>66</v>
      </c>
      <c r="B614" s="31" t="n">
        <f aca="false">SUMIFS(Détail!$E:$E,Détail!$D:$D,"SDC PARIS MASSE",Détail!$A:$A,"&gt;="&amp;DATE(2025,2,1),Détail!$A:$A,"&lt;"&amp;EDATE(DATE(2025,2,1),1))</f>
        <v>0</v>
      </c>
    </row>
    <row r="615" customFormat="false" ht="15" hidden="false" customHeight="true" outlineLevel="0" collapsed="false">
      <c r="A615" s="8" t="s">
        <v>67</v>
      </c>
      <c r="B615" s="31" t="n">
        <f aca="false">SUMIFS(Détail!$E:$E,Détail!$D:$D,"SDC PARIS MASSE",Détail!$A:$A,"&gt;="&amp;DATE(2025,3,1),Détail!$A:$A,"&lt;"&amp;EDATE(DATE(2025,3,1),1))</f>
        <v>0</v>
      </c>
    </row>
    <row r="616" customFormat="false" ht="15" hidden="false" customHeight="true" outlineLevel="0" collapsed="false">
      <c r="A616" s="8" t="s">
        <v>68</v>
      </c>
      <c r="B616" s="31" t="n">
        <f aca="false">SUMIFS(Détail!$E:$E,Détail!$D:$D,"SDC PARIS MASSE",Détail!$A:$A,"&gt;="&amp;DATE(2025,4,1),Détail!$A:$A,"&lt;"&amp;EDATE(DATE(2025,4,1),1))</f>
        <v>0</v>
      </c>
    </row>
    <row r="617" customFormat="false" ht="15" hidden="false" customHeight="true" outlineLevel="0" collapsed="false">
      <c r="A617" s="8" t="s">
        <v>69</v>
      </c>
      <c r="B617" s="31" t="n">
        <f aca="false">SUMIFS(Détail!$E:$E,Détail!$D:$D,"SDC PARIS MASSE",Détail!$A:$A,"&gt;="&amp;DATE(2025,5,1),Détail!$A:$A,"&lt;"&amp;EDATE(DATE(2025,5,1),1))</f>
        <v>0</v>
      </c>
    </row>
    <row r="618" customFormat="false" ht="15" hidden="false" customHeight="true" outlineLevel="0" collapsed="false">
      <c r="A618" s="8" t="s">
        <v>70</v>
      </c>
      <c r="B618" s="31" t="n">
        <f aca="false">SUMIFS(Détail!$E:$E,Détail!$D:$D,"SDC PARIS MASSE",Détail!$A:$A,"&gt;="&amp;DATE(2025,6,1),Détail!$A:$A,"&lt;"&amp;EDATE(DATE(2025,6,1),1))</f>
        <v>-10.35</v>
      </c>
    </row>
    <row r="619" customFormat="false" ht="15" hidden="false" customHeight="true" outlineLevel="0" collapsed="false">
      <c r="A619" s="8" t="s">
        <v>71</v>
      </c>
      <c r="B619" s="31" t="n">
        <f aca="false">SUMIFS(Détail!$E:$E,Détail!$D:$D,"SDC PARIS MASSE",Détail!$A:$A,"&gt;="&amp;DATE(2025,7,1),Détail!$A:$A,"&lt;"&amp;EDATE(DATE(2025,7,1),1))</f>
        <v>0</v>
      </c>
    </row>
    <row r="620" customFormat="false" ht="15" hidden="false" customHeight="true" outlineLevel="0" collapsed="false">
      <c r="A620" s="8" t="s">
        <v>72</v>
      </c>
      <c r="B620" s="31" t="n">
        <f aca="false">SUMIFS(Détail!$E:$E,Détail!$D:$D,"SDC PARIS MASSE",Détail!$A:$A,"&gt;="&amp;DATE(2025,8,1),Détail!$A:$A,"&lt;"&amp;EDATE(DATE(2025,8,1),1))</f>
        <v>0</v>
      </c>
    </row>
    <row r="621" customFormat="false" ht="15" hidden="false" customHeight="true" outlineLevel="0" collapsed="false">
      <c r="A621" s="8" t="s">
        <v>73</v>
      </c>
      <c r="B621" s="31" t="n">
        <f aca="false">SUMIFS(Détail!$E:$E,Détail!$D:$D,"SDC PARIS MASSE",Détail!$A:$A,"&gt;="&amp;DATE(2025,9,1),Détail!$A:$A,"&lt;"&amp;EDATE(DATE(2025,9,1),1))</f>
        <v>0</v>
      </c>
    </row>
    <row r="622" customFormat="false" ht="15" hidden="false" customHeight="true" outlineLevel="0" collapsed="false">
      <c r="A622" s="8" t="s">
        <v>74</v>
      </c>
      <c r="B622" s="31" t="n">
        <f aca="false">SUMIFS(Détail!$E:$E,Détail!$D:$D,"SDC PARIS MASSE",Détail!$A:$A,"&gt;="&amp;DATE(2025,10,1),Détail!$A:$A,"&lt;"&amp;EDATE(DATE(2025,10,1),1))</f>
        <v>0</v>
      </c>
    </row>
    <row r="623" customFormat="false" ht="15" hidden="false" customHeight="true" outlineLevel="0" collapsed="false">
      <c r="A623" s="8" t="s">
        <v>75</v>
      </c>
      <c r="B623" s="31" t="n">
        <f aca="false">SUMIFS(Détail!$E:$E,Détail!$D:$D,"SDC PARIS MASSE",Détail!$A:$A,"&gt;="&amp;DATE(2025,11,1),Détail!$A:$A,"&lt;"&amp;EDATE(DATE(2025,11,1),1))</f>
        <v>0</v>
      </c>
    </row>
    <row r="624" customFormat="false" ht="15" hidden="false" customHeight="true" outlineLevel="0" collapsed="false">
      <c r="A624" s="8" t="s">
        <v>76</v>
      </c>
      <c r="B624" s="31" t="n">
        <f aca="false">SUMIFS(Détail!$E:$E,Détail!$D:$D,"SDC PARIS MASSE",Détail!$A:$A,"&gt;="&amp;DATE(2025,12,1),Détail!$A:$A,"&lt;"&amp;EDATE(DATE(2025,12,1),1))</f>
        <v>0</v>
      </c>
    </row>
  </sheetData>
  <mergeCells count="39">
    <mergeCell ref="A3:B3"/>
    <mergeCell ref="A19:B19"/>
    <mergeCell ref="A35:B35"/>
    <mergeCell ref="A51:B51"/>
    <mergeCell ref="A67:B67"/>
    <mergeCell ref="A83:B83"/>
    <mergeCell ref="A99:B99"/>
    <mergeCell ref="A115:B115"/>
    <mergeCell ref="A131:B131"/>
    <mergeCell ref="A147:B147"/>
    <mergeCell ref="A163:B163"/>
    <mergeCell ref="A179:B179"/>
    <mergeCell ref="A195:B195"/>
    <mergeCell ref="A211:B211"/>
    <mergeCell ref="A227:B227"/>
    <mergeCell ref="A243:B243"/>
    <mergeCell ref="A259:B259"/>
    <mergeCell ref="A275:B275"/>
    <mergeCell ref="A291:B291"/>
    <mergeCell ref="A307:B307"/>
    <mergeCell ref="A323:B323"/>
    <mergeCell ref="A339:B339"/>
    <mergeCell ref="A355:B355"/>
    <mergeCell ref="A371:B371"/>
    <mergeCell ref="A387:B387"/>
    <mergeCell ref="A403:B403"/>
    <mergeCell ref="A419:B419"/>
    <mergeCell ref="A435:B435"/>
    <mergeCell ref="A451:B451"/>
    <mergeCell ref="A467:B467"/>
    <mergeCell ref="A483:B483"/>
    <mergeCell ref="A499:B499"/>
    <mergeCell ref="A515:B515"/>
    <mergeCell ref="A531:B531"/>
    <mergeCell ref="A547:B547"/>
    <mergeCell ref="A563:B563"/>
    <mergeCell ref="A579:B579"/>
    <mergeCell ref="A595:B595"/>
    <mergeCell ref="A611:B6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198</v>
      </c>
    </row>
    <row r="3" customFormat="false" ht="15" hidden="false" customHeight="true" outlineLevel="0" collapsed="false">
      <c r="A3" s="29" t="s">
        <v>199</v>
      </c>
      <c r="B3" s="29"/>
      <c r="C3" s="30" t="n">
        <f aca="false">SUMIF(Détail!$D:$D,"TOTALENERGIES ELECTRICITE ET GAZ FRANCE",Détail!$E:$E)</f>
        <v>-8727.96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SUMIFS(Détail!$E:$E,Détail!$D:$D,"TOTALENERGIES ELECTRICITE ET GAZ FRANCE",Détail!$A:$A,"&gt;="&amp;DATE(2025,1,1),Détail!$A:$A,"&lt;"&amp;EDATE(DATE(2025,1,1),1))</f>
        <v>-2033.74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SUMIFS(Détail!$E:$E,Détail!$D:$D,"TOTALENERGIES ELECTRICITE ET GAZ FRANCE",Détail!$A:$A,"&gt;="&amp;DATE(2025,2,1),Détail!$A:$A,"&lt;"&amp;EDATE(DATE(2025,2,1),1))</f>
        <v>-179.27</v>
      </c>
    </row>
    <row r="7" customFormat="false" ht="15" hidden="false" customHeight="true" outlineLevel="0" collapsed="false">
      <c r="A7" s="8" t="s">
        <v>67</v>
      </c>
      <c r="B7" s="31" t="n">
        <f aca="false">SUMIFS(Détail!$E:$E,Détail!$D:$D,"TOTALENERGIES ELECTRICITE ET GAZ FRANCE",Détail!$A:$A,"&gt;="&amp;DATE(2025,3,1),Détail!$A:$A,"&lt;"&amp;EDATE(DATE(2025,3,1),1))</f>
        <v>-1983.15</v>
      </c>
    </row>
    <row r="8" customFormat="false" ht="15" hidden="false" customHeight="true" outlineLevel="0" collapsed="false">
      <c r="A8" s="8" t="s">
        <v>68</v>
      </c>
      <c r="B8" s="31" t="n">
        <f aca="false">SUMIFS(Détail!$E:$E,Détail!$D:$D,"TOTALENERGIES ELECTRICITE ET GAZ FRANCE",Détail!$A:$A,"&gt;="&amp;DATE(2025,4,1),Détail!$A:$A,"&lt;"&amp;EDATE(DATE(2025,4,1),1))</f>
        <v>-187.16</v>
      </c>
    </row>
    <row r="9" customFormat="false" ht="15" hidden="false" customHeight="true" outlineLevel="0" collapsed="false">
      <c r="A9" s="8" t="s">
        <v>69</v>
      </c>
      <c r="B9" s="31" t="n">
        <f aca="false">SUMIFS(Détail!$E:$E,Détail!$D:$D,"TOTALENERGIES ELECTRICITE ET GAZ FRANCE",Détail!$A:$A,"&gt;="&amp;DATE(2025,5,1),Détail!$A:$A,"&lt;"&amp;EDATE(DATE(2025,5,1),1))</f>
        <v>-707.99</v>
      </c>
    </row>
    <row r="10" customFormat="false" ht="15" hidden="false" customHeight="true" outlineLevel="0" collapsed="false">
      <c r="A10" s="8" t="s">
        <v>70</v>
      </c>
      <c r="B10" s="31" t="n">
        <f aca="false">SUMIFS(Détail!$E:$E,Détail!$D:$D,"TOTALENERGIES ELECTRICITE ET GAZ FRANCE",Détail!$A:$A,"&gt;="&amp;DATE(2025,6,1),Détail!$A:$A,"&lt;"&amp;EDATE(DATE(2025,6,1),1))</f>
        <v>-403.51</v>
      </c>
    </row>
    <row r="11" customFormat="false" ht="15" hidden="false" customHeight="true" outlineLevel="0" collapsed="false">
      <c r="A11" s="8" t="s">
        <v>71</v>
      </c>
      <c r="B11" s="31" t="n">
        <f aca="false">SUMIFS(Détail!$E:$E,Détail!$D:$D,"TOTALENERGIES ELECTRICITE ET GAZ FRANCE",Détail!$A:$A,"&gt;="&amp;DATE(2025,7,1),Détail!$A:$A,"&lt;"&amp;EDATE(DATE(2025,7,1),1))</f>
        <v>-415.36</v>
      </c>
    </row>
    <row r="12" customFormat="false" ht="15" hidden="false" customHeight="true" outlineLevel="0" collapsed="false">
      <c r="A12" s="8" t="s">
        <v>73</v>
      </c>
      <c r="B12" s="31" t="n">
        <f aca="false">SUMIFS(Détail!$E:$E,Détail!$D:$D,"TOTALENERGIES ELECTRICITE ET GAZ FRANCE",Détail!$A:$A,"&gt;="&amp;DATE(2025,9,1),Détail!$A:$A,"&lt;"&amp;EDATE(DATE(2025,9,1),1))</f>
        <v>-213.49</v>
      </c>
    </row>
    <row r="13" customFormat="false" ht="15" hidden="false" customHeight="true" outlineLevel="0" collapsed="false">
      <c r="A13" s="8" t="s">
        <v>74</v>
      </c>
      <c r="B13" s="31" t="n">
        <f aca="false">SUMIFS(Détail!$E:$E,Détail!$D:$D,"TOTALENERGIES ELECTRICITE ET GAZ FRANCE",Détail!$A:$A,"&gt;="&amp;DATE(2025,10,1),Détail!$A:$A,"&lt;"&amp;EDATE(DATE(2025,10,1),1))</f>
        <v>-651.02</v>
      </c>
    </row>
    <row r="14" customFormat="false" ht="15" hidden="false" customHeight="true" outlineLevel="0" collapsed="false">
      <c r="A14" s="8" t="s">
        <v>75</v>
      </c>
      <c r="B14" s="31" t="n">
        <f aca="false">SUMIFS(Détail!$E:$E,Détail!$D:$D,"TOTALENERGIES ELECTRICITE ET GAZ FRANCE",Détail!$A:$A,"&gt;="&amp;DATE(2025,11,1),Détail!$A:$A,"&lt;"&amp;EDATE(DATE(2025,11,1),1))</f>
        <v>-207.3</v>
      </c>
    </row>
    <row r="15" customFormat="false" ht="15" hidden="false" customHeight="true" outlineLevel="0" collapsed="false">
      <c r="A15" s="8" t="s">
        <v>76</v>
      </c>
      <c r="B15" s="31" t="n">
        <f aca="false">SUMIFS(Détail!$E:$E,Détail!$D:$D,"TOTALENERGIES ELECTRICITE ET GAZ FRANCE",Détail!$A:$A,"&gt;="&amp;DATE(2025,12,1),Détail!$A:$A,"&lt;"&amp;EDATE(DATE(2025,12,1),1))</f>
        <v>-1745.97</v>
      </c>
    </row>
  </sheetData>
  <mergeCells count="1"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200</v>
      </c>
    </row>
    <row r="3" customFormat="false" ht="15" hidden="false" customHeight="true" outlineLevel="0" collapsed="false">
      <c r="A3" s="29" t="s">
        <v>201</v>
      </c>
      <c r="B3" s="29"/>
      <c r="C3" s="30" t="n">
        <f aca="false">SUMIF(Détail!$D:$D,"CABINET SAS DARAN",Détail!$E:$E)</f>
        <v>-6812.93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SUMIFS(Détail!$E:$E,Détail!$D:$D,"CABINET SAS DARAN",Détail!$A:$A,"&gt;="&amp;DATE(2025,1,1),Détail!$A:$A,"&lt;"&amp;EDATE(DATE(2025,1,1),1))</f>
        <v>-420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SUMIFS(Détail!$E:$E,Détail!$D:$D,"CABINET SAS DARAN",Détail!$A:$A,"&gt;="&amp;DATE(2025,2,1),Détail!$A:$A,"&lt;"&amp;EDATE(DATE(2025,2,1),1))</f>
        <v>-420</v>
      </c>
    </row>
    <row r="7" customFormat="false" ht="15" hidden="false" customHeight="true" outlineLevel="0" collapsed="false">
      <c r="A7" s="8" t="s">
        <v>67</v>
      </c>
      <c r="B7" s="31" t="n">
        <f aca="false">SUMIFS(Détail!$E:$E,Détail!$D:$D,"CABINET SAS DARAN",Détail!$A:$A,"&gt;="&amp;DATE(2025,3,1),Détail!$A:$A,"&lt;"&amp;EDATE(DATE(2025,3,1),1))</f>
        <v>-420</v>
      </c>
    </row>
    <row r="8" customFormat="false" ht="15" hidden="false" customHeight="true" outlineLevel="0" collapsed="false">
      <c r="A8" s="8" t="s">
        <v>68</v>
      </c>
      <c r="B8" s="31" t="n">
        <f aca="false">SUMIFS(Détail!$E:$E,Détail!$D:$D,"CABINET SAS DARAN",Détail!$A:$A,"&gt;="&amp;DATE(2025,4,1),Détail!$A:$A,"&lt;"&amp;EDATE(DATE(2025,4,1),1))</f>
        <v>-420</v>
      </c>
    </row>
    <row r="9" customFormat="false" ht="15" hidden="false" customHeight="true" outlineLevel="0" collapsed="false">
      <c r="A9" s="8" t="s">
        <v>69</v>
      </c>
      <c r="B9" s="31" t="n">
        <f aca="false">SUMIFS(Détail!$E:$E,Détail!$D:$D,"CABINET SAS DARAN",Détail!$A:$A,"&gt;="&amp;DATE(2025,5,1),Détail!$A:$A,"&lt;"&amp;EDATE(DATE(2025,5,1),1))</f>
        <v>-504</v>
      </c>
    </row>
    <row r="10" customFormat="false" ht="15" hidden="false" customHeight="true" outlineLevel="0" collapsed="false">
      <c r="A10" s="8" t="s">
        <v>70</v>
      </c>
      <c r="B10" s="31" t="n">
        <f aca="false">SUMIFS(Détail!$E:$E,Détail!$D:$D,"CABINET SAS DARAN",Détail!$A:$A,"&gt;="&amp;DATE(2025,6,1),Détail!$A:$A,"&lt;"&amp;EDATE(DATE(2025,6,1),1))</f>
        <v>-504</v>
      </c>
    </row>
    <row r="11" customFormat="false" ht="15" hidden="false" customHeight="true" outlineLevel="0" collapsed="false">
      <c r="A11" s="8" t="s">
        <v>71</v>
      </c>
      <c r="B11" s="31" t="n">
        <f aca="false">SUMIFS(Détail!$E:$E,Détail!$D:$D,"CABINET SAS DARAN",Détail!$A:$A,"&gt;="&amp;DATE(2025,7,1),Détail!$A:$A,"&lt;"&amp;EDATE(DATE(2025,7,1),1))</f>
        <v>-504</v>
      </c>
    </row>
    <row r="12" customFormat="false" ht="15" hidden="false" customHeight="true" outlineLevel="0" collapsed="false">
      <c r="A12" s="8" t="s">
        <v>72</v>
      </c>
      <c r="B12" s="31" t="n">
        <f aca="false">SUMIFS(Détail!$E:$E,Détail!$D:$D,"CABINET SAS DARAN",Détail!$A:$A,"&gt;="&amp;DATE(2025,8,1),Détail!$A:$A,"&lt;"&amp;EDATE(DATE(2025,8,1),1))</f>
        <v>-1604.93</v>
      </c>
    </row>
    <row r="13" customFormat="false" ht="15" hidden="false" customHeight="true" outlineLevel="0" collapsed="false">
      <c r="A13" s="8" t="s">
        <v>73</v>
      </c>
      <c r="B13" s="31" t="n">
        <f aca="false">SUMIFS(Détail!$E:$E,Détail!$D:$D,"CABINET SAS DARAN",Détail!$A:$A,"&gt;="&amp;DATE(2025,9,1),Détail!$A:$A,"&lt;"&amp;EDATE(DATE(2025,9,1),1))</f>
        <v>-504</v>
      </c>
    </row>
    <row r="14" customFormat="false" ht="15" hidden="false" customHeight="true" outlineLevel="0" collapsed="false">
      <c r="A14" s="8" t="s">
        <v>74</v>
      </c>
      <c r="B14" s="31" t="n">
        <f aca="false">SUMIFS(Détail!$E:$E,Détail!$D:$D,"CABINET SAS DARAN",Détail!$A:$A,"&gt;="&amp;DATE(2025,10,1),Détail!$A:$A,"&lt;"&amp;EDATE(DATE(2025,10,1),1))</f>
        <v>-504</v>
      </c>
    </row>
    <row r="15" customFormat="false" ht="15" hidden="false" customHeight="true" outlineLevel="0" collapsed="false">
      <c r="A15" s="8" t="s">
        <v>75</v>
      </c>
      <c r="B15" s="31" t="n">
        <f aca="false">SUMIFS(Détail!$E:$E,Détail!$D:$D,"CABINET SAS DARAN",Détail!$A:$A,"&gt;="&amp;DATE(2025,11,1),Détail!$A:$A,"&lt;"&amp;EDATE(DATE(2025,11,1),1))</f>
        <v>-504</v>
      </c>
    </row>
    <row r="16" customFormat="false" ht="15" hidden="false" customHeight="true" outlineLevel="0" collapsed="false">
      <c r="A16" s="8" t="s">
        <v>76</v>
      </c>
      <c r="B16" s="31" t="n">
        <f aca="false">SUMIFS(Détail!$E:$E,Détail!$D:$D,"CABINET SAS DARAN",Détail!$A:$A,"&gt;="&amp;DATE(2025,12,1),Détail!$A:$A,"&lt;"&amp;EDATE(DATE(2025,12,1),1))</f>
        <v>-504</v>
      </c>
    </row>
    <row r="19" customFormat="false" ht="15" hidden="false" customHeight="true" outlineLevel="0" collapsed="false">
      <c r="A19" s="29" t="s">
        <v>202</v>
      </c>
      <c r="B19" s="29"/>
      <c r="C19" s="30" t="n">
        <f aca="false">SUMIF(Détail!$D:$D,"EBP FRANCE-E B P INFORMATIQUE",Détail!$E:$E)</f>
        <v>-504</v>
      </c>
    </row>
    <row r="20" customFormat="false" ht="15" hidden="false" customHeight="true" outlineLevel="0" collapsed="false">
      <c r="A20" s="24" t="s">
        <v>63</v>
      </c>
      <c r="B20" s="24" t="s">
        <v>64</v>
      </c>
    </row>
    <row r="21" customFormat="false" ht="15" hidden="false" customHeight="true" outlineLevel="0" collapsed="false">
      <c r="A21" s="8" t="s">
        <v>65</v>
      </c>
      <c r="B21" s="31" t="n">
        <f aca="false">SUMIFS(Détail!$E:$E,Détail!$D:$D,"EBP FRANCE-E B P INFORMATIQUE",Détail!$A:$A,"&gt;="&amp;DATE(2025,1,1),Détail!$A:$A,"&lt;"&amp;EDATE(DATE(2025,1,1),1))</f>
        <v>0</v>
      </c>
    </row>
    <row r="22" customFormat="false" ht="15" hidden="false" customHeight="true" outlineLevel="0" collapsed="false">
      <c r="A22" s="8" t="s">
        <v>66</v>
      </c>
      <c r="B22" s="31" t="n">
        <f aca="false">SUMIFS(Détail!$E:$E,Détail!$D:$D,"EBP FRANCE-E B P INFORMATIQUE",Détail!$A:$A,"&gt;="&amp;DATE(2025,2,1),Détail!$A:$A,"&lt;"&amp;EDATE(DATE(2025,2,1),1))</f>
        <v>-504</v>
      </c>
    </row>
    <row r="23" customFormat="false" ht="15" hidden="false" customHeight="true" outlineLevel="0" collapsed="false">
      <c r="A23" s="8" t="s">
        <v>67</v>
      </c>
      <c r="B23" s="31" t="n">
        <f aca="false">SUMIFS(Détail!$E:$E,Détail!$D:$D,"EBP FRANCE-E B P INFORMATIQUE",Détail!$A:$A,"&gt;="&amp;DATE(2025,3,1),Détail!$A:$A,"&lt;"&amp;EDATE(DATE(2025,3,1),1))</f>
        <v>0</v>
      </c>
    </row>
    <row r="24" customFormat="false" ht="15" hidden="false" customHeight="true" outlineLevel="0" collapsed="false">
      <c r="A24" s="8" t="s">
        <v>68</v>
      </c>
      <c r="B24" s="31" t="n">
        <f aca="false">SUMIFS(Détail!$E:$E,Détail!$D:$D,"EBP FRANCE-E B P INFORMATIQUE",Détail!$A:$A,"&gt;="&amp;DATE(2025,4,1),Détail!$A:$A,"&lt;"&amp;EDATE(DATE(2025,4,1),1))</f>
        <v>0</v>
      </c>
    </row>
    <row r="25" customFormat="false" ht="15" hidden="false" customHeight="true" outlineLevel="0" collapsed="false">
      <c r="A25" s="8" t="s">
        <v>69</v>
      </c>
      <c r="B25" s="31" t="n">
        <f aca="false">SUMIFS(Détail!$E:$E,Détail!$D:$D,"EBP FRANCE-E B P INFORMATIQUE",Détail!$A:$A,"&gt;="&amp;DATE(2025,5,1),Détail!$A:$A,"&lt;"&amp;EDATE(DATE(2025,5,1),1))</f>
        <v>0</v>
      </c>
    </row>
    <row r="26" customFormat="false" ht="15" hidden="false" customHeight="true" outlineLevel="0" collapsed="false">
      <c r="A26" s="8" t="s">
        <v>70</v>
      </c>
      <c r="B26" s="31" t="n">
        <f aca="false">SUMIFS(Détail!$E:$E,Détail!$D:$D,"EBP FRANCE-E B P INFORMATIQUE",Détail!$A:$A,"&gt;="&amp;DATE(2025,6,1),Détail!$A:$A,"&lt;"&amp;EDATE(DATE(2025,6,1),1))</f>
        <v>0</v>
      </c>
    </row>
    <row r="27" customFormat="false" ht="15" hidden="false" customHeight="true" outlineLevel="0" collapsed="false">
      <c r="A27" s="8" t="s">
        <v>71</v>
      </c>
      <c r="B27" s="31" t="n">
        <f aca="false">SUMIFS(Détail!$E:$E,Détail!$D:$D,"EBP FRANCE-E B P INFORMATIQUE",Détail!$A:$A,"&gt;="&amp;DATE(2025,7,1),Détail!$A:$A,"&lt;"&amp;EDATE(DATE(2025,7,1),1))</f>
        <v>0</v>
      </c>
    </row>
    <row r="28" customFormat="false" ht="15" hidden="false" customHeight="true" outlineLevel="0" collapsed="false">
      <c r="A28" s="8" t="s">
        <v>72</v>
      </c>
      <c r="B28" s="31" t="n">
        <f aca="false">SUMIFS(Détail!$E:$E,Détail!$D:$D,"EBP FRANCE-E B P INFORMATIQUE",Détail!$A:$A,"&gt;="&amp;DATE(2025,8,1),Détail!$A:$A,"&lt;"&amp;EDATE(DATE(2025,8,1),1))</f>
        <v>0</v>
      </c>
    </row>
    <row r="29" customFormat="false" ht="15" hidden="false" customHeight="true" outlineLevel="0" collapsed="false">
      <c r="A29" s="8" t="s">
        <v>73</v>
      </c>
      <c r="B29" s="31" t="n">
        <f aca="false">SUMIFS(Détail!$E:$E,Détail!$D:$D,"EBP FRANCE-E B P INFORMATIQUE",Détail!$A:$A,"&gt;="&amp;DATE(2025,9,1),Détail!$A:$A,"&lt;"&amp;EDATE(DATE(2025,9,1),1))</f>
        <v>0</v>
      </c>
    </row>
    <row r="30" customFormat="false" ht="15" hidden="false" customHeight="true" outlineLevel="0" collapsed="false">
      <c r="A30" s="8" t="s">
        <v>74</v>
      </c>
      <c r="B30" s="31" t="n">
        <f aca="false">SUMIFS(Détail!$E:$E,Détail!$D:$D,"EBP FRANCE-E B P INFORMATIQUE",Détail!$A:$A,"&gt;="&amp;DATE(2025,10,1),Détail!$A:$A,"&lt;"&amp;EDATE(DATE(2025,10,1),1))</f>
        <v>0</v>
      </c>
    </row>
    <row r="31" customFormat="false" ht="15" hidden="false" customHeight="true" outlineLevel="0" collapsed="false">
      <c r="A31" s="8" t="s">
        <v>75</v>
      </c>
      <c r="B31" s="31" t="n">
        <f aca="false">SUMIFS(Détail!$E:$E,Détail!$D:$D,"EBP FRANCE-E B P INFORMATIQUE",Détail!$A:$A,"&gt;="&amp;DATE(2025,11,1),Détail!$A:$A,"&lt;"&amp;EDATE(DATE(2025,11,1),1))</f>
        <v>0</v>
      </c>
    </row>
    <row r="32" customFormat="false" ht="15" hidden="false" customHeight="true" outlineLevel="0" collapsed="false">
      <c r="A32" s="8" t="s">
        <v>76</v>
      </c>
      <c r="B32" s="31" t="n">
        <f aca="false">SUMIFS(Détail!$E:$E,Détail!$D:$D,"EBP FRANCE-E B P INFORMATIQUE",Détail!$A:$A,"&gt;="&amp;DATE(2025,12,1),Détail!$A:$A,"&lt;"&amp;EDATE(DATE(2025,12,1),1))</f>
        <v>0</v>
      </c>
    </row>
  </sheetData>
  <mergeCells count="2">
    <mergeCell ref="A3:B3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203</v>
      </c>
    </row>
    <row r="2" customFormat="false" ht="15" hidden="false" customHeight="true" outlineLevel="0" collapsed="false">
      <c r="A2" s="33" t="s">
        <v>204</v>
      </c>
    </row>
    <row r="4" customFormat="false" ht="15" hidden="false" customHeight="true" outlineLevel="0" collapsed="false">
      <c r="A4" s="29" t="s">
        <v>205</v>
      </c>
      <c r="B4" s="29"/>
      <c r="C4" s="30" t="n">
        <f aca="false">SUMIF(Détail!$C:$C,"INTERETS",Détail!$E:$E)</f>
        <v>-1601.29</v>
      </c>
    </row>
    <row r="5" customFormat="false" ht="15" hidden="false" customHeight="true" outlineLevel="0" collapsed="false">
      <c r="A5" s="24" t="s">
        <v>63</v>
      </c>
      <c r="B5" s="24" t="s">
        <v>64</v>
      </c>
    </row>
    <row r="6" customFormat="false" ht="15" hidden="false" customHeight="true" outlineLevel="0" collapsed="false">
      <c r="A6" s="8" t="s">
        <v>65</v>
      </c>
      <c r="B6" s="31" t="n">
        <f aca="false">SUMIFS(Détail!$E:$E,Détail!$C:$C,"INTERETS",Détail!$A:$A,"&gt;="&amp;DATE(2025,1,1),Détail!$A:$A,"&lt;"&amp;EDATE(DATE(2025,1,1),1))</f>
        <v>-292.18</v>
      </c>
    </row>
    <row r="7" customFormat="false" ht="15" hidden="false" customHeight="true" outlineLevel="0" collapsed="false">
      <c r="A7" s="8" t="s">
        <v>66</v>
      </c>
      <c r="B7" s="31" t="n">
        <f aca="false">SUMIFS(Détail!$E:$E,Détail!$C:$C,"INTERETS",Détail!$A:$A,"&gt;="&amp;DATE(2025,2,1),Détail!$A:$A,"&lt;"&amp;EDATE(DATE(2025,2,1),1))</f>
        <v>0</v>
      </c>
    </row>
    <row r="8" customFormat="false" ht="15" hidden="false" customHeight="true" outlineLevel="0" collapsed="false">
      <c r="A8" s="8" t="s">
        <v>67</v>
      </c>
      <c r="B8" s="31" t="n">
        <f aca="false">SUMIFS(Détail!$E:$E,Détail!$C:$C,"INTERETS",Détail!$A:$A,"&gt;="&amp;DATE(2025,3,1),Détail!$A:$A,"&lt;"&amp;EDATE(DATE(2025,3,1),1))</f>
        <v>0</v>
      </c>
    </row>
    <row r="9" customFormat="false" ht="15" hidden="false" customHeight="true" outlineLevel="0" collapsed="false">
      <c r="A9" s="8" t="s">
        <v>68</v>
      </c>
      <c r="B9" s="31" t="n">
        <f aca="false">SUMIFS(Détail!$E:$E,Détail!$C:$C,"INTERETS",Détail!$A:$A,"&gt;="&amp;DATE(2025,4,1),Détail!$A:$A,"&lt;"&amp;EDATE(DATE(2025,4,1),1))</f>
        <v>-392.69</v>
      </c>
    </row>
    <row r="10" customFormat="false" ht="15" hidden="false" customHeight="true" outlineLevel="0" collapsed="false">
      <c r="A10" s="8" t="s">
        <v>69</v>
      </c>
      <c r="B10" s="31" t="n">
        <f aca="false">SUMIFS(Détail!$E:$E,Détail!$C:$C,"INTERETS",Détail!$A:$A,"&gt;="&amp;DATE(2025,5,1),Détail!$A:$A,"&lt;"&amp;EDATE(DATE(2025,5,1),1))</f>
        <v>0</v>
      </c>
    </row>
    <row r="11" customFormat="false" ht="15" hidden="false" customHeight="true" outlineLevel="0" collapsed="false">
      <c r="A11" s="8" t="s">
        <v>70</v>
      </c>
      <c r="B11" s="31" t="n">
        <f aca="false">SUMIFS(Détail!$E:$E,Détail!$C:$C,"INTERETS",Détail!$A:$A,"&gt;="&amp;DATE(2025,6,1),Détail!$A:$A,"&lt;"&amp;EDATE(DATE(2025,6,1),1))</f>
        <v>0</v>
      </c>
    </row>
    <row r="12" customFormat="false" ht="15" hidden="false" customHeight="true" outlineLevel="0" collapsed="false">
      <c r="A12" s="8" t="s">
        <v>71</v>
      </c>
      <c r="B12" s="31" t="n">
        <f aca="false">SUMIFS(Détail!$E:$E,Détail!$C:$C,"INTERETS",Détail!$A:$A,"&gt;="&amp;DATE(2025,7,1),Détail!$A:$A,"&lt;"&amp;EDATE(DATE(2025,7,1),1))</f>
        <v>-377.34</v>
      </c>
    </row>
    <row r="13" customFormat="false" ht="15" hidden="false" customHeight="true" outlineLevel="0" collapsed="false">
      <c r="A13" s="8" t="s">
        <v>72</v>
      </c>
      <c r="B13" s="31" t="n">
        <f aca="false">SUMIFS(Détail!$E:$E,Détail!$C:$C,"INTERETS",Détail!$A:$A,"&gt;="&amp;DATE(2025,8,1),Détail!$A:$A,"&lt;"&amp;EDATE(DATE(2025,8,1),1))</f>
        <v>0</v>
      </c>
    </row>
    <row r="14" customFormat="false" ht="15" hidden="false" customHeight="true" outlineLevel="0" collapsed="false">
      <c r="A14" s="8" t="s">
        <v>73</v>
      </c>
      <c r="B14" s="31" t="n">
        <f aca="false">SUMIFS(Détail!$E:$E,Détail!$C:$C,"INTERETS",Détail!$A:$A,"&gt;="&amp;DATE(2025,9,1),Détail!$A:$A,"&lt;"&amp;EDATE(DATE(2025,9,1),1))</f>
        <v>0</v>
      </c>
    </row>
    <row r="15" customFormat="false" ht="15" hidden="false" customHeight="true" outlineLevel="0" collapsed="false">
      <c r="A15" s="8" t="s">
        <v>74</v>
      </c>
      <c r="B15" s="31" t="n">
        <f aca="false">SUMIFS(Détail!$E:$E,Détail!$C:$C,"INTERETS",Détail!$A:$A,"&gt;="&amp;DATE(2025,10,1),Détail!$A:$A,"&lt;"&amp;EDATE(DATE(2025,10,1),1))</f>
        <v>-539.08</v>
      </c>
    </row>
    <row r="16" customFormat="false" ht="15" hidden="false" customHeight="true" outlineLevel="0" collapsed="false">
      <c r="A16" s="8" t="s">
        <v>75</v>
      </c>
      <c r="B16" s="31" t="n">
        <f aca="false">SUMIFS(Détail!$E:$E,Détail!$C:$C,"INTERETS",Détail!$A:$A,"&gt;="&amp;DATE(2025,11,1),Détail!$A:$A,"&lt;"&amp;EDATE(DATE(2025,11,1),1))</f>
        <v>0</v>
      </c>
    </row>
    <row r="17" customFormat="false" ht="15" hidden="false" customHeight="true" outlineLevel="0" collapsed="false">
      <c r="A17" s="8" t="s">
        <v>76</v>
      </c>
      <c r="B17" s="31" t="n">
        <f aca="false">SUMIFS(Détail!$E:$E,Détail!$C:$C,"INTERETS",Détail!$A:$A,"&gt;="&amp;DATE(2025,12,1),Détail!$A:$A,"&lt;"&amp;EDATE(DATE(2025,12,1),1))</f>
        <v>0</v>
      </c>
    </row>
    <row r="20" customFormat="false" ht="15" hidden="false" customHeight="true" outlineLevel="0" collapsed="false">
      <c r="A20" s="29" t="s">
        <v>206</v>
      </c>
      <c r="B20" s="29"/>
      <c r="C20" s="30" t="n">
        <f aca="false">SUMIF(Détail!$C:$C,"FRAIS BANQUE ETRANGERE",Détail!$E:$E)</f>
        <v>-705</v>
      </c>
    </row>
    <row r="21" customFormat="false" ht="15" hidden="false" customHeight="true" outlineLevel="0" collapsed="false">
      <c r="A21" s="24" t="s">
        <v>63</v>
      </c>
      <c r="B21" s="24" t="s">
        <v>64</v>
      </c>
    </row>
    <row r="22" customFormat="false" ht="15" hidden="false" customHeight="true" outlineLevel="0" collapsed="false">
      <c r="A22" s="8" t="s">
        <v>65</v>
      </c>
      <c r="B22" s="31" t="n">
        <f aca="false">SUMIFS(Détail!$E:$E,Détail!$C:$C,"FRAIS BANQUE ETRANGERE",Détail!$A:$A,"&gt;="&amp;DATE(2025,1,1),Détail!$A:$A,"&lt;"&amp;EDATE(DATE(2025,1,1),1))</f>
        <v>-84.6</v>
      </c>
    </row>
    <row r="23" customFormat="false" ht="15" hidden="false" customHeight="true" outlineLevel="0" collapsed="false">
      <c r="A23" s="8" t="s">
        <v>66</v>
      </c>
      <c r="B23" s="31" t="n">
        <f aca="false">SUMIFS(Détail!$E:$E,Détail!$C:$C,"FRAIS BANQUE ETRANGERE",Détail!$A:$A,"&gt;="&amp;DATE(2025,2,1),Détail!$A:$A,"&lt;"&amp;EDATE(DATE(2025,2,1),1))</f>
        <v>0</v>
      </c>
    </row>
    <row r="24" customFormat="false" ht="15" hidden="false" customHeight="true" outlineLevel="0" collapsed="false">
      <c r="A24" s="8" t="s">
        <v>67</v>
      </c>
      <c r="B24" s="31" t="n">
        <f aca="false">SUMIFS(Détail!$E:$E,Détail!$C:$C,"FRAIS BANQUE ETRANGERE",Détail!$A:$A,"&gt;="&amp;DATE(2025,3,1),Détail!$A:$A,"&lt;"&amp;EDATE(DATE(2025,3,1),1))</f>
        <v>-56.4</v>
      </c>
    </row>
    <row r="25" customFormat="false" ht="15" hidden="false" customHeight="true" outlineLevel="0" collapsed="false">
      <c r="A25" s="8" t="s">
        <v>68</v>
      </c>
      <c r="B25" s="31" t="n">
        <f aca="false">SUMIFS(Détail!$E:$E,Détail!$C:$C,"FRAIS BANQUE ETRANGERE",Détail!$A:$A,"&gt;="&amp;DATE(2025,4,1),Détail!$A:$A,"&lt;"&amp;EDATE(DATE(2025,4,1),1))</f>
        <v>-112.8</v>
      </c>
    </row>
    <row r="26" customFormat="false" ht="15" hidden="false" customHeight="true" outlineLevel="0" collapsed="false">
      <c r="A26" s="8" t="s">
        <v>69</v>
      </c>
      <c r="B26" s="31" t="n">
        <f aca="false">SUMIFS(Détail!$E:$E,Détail!$C:$C,"FRAIS BANQUE ETRANGERE",Détail!$A:$A,"&gt;="&amp;DATE(2025,5,1),Détail!$A:$A,"&lt;"&amp;EDATE(DATE(2025,5,1),1))</f>
        <v>-56.4</v>
      </c>
    </row>
    <row r="27" customFormat="false" ht="15" hidden="false" customHeight="true" outlineLevel="0" collapsed="false">
      <c r="A27" s="8" t="s">
        <v>70</v>
      </c>
      <c r="B27" s="31" t="n">
        <f aca="false">SUMIFS(Détail!$E:$E,Détail!$C:$C,"FRAIS BANQUE ETRANGERE",Détail!$A:$A,"&gt;="&amp;DATE(2025,6,1),Détail!$A:$A,"&lt;"&amp;EDATE(DATE(2025,6,1),1))</f>
        <v>-112.8</v>
      </c>
    </row>
    <row r="28" customFormat="false" ht="15" hidden="false" customHeight="true" outlineLevel="0" collapsed="false">
      <c r="A28" s="8" t="s">
        <v>71</v>
      </c>
      <c r="B28" s="31" t="n">
        <f aca="false">SUMIFS(Détail!$E:$E,Détail!$C:$C,"FRAIS BANQUE ETRANGERE",Détail!$A:$A,"&gt;="&amp;DATE(2025,7,1),Détail!$A:$A,"&lt;"&amp;EDATE(DATE(2025,7,1),1))</f>
        <v>0</v>
      </c>
    </row>
    <row r="29" customFormat="false" ht="15" hidden="false" customHeight="true" outlineLevel="0" collapsed="false">
      <c r="A29" s="8" t="s">
        <v>72</v>
      </c>
      <c r="B29" s="31" t="n">
        <f aca="false">SUMIFS(Détail!$E:$E,Détail!$C:$C,"FRAIS BANQUE ETRANGERE",Détail!$A:$A,"&gt;="&amp;DATE(2025,8,1),Détail!$A:$A,"&lt;"&amp;EDATE(DATE(2025,8,1),1))</f>
        <v>0</v>
      </c>
    </row>
    <row r="30" customFormat="false" ht="15" hidden="false" customHeight="true" outlineLevel="0" collapsed="false">
      <c r="A30" s="8" t="s">
        <v>73</v>
      </c>
      <c r="B30" s="31" t="n">
        <f aca="false">SUMIFS(Détail!$E:$E,Détail!$C:$C,"FRAIS BANQUE ETRANGERE",Détail!$A:$A,"&gt;="&amp;DATE(2025,9,1),Détail!$A:$A,"&lt;"&amp;EDATE(DATE(2025,9,1),1))</f>
        <v>-84.6</v>
      </c>
    </row>
    <row r="31" customFormat="false" ht="15" hidden="false" customHeight="true" outlineLevel="0" collapsed="false">
      <c r="A31" s="8" t="s">
        <v>74</v>
      </c>
      <c r="B31" s="31" t="n">
        <f aca="false">SUMIFS(Détail!$E:$E,Détail!$C:$C,"FRAIS BANQUE ETRANGERE",Détail!$A:$A,"&gt;="&amp;DATE(2025,10,1),Détail!$A:$A,"&lt;"&amp;EDATE(DATE(2025,10,1),1))</f>
        <v>-84.6</v>
      </c>
    </row>
    <row r="32" customFormat="false" ht="15" hidden="false" customHeight="true" outlineLevel="0" collapsed="false">
      <c r="A32" s="8" t="s">
        <v>75</v>
      </c>
      <c r="B32" s="31" t="n">
        <f aca="false">SUMIFS(Détail!$E:$E,Détail!$C:$C,"FRAIS BANQUE ETRANGERE",Détail!$A:$A,"&gt;="&amp;DATE(2025,11,1),Détail!$A:$A,"&lt;"&amp;EDATE(DATE(2025,11,1),1))</f>
        <v>-28.2</v>
      </c>
    </row>
    <row r="33" customFormat="false" ht="15" hidden="false" customHeight="true" outlineLevel="0" collapsed="false">
      <c r="A33" s="8" t="s">
        <v>76</v>
      </c>
      <c r="B33" s="31" t="n">
        <f aca="false">SUMIFS(Détail!$E:$E,Détail!$C:$C,"FRAIS BANQUE ETRANGERE",Détail!$A:$A,"&gt;="&amp;DATE(2025,12,1),Détail!$A:$A,"&lt;"&amp;EDATE(DATE(2025,12,1),1))</f>
        <v>-84.6</v>
      </c>
    </row>
    <row r="36" customFormat="false" ht="15" hidden="false" customHeight="true" outlineLevel="0" collapsed="false">
      <c r="A36" s="29" t="s">
        <v>207</v>
      </c>
      <c r="B36" s="29"/>
      <c r="C36" s="30" t="n">
        <f aca="false">SUMIF(Détail!$C:$C,"FRAIS VIREMENT INTERNATIONAL",Détail!$E:$E)</f>
        <v>-483.6</v>
      </c>
    </row>
    <row r="37" customFormat="false" ht="15" hidden="false" customHeight="true" outlineLevel="0" collapsed="false">
      <c r="A37" s="24" t="s">
        <v>63</v>
      </c>
      <c r="B37" s="24" t="s">
        <v>64</v>
      </c>
    </row>
    <row r="38" customFormat="false" ht="15" hidden="false" customHeight="true" outlineLevel="0" collapsed="false">
      <c r="A38" s="8" t="s">
        <v>65</v>
      </c>
      <c r="B38" s="31" t="n">
        <f aca="false">SUMIFS(Détail!$E:$E,Détail!$C:$C,"FRAIS VIREMENT INTERNATIONAL",Détail!$A:$A,"&gt;="&amp;DATE(2025,1,1),Détail!$A:$A,"&lt;"&amp;EDATE(DATE(2025,1,1),1))</f>
        <v>-46.8</v>
      </c>
    </row>
    <row r="39" customFormat="false" ht="15" hidden="false" customHeight="true" outlineLevel="0" collapsed="false">
      <c r="A39" s="8" t="s">
        <v>66</v>
      </c>
      <c r="B39" s="31" t="n">
        <f aca="false">SUMIFS(Détail!$E:$E,Détail!$C:$C,"FRAIS VIREMENT INTERNATIONAL",Détail!$A:$A,"&gt;="&amp;DATE(2025,2,1),Détail!$A:$A,"&lt;"&amp;EDATE(DATE(2025,2,1),1))</f>
        <v>0</v>
      </c>
    </row>
    <row r="40" customFormat="false" ht="15" hidden="false" customHeight="true" outlineLevel="0" collapsed="false">
      <c r="A40" s="8" t="s">
        <v>67</v>
      </c>
      <c r="B40" s="31" t="n">
        <f aca="false">SUMIFS(Détail!$E:$E,Détail!$C:$C,"FRAIS VIREMENT INTERNATIONAL",Détail!$A:$A,"&gt;="&amp;DATE(2025,3,1),Détail!$A:$A,"&lt;"&amp;EDATE(DATE(2025,3,1),1))</f>
        <v>-37.2</v>
      </c>
    </row>
    <row r="41" customFormat="false" ht="15" hidden="false" customHeight="true" outlineLevel="0" collapsed="false">
      <c r="A41" s="8" t="s">
        <v>68</v>
      </c>
      <c r="B41" s="31" t="n">
        <f aca="false">SUMIFS(Détail!$E:$E,Détail!$C:$C,"FRAIS VIREMENT INTERNATIONAL",Détail!$A:$A,"&gt;="&amp;DATE(2025,4,1),Détail!$A:$A,"&lt;"&amp;EDATE(DATE(2025,4,1),1))</f>
        <v>-62.4</v>
      </c>
    </row>
    <row r="42" customFormat="false" ht="15" hidden="false" customHeight="true" outlineLevel="0" collapsed="false">
      <c r="A42" s="8" t="s">
        <v>69</v>
      </c>
      <c r="B42" s="31" t="n">
        <f aca="false">SUMIFS(Détail!$E:$E,Détail!$C:$C,"FRAIS VIREMENT INTERNATIONAL",Détail!$A:$A,"&gt;="&amp;DATE(2025,5,1),Détail!$A:$A,"&lt;"&amp;EDATE(DATE(2025,5,1),1))</f>
        <v>-37.2</v>
      </c>
    </row>
    <row r="43" customFormat="false" ht="15" hidden="false" customHeight="true" outlineLevel="0" collapsed="false">
      <c r="A43" s="8" t="s">
        <v>70</v>
      </c>
      <c r="B43" s="31" t="n">
        <f aca="false">SUMIFS(Détail!$E:$E,Détail!$C:$C,"FRAIS VIREMENT INTERNATIONAL",Détail!$A:$A,"&gt;="&amp;DATE(2025,6,1),Détail!$A:$A,"&lt;"&amp;EDATE(DATE(2025,6,1),1))</f>
        <v>-68.4</v>
      </c>
    </row>
    <row r="44" customFormat="false" ht="15" hidden="false" customHeight="true" outlineLevel="0" collapsed="false">
      <c r="A44" s="8" t="s">
        <v>71</v>
      </c>
      <c r="B44" s="31" t="n">
        <f aca="false">SUMIFS(Détail!$E:$E,Détail!$C:$C,"FRAIS VIREMENT INTERNATIONAL",Détail!$A:$A,"&gt;="&amp;DATE(2025,7,1),Détail!$A:$A,"&lt;"&amp;EDATE(DATE(2025,7,1),1))</f>
        <v>0</v>
      </c>
    </row>
    <row r="45" customFormat="false" ht="15" hidden="false" customHeight="true" outlineLevel="0" collapsed="false">
      <c r="A45" s="8" t="s">
        <v>72</v>
      </c>
      <c r="B45" s="31" t="n">
        <f aca="false">SUMIFS(Détail!$E:$E,Détail!$C:$C,"FRAIS VIREMENT INTERNATIONAL",Détail!$A:$A,"&gt;="&amp;DATE(2025,8,1),Détail!$A:$A,"&lt;"&amp;EDATE(DATE(2025,8,1),1))</f>
        <v>0</v>
      </c>
    </row>
    <row r="46" customFormat="false" ht="15" hidden="false" customHeight="true" outlineLevel="0" collapsed="false">
      <c r="A46" s="8" t="s">
        <v>73</v>
      </c>
      <c r="B46" s="31" t="n">
        <f aca="false">SUMIFS(Détail!$E:$E,Détail!$C:$C,"FRAIS VIREMENT INTERNATIONAL",Détail!$A:$A,"&gt;="&amp;DATE(2025,9,1),Détail!$A:$A,"&lt;"&amp;EDATE(DATE(2025,9,1),1))</f>
        <v>-58.8</v>
      </c>
    </row>
    <row r="47" customFormat="false" ht="15" hidden="false" customHeight="true" outlineLevel="0" collapsed="false">
      <c r="A47" s="8" t="s">
        <v>74</v>
      </c>
      <c r="B47" s="31" t="n">
        <f aca="false">SUMIFS(Détail!$E:$E,Détail!$C:$C,"FRAIS VIREMENT INTERNATIONAL",Détail!$A:$A,"&gt;="&amp;DATE(2025,10,1),Détail!$A:$A,"&lt;"&amp;EDATE(DATE(2025,10,1),1))</f>
        <v>-86.4</v>
      </c>
    </row>
    <row r="48" customFormat="false" ht="15" hidden="false" customHeight="true" outlineLevel="0" collapsed="false">
      <c r="A48" s="8" t="s">
        <v>75</v>
      </c>
      <c r="B48" s="31" t="n">
        <f aca="false">SUMIFS(Détail!$E:$E,Détail!$C:$C,"FRAIS VIREMENT INTERNATIONAL",Détail!$A:$A,"&gt;="&amp;DATE(2025,11,1),Détail!$A:$A,"&lt;"&amp;EDATE(DATE(2025,11,1),1))</f>
        <v>-21.6</v>
      </c>
    </row>
    <row r="49" customFormat="false" ht="15" hidden="false" customHeight="true" outlineLevel="0" collapsed="false">
      <c r="A49" s="8" t="s">
        <v>76</v>
      </c>
      <c r="B49" s="31" t="n">
        <f aca="false">SUMIFS(Détail!$E:$E,Détail!$C:$C,"FRAIS VIREMENT INTERNATIONAL",Détail!$A:$A,"&gt;="&amp;DATE(2025,12,1),Détail!$A:$A,"&lt;"&amp;EDATE(DATE(2025,12,1),1))</f>
        <v>-64.8</v>
      </c>
    </row>
    <row r="52" customFormat="false" ht="15" hidden="false" customHeight="true" outlineLevel="0" collapsed="false">
      <c r="A52" s="29" t="s">
        <v>208</v>
      </c>
      <c r="B52" s="29"/>
      <c r="C52" s="30" t="n">
        <f aca="false">SUMIF(Détail!$C:$C,"FRAIS DE CHANGE",Détail!$E:$E)</f>
        <v>-463.21</v>
      </c>
    </row>
    <row r="53" customFormat="false" ht="15" hidden="false" customHeight="true" outlineLevel="0" collapsed="false">
      <c r="A53" s="24" t="s">
        <v>63</v>
      </c>
      <c r="B53" s="24" t="s">
        <v>64</v>
      </c>
    </row>
    <row r="54" customFormat="false" ht="15" hidden="false" customHeight="true" outlineLevel="0" collapsed="false">
      <c r="A54" s="8" t="s">
        <v>65</v>
      </c>
      <c r="B54" s="31" t="n">
        <f aca="false">SUMIFS(Détail!$E:$E,Détail!$C:$C,"FRAIS DE CHANGE",Détail!$A:$A,"&gt;="&amp;DATE(2025,1,1),Détail!$A:$A,"&lt;"&amp;EDATE(DATE(2025,1,1),1))</f>
        <v>-34</v>
      </c>
    </row>
    <row r="55" customFormat="false" ht="15" hidden="false" customHeight="true" outlineLevel="0" collapsed="false">
      <c r="A55" s="8" t="s">
        <v>66</v>
      </c>
      <c r="B55" s="31" t="n">
        <f aca="false">SUMIFS(Détail!$E:$E,Détail!$C:$C,"FRAIS DE CHANGE",Détail!$A:$A,"&gt;="&amp;DATE(2025,2,1),Détail!$A:$A,"&lt;"&amp;EDATE(DATE(2025,2,1),1))</f>
        <v>0</v>
      </c>
    </row>
    <row r="56" customFormat="false" ht="15" hidden="false" customHeight="true" outlineLevel="0" collapsed="false">
      <c r="A56" s="8" t="s">
        <v>67</v>
      </c>
      <c r="B56" s="31" t="n">
        <f aca="false">SUMIFS(Détail!$E:$E,Détail!$C:$C,"FRAIS DE CHANGE",Détail!$A:$A,"&gt;="&amp;DATE(2025,3,1),Détail!$A:$A,"&lt;"&amp;EDATE(DATE(2025,3,1),1))</f>
        <v>-38.5</v>
      </c>
    </row>
    <row r="57" customFormat="false" ht="15" hidden="false" customHeight="true" outlineLevel="0" collapsed="false">
      <c r="A57" s="8" t="s">
        <v>68</v>
      </c>
      <c r="B57" s="31" t="n">
        <f aca="false">SUMIFS(Détail!$E:$E,Détail!$C:$C,"FRAIS DE CHANGE",Détail!$A:$A,"&gt;="&amp;DATE(2025,4,1),Détail!$A:$A,"&lt;"&amp;EDATE(DATE(2025,4,1),1))</f>
        <v>-34</v>
      </c>
    </row>
    <row r="58" customFormat="false" ht="15" hidden="false" customHeight="true" outlineLevel="0" collapsed="false">
      <c r="A58" s="8" t="s">
        <v>69</v>
      </c>
      <c r="B58" s="31" t="n">
        <f aca="false">SUMIFS(Détail!$E:$E,Détail!$C:$C,"FRAIS DE CHANGE",Détail!$A:$A,"&gt;="&amp;DATE(2025,5,1),Détail!$A:$A,"&lt;"&amp;EDATE(DATE(2025,5,1),1))</f>
        <v>-38.5</v>
      </c>
    </row>
    <row r="59" customFormat="false" ht="15" hidden="false" customHeight="true" outlineLevel="0" collapsed="false">
      <c r="A59" s="8" t="s">
        <v>70</v>
      </c>
      <c r="B59" s="31" t="n">
        <f aca="false">SUMIFS(Détail!$E:$E,Détail!$C:$C,"FRAIS DE CHANGE",Détail!$A:$A,"&gt;="&amp;DATE(2025,6,1),Détail!$A:$A,"&lt;"&amp;EDATE(DATE(2025,6,1),1))</f>
        <v>-88.2</v>
      </c>
    </row>
    <row r="60" customFormat="false" ht="15" hidden="false" customHeight="true" outlineLevel="0" collapsed="false">
      <c r="A60" s="8" t="s">
        <v>71</v>
      </c>
      <c r="B60" s="31" t="n">
        <f aca="false">SUMIFS(Détail!$E:$E,Détail!$C:$C,"FRAIS DE CHANGE",Détail!$A:$A,"&gt;="&amp;DATE(2025,7,1),Détail!$A:$A,"&lt;"&amp;EDATE(DATE(2025,7,1),1))</f>
        <v>0</v>
      </c>
    </row>
    <row r="61" customFormat="false" ht="15" hidden="false" customHeight="true" outlineLevel="0" collapsed="false">
      <c r="A61" s="8" t="s">
        <v>72</v>
      </c>
      <c r="B61" s="31" t="n">
        <f aca="false">SUMIFS(Détail!$E:$E,Détail!$C:$C,"FRAIS DE CHANGE",Détail!$A:$A,"&gt;="&amp;DATE(2025,8,1),Détail!$A:$A,"&lt;"&amp;EDATE(DATE(2025,8,1),1))</f>
        <v>0</v>
      </c>
    </row>
    <row r="62" customFormat="false" ht="15" hidden="false" customHeight="true" outlineLevel="0" collapsed="false">
      <c r="A62" s="8" t="s">
        <v>73</v>
      </c>
      <c r="B62" s="31" t="n">
        <f aca="false">SUMIFS(Détail!$E:$E,Détail!$C:$C,"FRAIS DE CHANGE",Détail!$A:$A,"&gt;="&amp;DATE(2025,9,1),Détail!$A:$A,"&lt;"&amp;EDATE(DATE(2025,9,1),1))</f>
        <v>-38.5</v>
      </c>
    </row>
    <row r="63" customFormat="false" ht="15" hidden="false" customHeight="true" outlineLevel="0" collapsed="false">
      <c r="A63" s="8" t="s">
        <v>74</v>
      </c>
      <c r="B63" s="31" t="n">
        <f aca="false">SUMIFS(Détail!$E:$E,Détail!$C:$C,"FRAIS DE CHANGE",Détail!$A:$A,"&gt;="&amp;DATE(2025,10,1),Détail!$A:$A,"&lt;"&amp;EDATE(DATE(2025,10,1),1))</f>
        <v>-86</v>
      </c>
    </row>
    <row r="64" customFormat="false" ht="15" hidden="false" customHeight="true" outlineLevel="0" collapsed="false">
      <c r="A64" s="8" t="s">
        <v>75</v>
      </c>
      <c r="B64" s="31" t="n">
        <f aca="false">SUMIFS(Détail!$E:$E,Détail!$C:$C,"FRAIS DE CHANGE",Détail!$A:$A,"&gt;="&amp;DATE(2025,11,1),Détail!$A:$A,"&lt;"&amp;EDATE(DATE(2025,11,1),1))</f>
        <v>-21.5</v>
      </c>
    </row>
    <row r="65" customFormat="false" ht="15" hidden="false" customHeight="true" outlineLevel="0" collapsed="false">
      <c r="A65" s="8" t="s">
        <v>76</v>
      </c>
      <c r="B65" s="31" t="n">
        <f aca="false">SUMIFS(Détail!$E:$E,Détail!$C:$C,"FRAIS DE CHANGE",Détail!$A:$A,"&gt;="&amp;DATE(2025,12,1),Détail!$A:$A,"&lt;"&amp;EDATE(DATE(2025,12,1),1))</f>
        <v>-84.01</v>
      </c>
    </row>
    <row r="68" customFormat="false" ht="15" hidden="false" customHeight="true" outlineLevel="0" collapsed="false">
      <c r="A68" s="29" t="s">
        <v>209</v>
      </c>
      <c r="B68" s="29"/>
      <c r="C68" s="30" t="n">
        <f aca="false">SUMIF(Détail!$C:$C,"ABONNEMENT TRANSBRED.COM",Détail!$E:$E)</f>
        <v>-378</v>
      </c>
    </row>
    <row r="69" customFormat="false" ht="15" hidden="false" customHeight="true" outlineLevel="0" collapsed="false">
      <c r="A69" s="24" t="s">
        <v>63</v>
      </c>
      <c r="B69" s="24" t="s">
        <v>64</v>
      </c>
    </row>
    <row r="70" customFormat="false" ht="15" hidden="false" customHeight="true" outlineLevel="0" collapsed="false">
      <c r="A70" s="8" t="s">
        <v>65</v>
      </c>
      <c r="B70" s="31" t="n">
        <f aca="false">SUMIFS(Détail!$E:$E,Détail!$C:$C,"ABONNEMENT TRANSBRED.COM",Détail!$A:$A,"&gt;="&amp;DATE(2025,1,1),Détail!$A:$A,"&lt;"&amp;EDATE(DATE(2025,1,1),1))</f>
        <v>-42</v>
      </c>
    </row>
    <row r="71" customFormat="false" ht="15" hidden="false" customHeight="true" outlineLevel="0" collapsed="false">
      <c r="A71" s="8" t="s">
        <v>66</v>
      </c>
      <c r="B71" s="31" t="n">
        <f aca="false">SUMIFS(Détail!$E:$E,Détail!$C:$C,"ABONNEMENT TRANSBRED.COM",Détail!$A:$A,"&gt;="&amp;DATE(2025,2,1),Détail!$A:$A,"&lt;"&amp;EDATE(DATE(2025,2,1),1))</f>
        <v>-42</v>
      </c>
    </row>
    <row r="72" customFormat="false" ht="15" hidden="false" customHeight="true" outlineLevel="0" collapsed="false">
      <c r="A72" s="8" t="s">
        <v>67</v>
      </c>
      <c r="B72" s="31" t="n">
        <f aca="false">SUMIFS(Détail!$E:$E,Détail!$C:$C,"ABONNEMENT TRANSBRED.COM",Détail!$A:$A,"&gt;="&amp;DATE(2025,3,1),Détail!$A:$A,"&lt;"&amp;EDATE(DATE(2025,3,1),1))</f>
        <v>-42</v>
      </c>
    </row>
    <row r="73" customFormat="false" ht="15" hidden="false" customHeight="true" outlineLevel="0" collapsed="false">
      <c r="A73" s="8" t="s">
        <v>68</v>
      </c>
      <c r="B73" s="31" t="n">
        <f aca="false">SUMIFS(Détail!$E:$E,Détail!$C:$C,"ABONNEMENT TRANSBRED.COM",Détail!$A:$A,"&gt;="&amp;DATE(2025,4,1),Détail!$A:$A,"&lt;"&amp;EDATE(DATE(2025,4,1),1))</f>
        <v>-42</v>
      </c>
    </row>
    <row r="74" customFormat="false" ht="15" hidden="false" customHeight="true" outlineLevel="0" collapsed="false">
      <c r="A74" s="8" t="s">
        <v>69</v>
      </c>
      <c r="B74" s="31" t="n">
        <f aca="false">SUMIFS(Détail!$E:$E,Détail!$C:$C,"ABONNEMENT TRANSBRED.COM",Détail!$A:$A,"&gt;="&amp;DATE(2025,5,1),Détail!$A:$A,"&lt;"&amp;EDATE(DATE(2025,5,1),1))</f>
        <v>-42</v>
      </c>
    </row>
    <row r="75" customFormat="false" ht="15" hidden="false" customHeight="true" outlineLevel="0" collapsed="false">
      <c r="A75" s="8" t="s">
        <v>70</v>
      </c>
      <c r="B75" s="31" t="n">
        <f aca="false">SUMIFS(Détail!$E:$E,Détail!$C:$C,"ABONNEMENT TRANSBRED.COM",Détail!$A:$A,"&gt;="&amp;DATE(2025,6,1),Détail!$A:$A,"&lt;"&amp;EDATE(DATE(2025,6,1),1))</f>
        <v>-42</v>
      </c>
    </row>
    <row r="76" customFormat="false" ht="15" hidden="false" customHeight="true" outlineLevel="0" collapsed="false">
      <c r="A76" s="8" t="s">
        <v>71</v>
      </c>
      <c r="B76" s="31" t="n">
        <f aca="false">SUMIFS(Détail!$E:$E,Détail!$C:$C,"ABONNEMENT TRANSBRED.COM",Détail!$A:$A,"&gt;="&amp;DATE(2025,7,1),Détail!$A:$A,"&lt;"&amp;EDATE(DATE(2025,7,1),1))</f>
        <v>-42</v>
      </c>
    </row>
    <row r="77" customFormat="false" ht="15" hidden="false" customHeight="true" outlineLevel="0" collapsed="false">
      <c r="A77" s="8" t="s">
        <v>72</v>
      </c>
      <c r="B77" s="31" t="n">
        <f aca="false">SUMIFS(Détail!$E:$E,Détail!$C:$C,"ABONNEMENT TRANSBRED.COM",Détail!$A:$A,"&gt;="&amp;DATE(2025,8,1),Détail!$A:$A,"&lt;"&amp;EDATE(DATE(2025,8,1),1))</f>
        <v>-42</v>
      </c>
    </row>
    <row r="78" customFormat="false" ht="15" hidden="false" customHeight="true" outlineLevel="0" collapsed="false">
      <c r="A78" s="8" t="s">
        <v>73</v>
      </c>
      <c r="B78" s="31" t="n">
        <f aca="false">SUMIFS(Détail!$E:$E,Détail!$C:$C,"ABONNEMENT TRANSBRED.COM",Détail!$A:$A,"&gt;="&amp;DATE(2025,9,1),Détail!$A:$A,"&lt;"&amp;EDATE(DATE(2025,9,1),1))</f>
        <v>-42</v>
      </c>
    </row>
    <row r="79" customFormat="false" ht="15" hidden="false" customHeight="true" outlineLevel="0" collapsed="false">
      <c r="A79" s="8" t="s">
        <v>74</v>
      </c>
      <c r="B79" s="31" t="n">
        <f aca="false">SUMIFS(Détail!$E:$E,Détail!$C:$C,"ABONNEMENT TRANSBRED.COM",Détail!$A:$A,"&gt;="&amp;DATE(2025,10,1),Détail!$A:$A,"&lt;"&amp;EDATE(DATE(2025,10,1),1))</f>
        <v>0</v>
      </c>
    </row>
    <row r="80" customFormat="false" ht="15" hidden="false" customHeight="true" outlineLevel="0" collapsed="false">
      <c r="A80" s="8" t="s">
        <v>75</v>
      </c>
      <c r="B80" s="31" t="n">
        <f aca="false">SUMIFS(Détail!$E:$E,Détail!$C:$C,"ABONNEMENT TRANSBRED.COM",Détail!$A:$A,"&gt;="&amp;DATE(2025,11,1),Détail!$A:$A,"&lt;"&amp;EDATE(DATE(2025,11,1),1))</f>
        <v>0</v>
      </c>
    </row>
    <row r="81" customFormat="false" ht="15" hidden="false" customHeight="true" outlineLevel="0" collapsed="false">
      <c r="A81" s="8" t="s">
        <v>76</v>
      </c>
      <c r="B81" s="31" t="n">
        <f aca="false">SUMIFS(Détail!$E:$E,Détail!$C:$C,"ABONNEMENT TRANSBRED.COM",Détail!$A:$A,"&gt;="&amp;DATE(2025,12,1),Détail!$A:$A,"&lt;"&amp;EDATE(DATE(2025,12,1),1))</f>
        <v>0</v>
      </c>
    </row>
    <row r="84" customFormat="false" ht="15" hidden="false" customHeight="true" outlineLevel="0" collapsed="false">
      <c r="A84" s="29" t="s">
        <v>210</v>
      </c>
      <c r="B84" s="29"/>
      <c r="C84" s="30" t="n">
        <f aca="false">SUMIF(Détail!$C:$C,"COTISATION",Détail!$E:$E)</f>
        <v>-364.32</v>
      </c>
    </row>
    <row r="85" customFormat="false" ht="15" hidden="false" customHeight="true" outlineLevel="0" collapsed="false">
      <c r="A85" s="24" t="s">
        <v>63</v>
      </c>
      <c r="B85" s="24" t="s">
        <v>64</v>
      </c>
    </row>
    <row r="86" customFormat="false" ht="15" hidden="false" customHeight="true" outlineLevel="0" collapsed="false">
      <c r="A86" s="8" t="s">
        <v>65</v>
      </c>
      <c r="B86" s="31" t="n">
        <f aca="false">SUMIFS(Détail!$E:$E,Détail!$C:$C,"COTISATION",Détail!$A:$A,"&gt;="&amp;DATE(2025,1,1),Détail!$A:$A,"&lt;"&amp;EDATE(DATE(2025,1,1),1))</f>
        <v>-24.03</v>
      </c>
    </row>
    <row r="87" customFormat="false" ht="15" hidden="false" customHeight="true" outlineLevel="0" collapsed="false">
      <c r="A87" s="8" t="s">
        <v>66</v>
      </c>
      <c r="B87" s="31" t="n">
        <f aca="false">SUMIFS(Détail!$E:$E,Détail!$C:$C,"COTISATION",Détail!$A:$A,"&gt;="&amp;DATE(2025,2,1),Détail!$A:$A,"&lt;"&amp;EDATE(DATE(2025,2,1),1))</f>
        <v>-24.03</v>
      </c>
    </row>
    <row r="88" customFormat="false" ht="15" hidden="false" customHeight="true" outlineLevel="0" collapsed="false">
      <c r="A88" s="8" t="s">
        <v>67</v>
      </c>
      <c r="B88" s="31" t="n">
        <f aca="false">SUMIFS(Détail!$E:$E,Détail!$C:$C,"COTISATION",Détail!$A:$A,"&gt;="&amp;DATE(2025,3,1),Détail!$A:$A,"&lt;"&amp;EDATE(DATE(2025,3,1),1))</f>
        <v>-24.03</v>
      </c>
    </row>
    <row r="89" customFormat="false" ht="15" hidden="false" customHeight="true" outlineLevel="0" collapsed="false">
      <c r="A89" s="8" t="s">
        <v>68</v>
      </c>
      <c r="B89" s="31" t="n">
        <f aca="false">SUMIFS(Détail!$E:$E,Détail!$C:$C,"COTISATION",Détail!$A:$A,"&gt;="&amp;DATE(2025,4,1),Détail!$A:$A,"&lt;"&amp;EDATE(DATE(2025,4,1),1))</f>
        <v>-24.03</v>
      </c>
    </row>
    <row r="90" customFormat="false" ht="15" hidden="false" customHeight="true" outlineLevel="0" collapsed="false">
      <c r="A90" s="8" t="s">
        <v>69</v>
      </c>
      <c r="B90" s="31" t="n">
        <f aca="false">SUMIFS(Détail!$E:$E,Détail!$C:$C,"COTISATION",Détail!$A:$A,"&gt;="&amp;DATE(2025,5,1),Détail!$A:$A,"&lt;"&amp;EDATE(DATE(2025,5,1),1))</f>
        <v>-24.03</v>
      </c>
    </row>
    <row r="91" customFormat="false" ht="15" hidden="false" customHeight="true" outlineLevel="0" collapsed="false">
      <c r="A91" s="8" t="s">
        <v>70</v>
      </c>
      <c r="B91" s="31" t="n">
        <f aca="false">SUMIFS(Détail!$E:$E,Détail!$C:$C,"COTISATION",Détail!$A:$A,"&gt;="&amp;DATE(2025,6,1),Détail!$A:$A,"&lt;"&amp;EDATE(DATE(2025,6,1),1))</f>
        <v>-24.03</v>
      </c>
    </row>
    <row r="92" customFormat="false" ht="15" hidden="false" customHeight="true" outlineLevel="0" collapsed="false">
      <c r="A92" s="8" t="s">
        <v>71</v>
      </c>
      <c r="B92" s="31" t="n">
        <f aca="false">SUMIFS(Détail!$E:$E,Détail!$C:$C,"COTISATION",Détail!$A:$A,"&gt;="&amp;DATE(2025,7,1),Détail!$A:$A,"&lt;"&amp;EDATE(DATE(2025,7,1),1))</f>
        <v>-24.03</v>
      </c>
    </row>
    <row r="93" customFormat="false" ht="15" hidden="false" customHeight="true" outlineLevel="0" collapsed="false">
      <c r="A93" s="8" t="s">
        <v>72</v>
      </c>
      <c r="B93" s="31" t="n">
        <f aca="false">SUMIFS(Détail!$E:$E,Détail!$C:$C,"COTISATION",Détail!$A:$A,"&gt;="&amp;DATE(2025,8,1),Détail!$A:$A,"&lt;"&amp;EDATE(DATE(2025,8,1),1))</f>
        <v>-24.03</v>
      </c>
    </row>
    <row r="94" customFormat="false" ht="15" hidden="false" customHeight="true" outlineLevel="0" collapsed="false">
      <c r="A94" s="8" t="s">
        <v>73</v>
      </c>
      <c r="B94" s="31" t="n">
        <f aca="false">SUMIFS(Détail!$E:$E,Détail!$C:$C,"COTISATION",Détail!$A:$A,"&gt;="&amp;DATE(2025,9,1),Détail!$A:$A,"&lt;"&amp;EDATE(DATE(2025,9,1),1))</f>
        <v>-24.03</v>
      </c>
    </row>
    <row r="95" customFormat="false" ht="15" hidden="false" customHeight="true" outlineLevel="0" collapsed="false">
      <c r="A95" s="8" t="s">
        <v>74</v>
      </c>
      <c r="B95" s="31" t="n">
        <f aca="false">SUMIFS(Détail!$E:$E,Détail!$C:$C,"COTISATION",Détail!$A:$A,"&gt;="&amp;DATE(2025,10,1),Détail!$A:$A,"&lt;"&amp;EDATE(DATE(2025,10,1),1))</f>
        <v>-49.35</v>
      </c>
    </row>
    <row r="96" customFormat="false" ht="15" hidden="false" customHeight="true" outlineLevel="0" collapsed="false">
      <c r="A96" s="8" t="s">
        <v>75</v>
      </c>
      <c r="B96" s="31" t="n">
        <f aca="false">SUMIFS(Détail!$E:$E,Détail!$C:$C,"COTISATION",Détail!$A:$A,"&gt;="&amp;DATE(2025,11,1),Détail!$A:$A,"&lt;"&amp;EDATE(DATE(2025,11,1),1))</f>
        <v>-49.35</v>
      </c>
    </row>
    <row r="97" customFormat="false" ht="15" hidden="false" customHeight="true" outlineLevel="0" collapsed="false">
      <c r="A97" s="8" t="s">
        <v>76</v>
      </c>
      <c r="B97" s="31" t="n">
        <f aca="false">SUMIFS(Détail!$E:$E,Détail!$C:$C,"COTISATION",Détail!$A:$A,"&gt;="&amp;DATE(2025,12,1),Détail!$A:$A,"&lt;"&amp;EDATE(DATE(2025,12,1),1))</f>
        <v>-49.35</v>
      </c>
    </row>
    <row r="100" customFormat="false" ht="15" hidden="false" customHeight="true" outlineLevel="0" collapsed="false">
      <c r="A100" s="29" t="s">
        <v>211</v>
      </c>
      <c r="B100" s="29"/>
      <c r="C100" s="30" t="n">
        <f aca="false">SUMIF(Détail!$C:$C,"FRAIS TRANSACTION CARTE",Détail!$E:$E)</f>
        <v>-288.6</v>
      </c>
    </row>
    <row r="101" customFormat="false" ht="15" hidden="false" customHeight="true" outlineLevel="0" collapsed="false">
      <c r="A101" s="24" t="s">
        <v>63</v>
      </c>
      <c r="B101" s="24" t="s">
        <v>64</v>
      </c>
    </row>
    <row r="102" customFormat="false" ht="15" hidden="false" customHeight="true" outlineLevel="0" collapsed="false">
      <c r="A102" s="8" t="s">
        <v>65</v>
      </c>
      <c r="B102" s="31" t="n">
        <f aca="false">SUMIFS(Détail!$E:$E,Détail!$C:$C,"FRAIS TRANSACTION CARTE",Détail!$A:$A,"&gt;="&amp;DATE(2025,1,1),Détail!$A:$A,"&lt;"&amp;EDATE(DATE(2025,1,1),1))</f>
        <v>-1.25</v>
      </c>
    </row>
    <row r="103" customFormat="false" ht="15" hidden="false" customHeight="true" outlineLevel="0" collapsed="false">
      <c r="A103" s="8" t="s">
        <v>66</v>
      </c>
      <c r="B103" s="31" t="n">
        <f aca="false">SUMIFS(Détail!$E:$E,Détail!$C:$C,"FRAIS TRANSACTION CARTE",Détail!$A:$A,"&gt;="&amp;DATE(2025,2,1),Détail!$A:$A,"&lt;"&amp;EDATE(DATE(2025,2,1),1))</f>
        <v>-0.56</v>
      </c>
    </row>
    <row r="104" customFormat="false" ht="15" hidden="false" customHeight="true" outlineLevel="0" collapsed="false">
      <c r="A104" s="8" t="s">
        <v>67</v>
      </c>
      <c r="B104" s="31" t="n">
        <f aca="false">SUMIFS(Détail!$E:$E,Détail!$C:$C,"FRAIS TRANSACTION CARTE",Détail!$A:$A,"&gt;="&amp;DATE(2025,3,1),Détail!$A:$A,"&lt;"&amp;EDATE(DATE(2025,3,1),1))</f>
        <v>-0.61</v>
      </c>
    </row>
    <row r="105" customFormat="false" ht="15" hidden="false" customHeight="true" outlineLevel="0" collapsed="false">
      <c r="A105" s="8" t="s">
        <v>68</v>
      </c>
      <c r="B105" s="31" t="n">
        <f aca="false">SUMIFS(Détail!$E:$E,Détail!$C:$C,"FRAIS TRANSACTION CARTE",Détail!$A:$A,"&gt;="&amp;DATE(2025,4,1),Détail!$A:$A,"&lt;"&amp;EDATE(DATE(2025,4,1),1))</f>
        <v>-69.58</v>
      </c>
    </row>
    <row r="106" customFormat="false" ht="15" hidden="false" customHeight="true" outlineLevel="0" collapsed="false">
      <c r="A106" s="8" t="s">
        <v>69</v>
      </c>
      <c r="B106" s="31" t="n">
        <f aca="false">SUMIFS(Détail!$E:$E,Détail!$C:$C,"FRAIS TRANSACTION CARTE",Détail!$A:$A,"&gt;="&amp;DATE(2025,5,1),Détail!$A:$A,"&lt;"&amp;EDATE(DATE(2025,5,1),1))</f>
        <v>-0.61</v>
      </c>
    </row>
    <row r="107" customFormat="false" ht="15" hidden="false" customHeight="true" outlineLevel="0" collapsed="false">
      <c r="A107" s="8" t="s">
        <v>70</v>
      </c>
      <c r="B107" s="31" t="n">
        <f aca="false">SUMIFS(Détail!$E:$E,Détail!$C:$C,"FRAIS TRANSACTION CARTE",Détail!$A:$A,"&gt;="&amp;DATE(2025,6,1),Détail!$A:$A,"&lt;"&amp;EDATE(DATE(2025,6,1),1))</f>
        <v>-0.59</v>
      </c>
    </row>
    <row r="108" customFormat="false" ht="15" hidden="false" customHeight="true" outlineLevel="0" collapsed="false">
      <c r="A108" s="8" t="s">
        <v>71</v>
      </c>
      <c r="B108" s="31" t="n">
        <f aca="false">SUMIFS(Détail!$E:$E,Détail!$C:$C,"FRAIS TRANSACTION CARTE",Détail!$A:$A,"&gt;="&amp;DATE(2025,7,1),Détail!$A:$A,"&lt;"&amp;EDATE(DATE(2025,7,1),1))</f>
        <v>-1.24</v>
      </c>
    </row>
    <row r="109" customFormat="false" ht="15" hidden="false" customHeight="true" outlineLevel="0" collapsed="false">
      <c r="A109" s="8" t="s">
        <v>72</v>
      </c>
      <c r="B109" s="31" t="n">
        <f aca="false">SUMIFS(Détail!$E:$E,Détail!$C:$C,"FRAIS TRANSACTION CARTE",Détail!$A:$A,"&gt;="&amp;DATE(2025,8,1),Détail!$A:$A,"&lt;"&amp;EDATE(DATE(2025,8,1),1))</f>
        <v>-0.54</v>
      </c>
    </row>
    <row r="110" customFormat="false" ht="15" hidden="false" customHeight="true" outlineLevel="0" collapsed="false">
      <c r="A110" s="8" t="s">
        <v>73</v>
      </c>
      <c r="B110" s="31" t="n">
        <f aca="false">SUMIFS(Détail!$E:$E,Détail!$C:$C,"FRAIS TRANSACTION CARTE",Détail!$A:$A,"&gt;="&amp;DATE(2025,9,1),Détail!$A:$A,"&lt;"&amp;EDATE(DATE(2025,9,1),1))</f>
        <v>-92.26</v>
      </c>
    </row>
    <row r="111" customFormat="false" ht="15" hidden="false" customHeight="true" outlineLevel="0" collapsed="false">
      <c r="A111" s="8" t="s">
        <v>74</v>
      </c>
      <c r="B111" s="31" t="n">
        <f aca="false">SUMIFS(Détail!$E:$E,Détail!$C:$C,"FRAIS TRANSACTION CARTE",Détail!$A:$A,"&gt;="&amp;DATE(2025,10,1),Détail!$A:$A,"&lt;"&amp;EDATE(DATE(2025,10,1),1))</f>
        <v>-105.71</v>
      </c>
    </row>
    <row r="112" customFormat="false" ht="15" hidden="false" customHeight="true" outlineLevel="0" collapsed="false">
      <c r="A112" s="8" t="s">
        <v>75</v>
      </c>
      <c r="B112" s="31" t="n">
        <f aca="false">SUMIFS(Détail!$E:$E,Détail!$C:$C,"FRAIS TRANSACTION CARTE",Détail!$A:$A,"&gt;="&amp;DATE(2025,11,1),Détail!$A:$A,"&lt;"&amp;EDATE(DATE(2025,11,1),1))</f>
        <v>-15.15</v>
      </c>
    </row>
    <row r="113" customFormat="false" ht="15" hidden="false" customHeight="true" outlineLevel="0" collapsed="false">
      <c r="A113" s="8" t="s">
        <v>76</v>
      </c>
      <c r="B113" s="31" t="n">
        <f aca="false">SUMIFS(Détail!$E:$E,Détail!$C:$C,"FRAIS TRANSACTION CARTE",Détail!$A:$A,"&gt;="&amp;DATE(2025,12,1),Détail!$A:$A,"&lt;"&amp;EDATE(DATE(2025,12,1),1))</f>
        <v>-0.5</v>
      </c>
    </row>
    <row r="116" customFormat="false" ht="15" hidden="false" customHeight="true" outlineLevel="0" collapsed="false">
      <c r="A116" s="29" t="s">
        <v>212</v>
      </c>
      <c r="B116" s="29"/>
      <c r="C116" s="30" t="n">
        <f aca="false">SUMIF(Détail!$C:$C,"FRAIS TENUE DE COMPTE",Détail!$E:$E)</f>
        <v>-288</v>
      </c>
    </row>
    <row r="117" customFormat="false" ht="15" hidden="false" customHeight="true" outlineLevel="0" collapsed="false">
      <c r="A117" s="24" t="s">
        <v>63</v>
      </c>
      <c r="B117" s="24" t="s">
        <v>64</v>
      </c>
    </row>
    <row r="118" customFormat="false" ht="15" hidden="false" customHeight="true" outlineLevel="0" collapsed="false">
      <c r="A118" s="8" t="s">
        <v>65</v>
      </c>
      <c r="B118" s="31" t="n">
        <f aca="false">SUMIFS(Détail!$E:$E,Détail!$C:$C,"FRAIS TENUE DE COMPTE",Détail!$A:$A,"&gt;="&amp;DATE(2025,1,1),Détail!$A:$A,"&lt;"&amp;EDATE(DATE(2025,1,1),1))</f>
        <v>0</v>
      </c>
    </row>
    <row r="119" customFormat="false" ht="15" hidden="false" customHeight="true" outlineLevel="0" collapsed="false">
      <c r="A119" s="8" t="s">
        <v>66</v>
      </c>
      <c r="B119" s="31" t="n">
        <f aca="false">SUMIFS(Détail!$E:$E,Détail!$C:$C,"FRAIS TENUE DE COMPTE",Détail!$A:$A,"&gt;="&amp;DATE(2025,2,1),Détail!$A:$A,"&lt;"&amp;EDATE(DATE(2025,2,1),1))</f>
        <v>0</v>
      </c>
    </row>
    <row r="120" customFormat="false" ht="15" hidden="false" customHeight="true" outlineLevel="0" collapsed="false">
      <c r="A120" s="8" t="s">
        <v>67</v>
      </c>
      <c r="B120" s="31" t="n">
        <f aca="false">SUMIFS(Détail!$E:$E,Détail!$C:$C,"FRAIS TENUE DE COMPTE",Détail!$A:$A,"&gt;="&amp;DATE(2025,3,1),Détail!$A:$A,"&lt;"&amp;EDATE(DATE(2025,3,1),1))</f>
        <v>-72</v>
      </c>
    </row>
    <row r="121" customFormat="false" ht="15" hidden="false" customHeight="true" outlineLevel="0" collapsed="false">
      <c r="A121" s="8" t="s">
        <v>68</v>
      </c>
      <c r="B121" s="31" t="n">
        <f aca="false">SUMIFS(Détail!$E:$E,Détail!$C:$C,"FRAIS TENUE DE COMPTE",Détail!$A:$A,"&gt;="&amp;DATE(2025,4,1),Détail!$A:$A,"&lt;"&amp;EDATE(DATE(2025,4,1),1))</f>
        <v>0</v>
      </c>
    </row>
    <row r="122" customFormat="false" ht="15" hidden="false" customHeight="true" outlineLevel="0" collapsed="false">
      <c r="A122" s="8" t="s">
        <v>69</v>
      </c>
      <c r="B122" s="31" t="n">
        <f aca="false">SUMIFS(Détail!$E:$E,Détail!$C:$C,"FRAIS TENUE DE COMPTE",Détail!$A:$A,"&gt;="&amp;DATE(2025,5,1),Détail!$A:$A,"&lt;"&amp;EDATE(DATE(2025,5,1),1))</f>
        <v>0</v>
      </c>
    </row>
    <row r="123" customFormat="false" ht="15" hidden="false" customHeight="true" outlineLevel="0" collapsed="false">
      <c r="A123" s="8" t="s">
        <v>70</v>
      </c>
      <c r="B123" s="31" t="n">
        <f aca="false">SUMIFS(Détail!$E:$E,Détail!$C:$C,"FRAIS TENUE DE COMPTE",Détail!$A:$A,"&gt;="&amp;DATE(2025,6,1),Détail!$A:$A,"&lt;"&amp;EDATE(DATE(2025,6,1),1))</f>
        <v>-72</v>
      </c>
    </row>
    <row r="124" customFormat="false" ht="15" hidden="false" customHeight="true" outlineLevel="0" collapsed="false">
      <c r="A124" s="8" t="s">
        <v>71</v>
      </c>
      <c r="B124" s="31" t="n">
        <f aca="false">SUMIFS(Détail!$E:$E,Détail!$C:$C,"FRAIS TENUE DE COMPTE",Détail!$A:$A,"&gt;="&amp;DATE(2025,7,1),Détail!$A:$A,"&lt;"&amp;EDATE(DATE(2025,7,1),1))</f>
        <v>0</v>
      </c>
    </row>
    <row r="125" customFormat="false" ht="15" hidden="false" customHeight="true" outlineLevel="0" collapsed="false">
      <c r="A125" s="8" t="s">
        <v>72</v>
      </c>
      <c r="B125" s="31" t="n">
        <f aca="false">SUMIFS(Détail!$E:$E,Détail!$C:$C,"FRAIS TENUE DE COMPTE",Détail!$A:$A,"&gt;="&amp;DATE(2025,8,1),Détail!$A:$A,"&lt;"&amp;EDATE(DATE(2025,8,1),1))</f>
        <v>0</v>
      </c>
    </row>
    <row r="126" customFormat="false" ht="15" hidden="false" customHeight="true" outlineLevel="0" collapsed="false">
      <c r="A126" s="8" t="s">
        <v>73</v>
      </c>
      <c r="B126" s="31" t="n">
        <f aca="false">SUMIFS(Détail!$E:$E,Détail!$C:$C,"FRAIS TENUE DE COMPTE",Détail!$A:$A,"&gt;="&amp;DATE(2025,9,1),Détail!$A:$A,"&lt;"&amp;EDATE(DATE(2025,9,1),1))</f>
        <v>-72</v>
      </c>
    </row>
    <row r="127" customFormat="false" ht="15" hidden="false" customHeight="true" outlineLevel="0" collapsed="false">
      <c r="A127" s="8" t="s">
        <v>74</v>
      </c>
      <c r="B127" s="31" t="n">
        <f aca="false">SUMIFS(Détail!$E:$E,Détail!$C:$C,"FRAIS TENUE DE COMPTE",Détail!$A:$A,"&gt;="&amp;DATE(2025,10,1),Détail!$A:$A,"&lt;"&amp;EDATE(DATE(2025,10,1),1))</f>
        <v>0</v>
      </c>
    </row>
    <row r="128" customFormat="false" ht="15" hidden="false" customHeight="true" outlineLevel="0" collapsed="false">
      <c r="A128" s="8" t="s">
        <v>75</v>
      </c>
      <c r="B128" s="31" t="n">
        <f aca="false">SUMIFS(Détail!$E:$E,Détail!$C:$C,"FRAIS TENUE DE COMPTE",Détail!$A:$A,"&gt;="&amp;DATE(2025,11,1),Détail!$A:$A,"&lt;"&amp;EDATE(DATE(2025,11,1),1))</f>
        <v>0</v>
      </c>
    </row>
    <row r="129" customFormat="false" ht="15" hidden="false" customHeight="true" outlineLevel="0" collapsed="false">
      <c r="A129" s="8" t="s">
        <v>76</v>
      </c>
      <c r="B129" s="31" t="n">
        <f aca="false">SUMIFS(Détail!$E:$E,Détail!$C:$C,"FRAIS TENUE DE COMPTE",Détail!$A:$A,"&gt;="&amp;DATE(2025,12,1),Détail!$A:$A,"&lt;"&amp;EDATE(DATE(2025,12,1),1))</f>
        <v>-72</v>
      </c>
    </row>
    <row r="132" customFormat="false" ht="15" hidden="false" customHeight="true" outlineLevel="0" collapsed="false">
      <c r="A132" s="29" t="s">
        <v>213</v>
      </c>
      <c r="B132" s="29"/>
      <c r="C132" s="30" t="n">
        <f aca="false">SUMIF(Détail!$C:$C,"PRELEVEMENT SEPA",Détail!$E:$E)</f>
        <v>-83657.78</v>
      </c>
    </row>
    <row r="133" customFormat="false" ht="15" hidden="false" customHeight="true" outlineLevel="0" collapsed="false">
      <c r="A133" s="24" t="s">
        <v>63</v>
      </c>
      <c r="B133" s="24" t="s">
        <v>64</v>
      </c>
    </row>
    <row r="134" customFormat="false" ht="15" hidden="false" customHeight="true" outlineLevel="0" collapsed="false">
      <c r="A134" s="8" t="s">
        <v>65</v>
      </c>
      <c r="B134" s="31" t="n">
        <f aca="false">SUMIFS(Détail!$E:$E,Détail!$C:$C,"PRELEVEMENT SEPA",Détail!$A:$A,"&gt;="&amp;DATE(2025,1,1),Détail!$A:$A,"&lt;"&amp;EDATE(DATE(2025,1,1),1))</f>
        <v>-6272.08</v>
      </c>
    </row>
    <row r="135" customFormat="false" ht="15" hidden="false" customHeight="true" outlineLevel="0" collapsed="false">
      <c r="A135" s="8" t="s">
        <v>66</v>
      </c>
      <c r="B135" s="31" t="n">
        <f aca="false">SUMIFS(Détail!$E:$E,Détail!$C:$C,"PRELEVEMENT SEPA",Détail!$A:$A,"&gt;="&amp;DATE(2025,2,1),Détail!$A:$A,"&lt;"&amp;EDATE(DATE(2025,2,1),1))</f>
        <v>-5832.27</v>
      </c>
    </row>
    <row r="136" customFormat="false" ht="15" hidden="false" customHeight="true" outlineLevel="0" collapsed="false">
      <c r="A136" s="8" t="s">
        <v>67</v>
      </c>
      <c r="B136" s="31" t="n">
        <f aca="false">SUMIFS(Détail!$E:$E,Détail!$C:$C,"PRELEVEMENT SEPA",Détail!$A:$A,"&gt;="&amp;DATE(2025,3,1),Détail!$A:$A,"&lt;"&amp;EDATE(DATE(2025,3,1),1))</f>
        <v>-7709.62</v>
      </c>
    </row>
    <row r="137" customFormat="false" ht="15" hidden="false" customHeight="true" outlineLevel="0" collapsed="false">
      <c r="A137" s="8" t="s">
        <v>68</v>
      </c>
      <c r="B137" s="31" t="n">
        <f aca="false">SUMIFS(Détail!$E:$E,Détail!$C:$C,"PRELEVEMENT SEPA",Détail!$A:$A,"&gt;="&amp;DATE(2025,4,1),Détail!$A:$A,"&lt;"&amp;EDATE(DATE(2025,4,1),1))</f>
        <v>-6021.68</v>
      </c>
    </row>
    <row r="138" customFormat="false" ht="15" hidden="false" customHeight="true" outlineLevel="0" collapsed="false">
      <c r="A138" s="8" t="s">
        <v>69</v>
      </c>
      <c r="B138" s="31" t="n">
        <f aca="false">SUMIFS(Détail!$E:$E,Détail!$C:$C,"PRELEVEMENT SEPA",Détail!$A:$A,"&gt;="&amp;DATE(2025,5,1),Détail!$A:$A,"&lt;"&amp;EDATE(DATE(2025,5,1),1))</f>
        <v>-6705.74</v>
      </c>
    </row>
    <row r="139" customFormat="false" ht="15" hidden="false" customHeight="true" outlineLevel="0" collapsed="false">
      <c r="A139" s="8" t="s">
        <v>70</v>
      </c>
      <c r="B139" s="31" t="n">
        <f aca="false">SUMIFS(Détail!$E:$E,Détail!$C:$C,"PRELEVEMENT SEPA",Détail!$A:$A,"&gt;="&amp;DATE(2025,6,1),Détail!$A:$A,"&lt;"&amp;EDATE(DATE(2025,6,1),1))</f>
        <v>-6738.12</v>
      </c>
    </row>
    <row r="140" customFormat="false" ht="15" hidden="false" customHeight="true" outlineLevel="0" collapsed="false">
      <c r="A140" s="8" t="s">
        <v>71</v>
      </c>
      <c r="B140" s="31" t="n">
        <f aca="false">SUMIFS(Détail!$E:$E,Détail!$C:$C,"PRELEVEMENT SEPA",Détail!$A:$A,"&gt;="&amp;DATE(2025,7,1),Détail!$A:$A,"&lt;"&amp;EDATE(DATE(2025,7,1),1))</f>
        <v>-6581.36</v>
      </c>
    </row>
    <row r="141" customFormat="false" ht="15" hidden="false" customHeight="true" outlineLevel="0" collapsed="false">
      <c r="A141" s="8" t="s">
        <v>72</v>
      </c>
      <c r="B141" s="31" t="n">
        <f aca="false">SUMIFS(Détail!$E:$E,Détail!$C:$C,"PRELEVEMENT SEPA",Détail!$A:$A,"&gt;="&amp;DATE(2025,8,1),Détail!$A:$A,"&lt;"&amp;EDATE(DATE(2025,8,1),1))</f>
        <v>-6967.4</v>
      </c>
    </row>
    <row r="142" customFormat="false" ht="15" hidden="false" customHeight="true" outlineLevel="0" collapsed="false">
      <c r="A142" s="8" t="s">
        <v>73</v>
      </c>
      <c r="B142" s="31" t="n">
        <f aca="false">SUMIFS(Détail!$E:$E,Détail!$C:$C,"PRELEVEMENT SEPA",Détail!$A:$A,"&gt;="&amp;DATE(2025,9,1),Détail!$A:$A,"&lt;"&amp;EDATE(DATE(2025,9,1),1))</f>
        <v>-6389.29</v>
      </c>
    </row>
    <row r="143" customFormat="false" ht="15" hidden="false" customHeight="true" outlineLevel="0" collapsed="false">
      <c r="A143" s="8" t="s">
        <v>74</v>
      </c>
      <c r="B143" s="31" t="n">
        <f aca="false">SUMIFS(Détail!$E:$E,Détail!$C:$C,"PRELEVEMENT SEPA",Détail!$A:$A,"&gt;="&amp;DATE(2025,10,1),Détail!$A:$A,"&lt;"&amp;EDATE(DATE(2025,10,1),1))</f>
        <v>-7812.77</v>
      </c>
    </row>
    <row r="144" customFormat="false" ht="15" hidden="false" customHeight="true" outlineLevel="0" collapsed="false">
      <c r="A144" s="8" t="s">
        <v>75</v>
      </c>
      <c r="B144" s="31" t="n">
        <f aca="false">SUMIFS(Détail!$E:$E,Détail!$C:$C,"PRELEVEMENT SEPA",Détail!$A:$A,"&gt;="&amp;DATE(2025,11,1),Détail!$A:$A,"&lt;"&amp;EDATE(DATE(2025,11,1),1))</f>
        <v>-6435.22</v>
      </c>
    </row>
    <row r="145" customFormat="false" ht="15" hidden="false" customHeight="true" outlineLevel="0" collapsed="false">
      <c r="A145" s="8" t="s">
        <v>76</v>
      </c>
      <c r="B145" s="31" t="n">
        <f aca="false">SUMIFS(Détail!$E:$E,Détail!$C:$C,"PRELEVEMENT SEPA",Détail!$A:$A,"&gt;="&amp;DATE(2025,12,1),Détail!$A:$A,"&lt;"&amp;EDATE(DATE(2025,12,1),1))</f>
        <v>-10192.23</v>
      </c>
    </row>
    <row r="148" customFormat="false" ht="15" hidden="false" customHeight="true" outlineLevel="0" collapsed="false">
      <c r="A148" s="29" t="s">
        <v>214</v>
      </c>
      <c r="B148" s="29"/>
      <c r="C148" s="30" t="n">
        <f aca="false">SUMIF(Détail!$C:$C,"FRAIS DE DOSSIER",Détail!$E:$E)</f>
        <v>-120</v>
      </c>
    </row>
    <row r="149" customFormat="false" ht="15" hidden="false" customHeight="true" outlineLevel="0" collapsed="false">
      <c r="A149" s="24" t="s">
        <v>63</v>
      </c>
      <c r="B149" s="24" t="s">
        <v>64</v>
      </c>
    </row>
    <row r="150" customFormat="false" ht="15" hidden="false" customHeight="true" outlineLevel="0" collapsed="false">
      <c r="A150" s="8" t="s">
        <v>65</v>
      </c>
      <c r="B150" s="31" t="n">
        <f aca="false">SUMIFS(Détail!$E:$E,Détail!$C:$C,"FRAIS DE DOSSIER",Détail!$A:$A,"&gt;="&amp;DATE(2025,1,1),Détail!$A:$A,"&lt;"&amp;EDATE(DATE(2025,1,1),1))</f>
        <v>0</v>
      </c>
    </row>
    <row r="151" customFormat="false" ht="15" hidden="false" customHeight="true" outlineLevel="0" collapsed="false">
      <c r="A151" s="8" t="s">
        <v>66</v>
      </c>
      <c r="B151" s="31" t="n">
        <f aca="false">SUMIFS(Détail!$E:$E,Détail!$C:$C,"FRAIS DE DOSSIER",Détail!$A:$A,"&gt;="&amp;DATE(2025,2,1),Détail!$A:$A,"&lt;"&amp;EDATE(DATE(2025,2,1),1))</f>
        <v>0</v>
      </c>
    </row>
    <row r="152" customFormat="false" ht="15" hidden="false" customHeight="true" outlineLevel="0" collapsed="false">
      <c r="A152" s="8" t="s">
        <v>67</v>
      </c>
      <c r="B152" s="31" t="n">
        <f aca="false">SUMIFS(Détail!$E:$E,Détail!$C:$C,"FRAIS DE DOSSIER",Détail!$A:$A,"&gt;="&amp;DATE(2025,3,1),Détail!$A:$A,"&lt;"&amp;EDATE(DATE(2025,3,1),1))</f>
        <v>0</v>
      </c>
    </row>
    <row r="153" customFormat="false" ht="15" hidden="false" customHeight="true" outlineLevel="0" collapsed="false">
      <c r="A153" s="8" t="s">
        <v>68</v>
      </c>
      <c r="B153" s="31" t="n">
        <f aca="false">SUMIFS(Détail!$E:$E,Détail!$C:$C,"FRAIS DE DOSSIER",Détail!$A:$A,"&gt;="&amp;DATE(2025,4,1),Détail!$A:$A,"&lt;"&amp;EDATE(DATE(2025,4,1),1))</f>
        <v>0</v>
      </c>
    </row>
    <row r="154" customFormat="false" ht="15" hidden="false" customHeight="true" outlineLevel="0" collapsed="false">
      <c r="A154" s="8" t="s">
        <v>69</v>
      </c>
      <c r="B154" s="31" t="n">
        <f aca="false">SUMIFS(Détail!$E:$E,Détail!$C:$C,"FRAIS DE DOSSIER",Détail!$A:$A,"&gt;="&amp;DATE(2025,5,1),Détail!$A:$A,"&lt;"&amp;EDATE(DATE(2025,5,1),1))</f>
        <v>0</v>
      </c>
    </row>
    <row r="155" customFormat="false" ht="15" hidden="false" customHeight="true" outlineLevel="0" collapsed="false">
      <c r="A155" s="8" t="s">
        <v>70</v>
      </c>
      <c r="B155" s="31" t="n">
        <f aca="false">SUMIFS(Détail!$E:$E,Détail!$C:$C,"FRAIS DE DOSSIER",Détail!$A:$A,"&gt;="&amp;DATE(2025,6,1),Détail!$A:$A,"&lt;"&amp;EDATE(DATE(2025,6,1),1))</f>
        <v>0</v>
      </c>
    </row>
    <row r="156" customFormat="false" ht="15" hidden="false" customHeight="true" outlineLevel="0" collapsed="false">
      <c r="A156" s="8" t="s">
        <v>71</v>
      </c>
      <c r="B156" s="31" t="n">
        <f aca="false">SUMIFS(Détail!$E:$E,Détail!$C:$C,"FRAIS DE DOSSIER",Détail!$A:$A,"&gt;="&amp;DATE(2025,7,1),Détail!$A:$A,"&lt;"&amp;EDATE(DATE(2025,7,1),1))</f>
        <v>-120</v>
      </c>
    </row>
    <row r="157" customFormat="false" ht="15" hidden="false" customHeight="true" outlineLevel="0" collapsed="false">
      <c r="A157" s="8" t="s">
        <v>72</v>
      </c>
      <c r="B157" s="31" t="n">
        <f aca="false">SUMIFS(Détail!$E:$E,Détail!$C:$C,"FRAIS DE DOSSIER",Détail!$A:$A,"&gt;="&amp;DATE(2025,8,1),Détail!$A:$A,"&lt;"&amp;EDATE(DATE(2025,8,1),1))</f>
        <v>0</v>
      </c>
    </row>
    <row r="158" customFormat="false" ht="15" hidden="false" customHeight="true" outlineLevel="0" collapsed="false">
      <c r="A158" s="8" t="s">
        <v>73</v>
      </c>
      <c r="B158" s="31" t="n">
        <f aca="false">SUMIFS(Détail!$E:$E,Détail!$C:$C,"FRAIS DE DOSSIER",Détail!$A:$A,"&gt;="&amp;DATE(2025,9,1),Détail!$A:$A,"&lt;"&amp;EDATE(DATE(2025,9,1),1))</f>
        <v>0</v>
      </c>
    </row>
    <row r="159" customFormat="false" ht="15" hidden="false" customHeight="true" outlineLevel="0" collapsed="false">
      <c r="A159" s="8" t="s">
        <v>74</v>
      </c>
      <c r="B159" s="31" t="n">
        <f aca="false">SUMIFS(Détail!$E:$E,Détail!$C:$C,"FRAIS DE DOSSIER",Détail!$A:$A,"&gt;="&amp;DATE(2025,10,1),Détail!$A:$A,"&lt;"&amp;EDATE(DATE(2025,10,1),1))</f>
        <v>0</v>
      </c>
    </row>
    <row r="160" customFormat="false" ht="15" hidden="false" customHeight="true" outlineLevel="0" collapsed="false">
      <c r="A160" s="8" t="s">
        <v>75</v>
      </c>
      <c r="B160" s="31" t="n">
        <f aca="false">SUMIFS(Détail!$E:$E,Détail!$C:$C,"FRAIS DE DOSSIER",Détail!$A:$A,"&gt;="&amp;DATE(2025,11,1),Détail!$A:$A,"&lt;"&amp;EDATE(DATE(2025,11,1),1))</f>
        <v>0</v>
      </c>
    </row>
    <row r="161" customFormat="false" ht="15" hidden="false" customHeight="true" outlineLevel="0" collapsed="false">
      <c r="A161" s="8" t="s">
        <v>76</v>
      </c>
      <c r="B161" s="31" t="n">
        <f aca="false">SUMIFS(Détail!$E:$E,Détail!$C:$C,"FRAIS DE DOSSIER",Détail!$A:$A,"&gt;="&amp;DATE(2025,12,1),Détail!$A:$A,"&lt;"&amp;EDATE(DATE(2025,12,1),1))</f>
        <v>0</v>
      </c>
    </row>
    <row r="164" customFormat="false" ht="15" hidden="false" customHeight="true" outlineLevel="0" collapsed="false">
      <c r="A164" s="29" t="s">
        <v>215</v>
      </c>
      <c r="B164" s="29"/>
      <c r="C164" s="30" t="n">
        <f aca="false">SUMIF(Détail!$C:$C,"FRAIS VIREMENT INTERNATIONAL TAXABLE",Détail!$E:$E)</f>
        <v>-102.48</v>
      </c>
    </row>
    <row r="165" customFormat="false" ht="15" hidden="false" customHeight="true" outlineLevel="0" collapsed="false">
      <c r="A165" s="24" t="s">
        <v>63</v>
      </c>
      <c r="B165" s="24" t="s">
        <v>64</v>
      </c>
    </row>
    <row r="166" customFormat="false" ht="15" hidden="false" customHeight="true" outlineLevel="0" collapsed="false">
      <c r="A166" s="8" t="s">
        <v>65</v>
      </c>
      <c r="B166" s="31" t="n">
        <f aca="false">SUMIFS(Détail!$E:$E,Détail!$C:$C,"FRAIS VIREMENT INTERNATIONAL TAXABLE",Détail!$A:$A,"&gt;="&amp;DATE(2025,1,1),Détail!$A:$A,"&lt;"&amp;EDATE(DATE(2025,1,1),1))</f>
        <v>0</v>
      </c>
    </row>
    <row r="167" customFormat="false" ht="15" hidden="false" customHeight="true" outlineLevel="0" collapsed="false">
      <c r="A167" s="8" t="s">
        <v>66</v>
      </c>
      <c r="B167" s="31" t="n">
        <f aca="false">SUMIFS(Détail!$E:$E,Détail!$C:$C,"FRAIS VIREMENT INTERNATIONAL TAXABLE",Détail!$A:$A,"&gt;="&amp;DATE(2025,2,1),Détail!$A:$A,"&lt;"&amp;EDATE(DATE(2025,2,1),1))</f>
        <v>0</v>
      </c>
    </row>
    <row r="168" customFormat="false" ht="15" hidden="false" customHeight="true" outlineLevel="0" collapsed="false">
      <c r="A168" s="8" t="s">
        <v>67</v>
      </c>
      <c r="B168" s="31" t="n">
        <f aca="false">SUMIFS(Détail!$E:$E,Détail!$C:$C,"FRAIS VIREMENT INTERNATIONAL TAXABLE",Détail!$A:$A,"&gt;="&amp;DATE(2025,3,1),Détail!$A:$A,"&lt;"&amp;EDATE(DATE(2025,3,1),1))</f>
        <v>-43.92</v>
      </c>
    </row>
    <row r="169" customFormat="false" ht="15" hidden="false" customHeight="true" outlineLevel="0" collapsed="false">
      <c r="A169" s="8" t="s">
        <v>68</v>
      </c>
      <c r="B169" s="31" t="n">
        <f aca="false">SUMIFS(Détail!$E:$E,Détail!$C:$C,"FRAIS VIREMENT INTERNATIONAL TAXABLE",Détail!$A:$A,"&gt;="&amp;DATE(2025,4,1),Détail!$A:$A,"&lt;"&amp;EDATE(DATE(2025,4,1),1))</f>
        <v>0</v>
      </c>
    </row>
    <row r="170" customFormat="false" ht="15" hidden="false" customHeight="true" outlineLevel="0" collapsed="false">
      <c r="A170" s="8" t="s">
        <v>69</v>
      </c>
      <c r="B170" s="31" t="n">
        <f aca="false">SUMIFS(Détail!$E:$E,Détail!$C:$C,"FRAIS VIREMENT INTERNATIONAL TAXABLE",Détail!$A:$A,"&gt;="&amp;DATE(2025,5,1),Détail!$A:$A,"&lt;"&amp;EDATE(DATE(2025,5,1),1))</f>
        <v>0</v>
      </c>
    </row>
    <row r="171" customFormat="false" ht="15" hidden="false" customHeight="true" outlineLevel="0" collapsed="false">
      <c r="A171" s="8" t="s">
        <v>70</v>
      </c>
      <c r="B171" s="31" t="n">
        <f aca="false">SUMIFS(Détail!$E:$E,Détail!$C:$C,"FRAIS VIREMENT INTERNATIONAL TAXABLE",Détail!$A:$A,"&gt;="&amp;DATE(2025,6,1),Détail!$A:$A,"&lt;"&amp;EDATE(DATE(2025,6,1),1))</f>
        <v>-14.64</v>
      </c>
    </row>
    <row r="172" customFormat="false" ht="15" hidden="false" customHeight="true" outlineLevel="0" collapsed="false">
      <c r="A172" s="8" t="s">
        <v>71</v>
      </c>
      <c r="B172" s="31" t="n">
        <f aca="false">SUMIFS(Détail!$E:$E,Détail!$C:$C,"FRAIS VIREMENT INTERNATIONAL TAXABLE",Détail!$A:$A,"&gt;="&amp;DATE(2025,7,1),Détail!$A:$A,"&lt;"&amp;EDATE(DATE(2025,7,1),1))</f>
        <v>0</v>
      </c>
    </row>
    <row r="173" customFormat="false" ht="15" hidden="false" customHeight="true" outlineLevel="0" collapsed="false">
      <c r="A173" s="8" t="s">
        <v>72</v>
      </c>
      <c r="B173" s="31" t="n">
        <f aca="false">SUMIFS(Détail!$E:$E,Détail!$C:$C,"FRAIS VIREMENT INTERNATIONAL TAXABLE",Détail!$A:$A,"&gt;="&amp;DATE(2025,8,1),Détail!$A:$A,"&lt;"&amp;EDATE(DATE(2025,8,1),1))</f>
        <v>0</v>
      </c>
    </row>
    <row r="174" customFormat="false" ht="15" hidden="false" customHeight="true" outlineLevel="0" collapsed="false">
      <c r="A174" s="8" t="s">
        <v>73</v>
      </c>
      <c r="B174" s="31" t="n">
        <f aca="false">SUMIFS(Détail!$E:$E,Détail!$C:$C,"FRAIS VIREMENT INTERNATIONAL TAXABLE",Détail!$A:$A,"&gt;="&amp;DATE(2025,9,1),Détail!$A:$A,"&lt;"&amp;EDATE(DATE(2025,9,1),1))</f>
        <v>-14.64</v>
      </c>
    </row>
    <row r="175" customFormat="false" ht="15" hidden="false" customHeight="true" outlineLevel="0" collapsed="false">
      <c r="A175" s="8" t="s">
        <v>74</v>
      </c>
      <c r="B175" s="31" t="n">
        <f aca="false">SUMIFS(Détail!$E:$E,Détail!$C:$C,"FRAIS VIREMENT INTERNATIONAL TAXABLE",Détail!$A:$A,"&gt;="&amp;DATE(2025,10,1),Détail!$A:$A,"&lt;"&amp;EDATE(DATE(2025,10,1),1))</f>
        <v>-14.64</v>
      </c>
    </row>
    <row r="176" customFormat="false" ht="15" hidden="false" customHeight="true" outlineLevel="0" collapsed="false">
      <c r="A176" s="8" t="s">
        <v>75</v>
      </c>
      <c r="B176" s="31" t="n">
        <f aca="false">SUMIFS(Détail!$E:$E,Détail!$C:$C,"FRAIS VIREMENT INTERNATIONAL TAXABLE",Détail!$A:$A,"&gt;="&amp;DATE(2025,11,1),Détail!$A:$A,"&lt;"&amp;EDATE(DATE(2025,11,1),1))</f>
        <v>-14.64</v>
      </c>
    </row>
    <row r="177" customFormat="false" ht="15" hidden="false" customHeight="true" outlineLevel="0" collapsed="false">
      <c r="A177" s="8" t="s">
        <v>76</v>
      </c>
      <c r="B177" s="31" t="n">
        <f aca="false">SUMIFS(Détail!$E:$E,Détail!$C:$C,"FRAIS VIREMENT INTERNATIONAL TAXABLE",Détail!$A:$A,"&gt;="&amp;DATE(2025,12,1),Détail!$A:$A,"&lt;"&amp;EDATE(DATE(2025,12,1),1))</f>
        <v>0</v>
      </c>
    </row>
    <row r="180" customFormat="false" ht="15" hidden="false" customHeight="true" outlineLevel="0" collapsed="false">
      <c r="A180" s="29" t="s">
        <v>216</v>
      </c>
      <c r="B180" s="29"/>
      <c r="C180" s="30" t="n">
        <f aca="false">SUMIF(Détail!$C:$C,"COTISATION BRED GARANTIE HOMME CLE",Détail!$E:$E)</f>
        <v>-92.28</v>
      </c>
    </row>
    <row r="181" customFormat="false" ht="15" hidden="false" customHeight="true" outlineLevel="0" collapsed="false">
      <c r="A181" s="24" t="s">
        <v>63</v>
      </c>
      <c r="B181" s="24" t="s">
        <v>64</v>
      </c>
    </row>
    <row r="182" customFormat="false" ht="15" hidden="false" customHeight="true" outlineLevel="0" collapsed="false">
      <c r="A182" s="8" t="s">
        <v>65</v>
      </c>
      <c r="B182" s="31" t="n">
        <f aca="false">SUMIFS(Détail!$E:$E,Détail!$C:$C,"COTISATION BRED GARANTIE HOMME CLE",Détail!$A:$A,"&gt;="&amp;DATE(2025,1,1),Détail!$A:$A,"&lt;"&amp;EDATE(DATE(2025,1,1),1))</f>
        <v>-7.69</v>
      </c>
    </row>
    <row r="183" customFormat="false" ht="15" hidden="false" customHeight="true" outlineLevel="0" collapsed="false">
      <c r="A183" s="8" t="s">
        <v>66</v>
      </c>
      <c r="B183" s="31" t="n">
        <f aca="false">SUMIFS(Détail!$E:$E,Détail!$C:$C,"COTISATION BRED GARANTIE HOMME CLE",Détail!$A:$A,"&gt;="&amp;DATE(2025,2,1),Détail!$A:$A,"&lt;"&amp;EDATE(DATE(2025,2,1),1))</f>
        <v>-7.69</v>
      </c>
    </row>
    <row r="184" customFormat="false" ht="15" hidden="false" customHeight="true" outlineLevel="0" collapsed="false">
      <c r="A184" s="8" t="s">
        <v>67</v>
      </c>
      <c r="B184" s="31" t="n">
        <f aca="false">SUMIFS(Détail!$E:$E,Détail!$C:$C,"COTISATION BRED GARANTIE HOMME CLE",Détail!$A:$A,"&gt;="&amp;DATE(2025,3,1),Détail!$A:$A,"&lt;"&amp;EDATE(DATE(2025,3,1),1))</f>
        <v>-7.69</v>
      </c>
    </row>
    <row r="185" customFormat="false" ht="15" hidden="false" customHeight="true" outlineLevel="0" collapsed="false">
      <c r="A185" s="8" t="s">
        <v>68</v>
      </c>
      <c r="B185" s="31" t="n">
        <f aca="false">SUMIFS(Détail!$E:$E,Détail!$C:$C,"COTISATION BRED GARANTIE HOMME CLE",Détail!$A:$A,"&gt;="&amp;DATE(2025,4,1),Détail!$A:$A,"&lt;"&amp;EDATE(DATE(2025,4,1),1))</f>
        <v>-7.69</v>
      </c>
    </row>
    <row r="186" customFormat="false" ht="15" hidden="false" customHeight="true" outlineLevel="0" collapsed="false">
      <c r="A186" s="8" t="s">
        <v>69</v>
      </c>
      <c r="B186" s="31" t="n">
        <f aca="false">SUMIFS(Détail!$E:$E,Détail!$C:$C,"COTISATION BRED GARANTIE HOMME CLE",Détail!$A:$A,"&gt;="&amp;DATE(2025,5,1),Détail!$A:$A,"&lt;"&amp;EDATE(DATE(2025,5,1),1))</f>
        <v>-7.69</v>
      </c>
    </row>
    <row r="187" customFormat="false" ht="15" hidden="false" customHeight="true" outlineLevel="0" collapsed="false">
      <c r="A187" s="8" t="s">
        <v>70</v>
      </c>
      <c r="B187" s="31" t="n">
        <f aca="false">SUMIFS(Détail!$E:$E,Détail!$C:$C,"COTISATION BRED GARANTIE HOMME CLE",Détail!$A:$A,"&gt;="&amp;DATE(2025,6,1),Détail!$A:$A,"&lt;"&amp;EDATE(DATE(2025,6,1),1))</f>
        <v>-7.69</v>
      </c>
    </row>
    <row r="188" customFormat="false" ht="15" hidden="false" customHeight="true" outlineLevel="0" collapsed="false">
      <c r="A188" s="8" t="s">
        <v>71</v>
      </c>
      <c r="B188" s="31" t="n">
        <f aca="false">SUMIFS(Détail!$E:$E,Détail!$C:$C,"COTISATION BRED GARANTIE HOMME CLE",Détail!$A:$A,"&gt;="&amp;DATE(2025,7,1),Détail!$A:$A,"&lt;"&amp;EDATE(DATE(2025,7,1),1))</f>
        <v>-7.69</v>
      </c>
    </row>
    <row r="189" customFormat="false" ht="15" hidden="false" customHeight="true" outlineLevel="0" collapsed="false">
      <c r="A189" s="8" t="s">
        <v>72</v>
      </c>
      <c r="B189" s="31" t="n">
        <f aca="false">SUMIFS(Détail!$E:$E,Détail!$C:$C,"COTISATION BRED GARANTIE HOMME CLE",Détail!$A:$A,"&gt;="&amp;DATE(2025,8,1),Détail!$A:$A,"&lt;"&amp;EDATE(DATE(2025,8,1),1))</f>
        <v>-7.69</v>
      </c>
    </row>
    <row r="190" customFormat="false" ht="15" hidden="false" customHeight="true" outlineLevel="0" collapsed="false">
      <c r="A190" s="8" t="s">
        <v>73</v>
      </c>
      <c r="B190" s="31" t="n">
        <f aca="false">SUMIFS(Détail!$E:$E,Détail!$C:$C,"COTISATION BRED GARANTIE HOMME CLE",Détail!$A:$A,"&gt;="&amp;DATE(2025,9,1),Détail!$A:$A,"&lt;"&amp;EDATE(DATE(2025,9,1),1))</f>
        <v>-7.69</v>
      </c>
    </row>
    <row r="191" customFormat="false" ht="15" hidden="false" customHeight="true" outlineLevel="0" collapsed="false">
      <c r="A191" s="8" t="s">
        <v>74</v>
      </c>
      <c r="B191" s="31" t="n">
        <f aca="false">SUMIFS(Détail!$E:$E,Détail!$C:$C,"COTISATION BRED GARANTIE HOMME CLE",Détail!$A:$A,"&gt;="&amp;DATE(2025,10,1),Détail!$A:$A,"&lt;"&amp;EDATE(DATE(2025,10,1),1))</f>
        <v>-7.69</v>
      </c>
    </row>
    <row r="192" customFormat="false" ht="15" hidden="false" customHeight="true" outlineLevel="0" collapsed="false">
      <c r="A192" s="8" t="s">
        <v>75</v>
      </c>
      <c r="B192" s="31" t="n">
        <f aca="false">SUMIFS(Détail!$E:$E,Détail!$C:$C,"COTISATION BRED GARANTIE HOMME CLE",Détail!$A:$A,"&gt;="&amp;DATE(2025,11,1),Détail!$A:$A,"&lt;"&amp;EDATE(DATE(2025,11,1),1))</f>
        <v>-7.69</v>
      </c>
    </row>
    <row r="193" customFormat="false" ht="15" hidden="false" customHeight="true" outlineLevel="0" collapsed="false">
      <c r="A193" s="8" t="s">
        <v>76</v>
      </c>
      <c r="B193" s="31" t="n">
        <f aca="false">SUMIFS(Détail!$E:$E,Détail!$C:$C,"COTISATION BRED GARANTIE HOMME CLE",Détail!$A:$A,"&gt;="&amp;DATE(2025,12,1),Détail!$A:$A,"&lt;"&amp;EDATE(DATE(2025,12,1),1))</f>
        <v>-7.69</v>
      </c>
    </row>
    <row r="196" customFormat="false" ht="15" hidden="false" customHeight="true" outlineLevel="0" collapsed="false">
      <c r="A196" s="29" t="s">
        <v>217</v>
      </c>
      <c r="B196" s="29"/>
      <c r="C196" s="30" t="n">
        <f aca="false">SUMIF(Détail!$C:$C,"FRAIS AVIS D'OPERE",Détail!$E:$E)</f>
        <v>-87.6</v>
      </c>
    </row>
    <row r="197" customFormat="false" ht="15" hidden="false" customHeight="true" outlineLevel="0" collapsed="false">
      <c r="A197" s="24" t="s">
        <v>63</v>
      </c>
      <c r="B197" s="24" t="s">
        <v>64</v>
      </c>
    </row>
    <row r="198" customFormat="false" ht="15" hidden="false" customHeight="true" outlineLevel="0" collapsed="false">
      <c r="A198" s="8" t="s">
        <v>65</v>
      </c>
      <c r="B198" s="31" t="n">
        <f aca="false">SUMIFS(Détail!$E:$E,Détail!$C:$C,"FRAIS AVIS D'OPERE",Détail!$A:$A,"&gt;="&amp;DATE(2025,1,1),Détail!$A:$A,"&lt;"&amp;EDATE(DATE(2025,1,1),1))</f>
        <v>-7.2</v>
      </c>
    </row>
    <row r="199" customFormat="false" ht="15" hidden="false" customHeight="true" outlineLevel="0" collapsed="false">
      <c r="A199" s="8" t="s">
        <v>66</v>
      </c>
      <c r="B199" s="31" t="n">
        <f aca="false">SUMIFS(Détail!$E:$E,Détail!$C:$C,"FRAIS AVIS D'OPERE",Détail!$A:$A,"&gt;="&amp;DATE(2025,2,1),Détail!$A:$A,"&lt;"&amp;EDATE(DATE(2025,2,1),1))</f>
        <v>-3.6</v>
      </c>
    </row>
    <row r="200" customFormat="false" ht="15" hidden="false" customHeight="true" outlineLevel="0" collapsed="false">
      <c r="A200" s="8" t="s">
        <v>67</v>
      </c>
      <c r="B200" s="31" t="n">
        <f aca="false">SUMIFS(Détail!$E:$E,Détail!$C:$C,"FRAIS AVIS D'OPERE",Détail!$A:$A,"&gt;="&amp;DATE(2025,3,1),Détail!$A:$A,"&lt;"&amp;EDATE(DATE(2025,3,1),1))</f>
        <v>-9.6</v>
      </c>
    </row>
    <row r="201" customFormat="false" ht="15" hidden="false" customHeight="true" outlineLevel="0" collapsed="false">
      <c r="A201" s="8" t="s">
        <v>68</v>
      </c>
      <c r="B201" s="31" t="n">
        <f aca="false">SUMIFS(Détail!$E:$E,Détail!$C:$C,"FRAIS AVIS D'OPERE",Détail!$A:$A,"&gt;="&amp;DATE(2025,4,1),Détail!$A:$A,"&lt;"&amp;EDATE(DATE(2025,4,1),1))</f>
        <v>-8.4</v>
      </c>
    </row>
    <row r="202" customFormat="false" ht="15" hidden="false" customHeight="true" outlineLevel="0" collapsed="false">
      <c r="A202" s="8" t="s">
        <v>69</v>
      </c>
      <c r="B202" s="31" t="n">
        <f aca="false">SUMIFS(Détail!$E:$E,Détail!$C:$C,"FRAIS AVIS D'OPERE",Détail!$A:$A,"&gt;="&amp;DATE(2025,5,1),Détail!$A:$A,"&lt;"&amp;EDATE(DATE(2025,5,1),1))</f>
        <v>-6</v>
      </c>
    </row>
    <row r="203" customFormat="false" ht="15" hidden="false" customHeight="true" outlineLevel="0" collapsed="false">
      <c r="A203" s="8" t="s">
        <v>70</v>
      </c>
      <c r="B203" s="31" t="n">
        <f aca="false">SUMIFS(Détail!$E:$E,Détail!$C:$C,"FRAIS AVIS D'OPERE",Détail!$A:$A,"&gt;="&amp;DATE(2025,6,1),Détail!$A:$A,"&lt;"&amp;EDATE(DATE(2025,6,1),1))</f>
        <v>-13.2</v>
      </c>
    </row>
    <row r="204" customFormat="false" ht="15" hidden="false" customHeight="true" outlineLevel="0" collapsed="false">
      <c r="A204" s="8" t="s">
        <v>71</v>
      </c>
      <c r="B204" s="31" t="n">
        <f aca="false">SUMIFS(Détail!$E:$E,Détail!$C:$C,"FRAIS AVIS D'OPERE",Détail!$A:$A,"&gt;="&amp;DATE(2025,7,1),Détail!$A:$A,"&lt;"&amp;EDATE(DATE(2025,7,1),1))</f>
        <v>-8.4</v>
      </c>
    </row>
    <row r="205" customFormat="false" ht="15" hidden="false" customHeight="true" outlineLevel="0" collapsed="false">
      <c r="A205" s="8" t="s">
        <v>72</v>
      </c>
      <c r="B205" s="31" t="n">
        <f aca="false">SUMIFS(Détail!$E:$E,Détail!$C:$C,"FRAIS AVIS D'OPERE",Détail!$A:$A,"&gt;="&amp;DATE(2025,8,1),Détail!$A:$A,"&lt;"&amp;EDATE(DATE(2025,8,1),1))</f>
        <v>-1.2</v>
      </c>
    </row>
    <row r="206" customFormat="false" ht="15" hidden="false" customHeight="true" outlineLevel="0" collapsed="false">
      <c r="A206" s="8" t="s">
        <v>73</v>
      </c>
      <c r="B206" s="31" t="n">
        <f aca="false">SUMIFS(Détail!$E:$E,Détail!$C:$C,"FRAIS AVIS D'OPERE",Détail!$A:$A,"&gt;="&amp;DATE(2025,9,1),Détail!$A:$A,"&lt;"&amp;EDATE(DATE(2025,9,1),1))</f>
        <v>-7.2</v>
      </c>
    </row>
    <row r="207" customFormat="false" ht="15" hidden="false" customHeight="true" outlineLevel="0" collapsed="false">
      <c r="A207" s="8" t="s">
        <v>74</v>
      </c>
      <c r="B207" s="31" t="n">
        <f aca="false">SUMIFS(Détail!$E:$E,Détail!$C:$C,"FRAIS AVIS D'OPERE",Détail!$A:$A,"&gt;="&amp;DATE(2025,10,1),Détail!$A:$A,"&lt;"&amp;EDATE(DATE(2025,10,1),1))</f>
        <v>-8.4</v>
      </c>
    </row>
    <row r="208" customFormat="false" ht="15" hidden="false" customHeight="true" outlineLevel="0" collapsed="false">
      <c r="A208" s="8" t="s">
        <v>75</v>
      </c>
      <c r="B208" s="31" t="n">
        <f aca="false">SUMIFS(Détail!$E:$E,Détail!$C:$C,"FRAIS AVIS D'OPERE",Détail!$A:$A,"&gt;="&amp;DATE(2025,11,1),Détail!$A:$A,"&lt;"&amp;EDATE(DATE(2025,11,1),1))</f>
        <v>-3.6</v>
      </c>
    </row>
    <row r="209" customFormat="false" ht="15" hidden="false" customHeight="true" outlineLevel="0" collapsed="false">
      <c r="A209" s="8" t="s">
        <v>76</v>
      </c>
      <c r="B209" s="31" t="n">
        <f aca="false">SUMIFS(Détail!$E:$E,Détail!$C:$C,"FRAIS AVIS D'OPERE",Détail!$A:$A,"&gt;="&amp;DATE(2025,12,1),Détail!$A:$A,"&lt;"&amp;EDATE(DATE(2025,12,1),1))</f>
        <v>-10.8</v>
      </c>
    </row>
    <row r="212" customFormat="false" ht="15" hidden="false" customHeight="true" outlineLevel="0" collapsed="false">
      <c r="A212" s="29" t="s">
        <v>218</v>
      </c>
      <c r="B212" s="29"/>
      <c r="C212" s="30" t="n">
        <f aca="false">SUMIF(Détail!$C:$C,"FRAIS VIREMENT INTERNATIONAL NON TAXABLE",Détail!$E:$E)</f>
        <v>-64.5</v>
      </c>
    </row>
    <row r="213" customFormat="false" ht="15" hidden="false" customHeight="true" outlineLevel="0" collapsed="false">
      <c r="A213" s="24" t="s">
        <v>63</v>
      </c>
      <c r="B213" s="24" t="s">
        <v>64</v>
      </c>
    </row>
    <row r="214" customFormat="false" ht="15" hidden="false" customHeight="true" outlineLevel="0" collapsed="false">
      <c r="A214" s="8" t="s">
        <v>65</v>
      </c>
      <c r="B214" s="31" t="n">
        <f aca="false">SUMIFS(Détail!$E:$E,Détail!$C:$C,"FRAIS VIREMENT INTERNATIONAL NON TAXABLE",Détail!$A:$A,"&gt;="&amp;DATE(2025,1,1),Détail!$A:$A,"&lt;"&amp;EDATE(DATE(2025,1,1),1))</f>
        <v>0</v>
      </c>
    </row>
    <row r="215" customFormat="false" ht="15" hidden="false" customHeight="true" outlineLevel="0" collapsed="false">
      <c r="A215" s="8" t="s">
        <v>66</v>
      </c>
      <c r="B215" s="31" t="n">
        <f aca="false">SUMIFS(Détail!$E:$E,Détail!$C:$C,"FRAIS VIREMENT INTERNATIONAL NON TAXABLE",Détail!$A:$A,"&gt;="&amp;DATE(2025,2,1),Détail!$A:$A,"&lt;"&amp;EDATE(DATE(2025,2,1),1))</f>
        <v>0</v>
      </c>
    </row>
    <row r="216" customFormat="false" ht="15" hidden="false" customHeight="true" outlineLevel="0" collapsed="false">
      <c r="A216" s="8" t="s">
        <v>67</v>
      </c>
      <c r="B216" s="31" t="n">
        <f aca="false">SUMIFS(Détail!$E:$E,Détail!$C:$C,"FRAIS VIREMENT INTERNATIONAL NON TAXABLE",Détail!$A:$A,"&gt;="&amp;DATE(2025,3,1),Détail!$A:$A,"&lt;"&amp;EDATE(DATE(2025,3,1),1))</f>
        <v>-64.5</v>
      </c>
    </row>
    <row r="217" customFormat="false" ht="15" hidden="false" customHeight="true" outlineLevel="0" collapsed="false">
      <c r="A217" s="8" t="s">
        <v>68</v>
      </c>
      <c r="B217" s="31" t="n">
        <f aca="false">SUMIFS(Détail!$E:$E,Détail!$C:$C,"FRAIS VIREMENT INTERNATIONAL NON TAXABLE",Détail!$A:$A,"&gt;="&amp;DATE(2025,4,1),Détail!$A:$A,"&lt;"&amp;EDATE(DATE(2025,4,1),1))</f>
        <v>0</v>
      </c>
    </row>
    <row r="218" customFormat="false" ht="15" hidden="false" customHeight="true" outlineLevel="0" collapsed="false">
      <c r="A218" s="8" t="s">
        <v>69</v>
      </c>
      <c r="B218" s="31" t="n">
        <f aca="false">SUMIFS(Détail!$E:$E,Détail!$C:$C,"FRAIS VIREMENT INTERNATIONAL NON TAXABLE",Détail!$A:$A,"&gt;="&amp;DATE(2025,5,1),Détail!$A:$A,"&lt;"&amp;EDATE(DATE(2025,5,1),1))</f>
        <v>0</v>
      </c>
    </row>
    <row r="219" customFormat="false" ht="15" hidden="false" customHeight="true" outlineLevel="0" collapsed="false">
      <c r="A219" s="8" t="s">
        <v>70</v>
      </c>
      <c r="B219" s="31" t="n">
        <f aca="false">SUMIFS(Détail!$E:$E,Détail!$C:$C,"FRAIS VIREMENT INTERNATIONAL NON TAXABLE",Détail!$A:$A,"&gt;="&amp;DATE(2025,6,1),Détail!$A:$A,"&lt;"&amp;EDATE(DATE(2025,6,1),1))</f>
        <v>0</v>
      </c>
    </row>
    <row r="220" customFormat="false" ht="15" hidden="false" customHeight="true" outlineLevel="0" collapsed="false">
      <c r="A220" s="8" t="s">
        <v>71</v>
      </c>
      <c r="B220" s="31" t="n">
        <f aca="false">SUMIFS(Détail!$E:$E,Détail!$C:$C,"FRAIS VIREMENT INTERNATIONAL NON TAXABLE",Détail!$A:$A,"&gt;="&amp;DATE(2025,7,1),Détail!$A:$A,"&lt;"&amp;EDATE(DATE(2025,7,1),1))</f>
        <v>0</v>
      </c>
    </row>
    <row r="221" customFormat="false" ht="15" hidden="false" customHeight="true" outlineLevel="0" collapsed="false">
      <c r="A221" s="8" t="s">
        <v>72</v>
      </c>
      <c r="B221" s="31" t="n">
        <f aca="false">SUMIFS(Détail!$E:$E,Détail!$C:$C,"FRAIS VIREMENT INTERNATIONAL NON TAXABLE",Détail!$A:$A,"&gt;="&amp;DATE(2025,8,1),Détail!$A:$A,"&lt;"&amp;EDATE(DATE(2025,8,1),1))</f>
        <v>0</v>
      </c>
    </row>
    <row r="222" customFormat="false" ht="15" hidden="false" customHeight="true" outlineLevel="0" collapsed="false">
      <c r="A222" s="8" t="s">
        <v>73</v>
      </c>
      <c r="B222" s="31" t="n">
        <f aca="false">SUMIFS(Détail!$E:$E,Détail!$C:$C,"FRAIS VIREMENT INTERNATIONAL NON TAXABLE",Détail!$A:$A,"&gt;="&amp;DATE(2025,9,1),Détail!$A:$A,"&lt;"&amp;EDATE(DATE(2025,9,1),1))</f>
        <v>0</v>
      </c>
    </row>
    <row r="223" customFormat="false" ht="15" hidden="false" customHeight="true" outlineLevel="0" collapsed="false">
      <c r="A223" s="8" t="s">
        <v>74</v>
      </c>
      <c r="B223" s="31" t="n">
        <f aca="false">SUMIFS(Détail!$E:$E,Détail!$C:$C,"FRAIS VIREMENT INTERNATIONAL NON TAXABLE",Détail!$A:$A,"&gt;="&amp;DATE(2025,10,1),Détail!$A:$A,"&lt;"&amp;EDATE(DATE(2025,10,1),1))</f>
        <v>0</v>
      </c>
    </row>
    <row r="224" customFormat="false" ht="15" hidden="false" customHeight="true" outlineLevel="0" collapsed="false">
      <c r="A224" s="8" t="s">
        <v>75</v>
      </c>
      <c r="B224" s="31" t="n">
        <f aca="false">SUMIFS(Détail!$E:$E,Détail!$C:$C,"FRAIS VIREMENT INTERNATIONAL NON TAXABLE",Détail!$A:$A,"&gt;="&amp;DATE(2025,11,1),Détail!$A:$A,"&lt;"&amp;EDATE(DATE(2025,11,1),1))</f>
        <v>0</v>
      </c>
    </row>
    <row r="225" customFormat="false" ht="15" hidden="false" customHeight="true" outlineLevel="0" collapsed="false">
      <c r="A225" s="8" t="s">
        <v>76</v>
      </c>
      <c r="B225" s="31" t="n">
        <f aca="false">SUMIFS(Détail!$E:$E,Détail!$C:$C,"FRAIS VIREMENT INTERNATIONAL NON TAXABLE",Détail!$A:$A,"&gt;="&amp;DATE(2025,12,1),Détail!$A:$A,"&lt;"&amp;EDATE(DATE(2025,12,1),1))</f>
        <v>0</v>
      </c>
    </row>
    <row r="228" customFormat="false" ht="15" hidden="false" customHeight="true" outlineLevel="0" collapsed="false">
      <c r="A228" s="29" t="s">
        <v>219</v>
      </c>
      <c r="B228" s="29"/>
      <c r="C228" s="30" t="n">
        <f aca="false">SUMIF(Détail!$C:$C,"FRAIS ANNUELS DE SUIVI ADMINISTRATIF",Détail!$E:$E)</f>
        <v>-60</v>
      </c>
    </row>
    <row r="229" customFormat="false" ht="15" hidden="false" customHeight="true" outlineLevel="0" collapsed="false">
      <c r="A229" s="24" t="s">
        <v>63</v>
      </c>
      <c r="B229" s="24" t="s">
        <v>64</v>
      </c>
    </row>
    <row r="230" customFormat="false" ht="15" hidden="false" customHeight="true" outlineLevel="0" collapsed="false">
      <c r="A230" s="8" t="s">
        <v>65</v>
      </c>
      <c r="B230" s="31" t="n">
        <f aca="false">SUMIFS(Détail!$E:$E,Détail!$C:$C,"FRAIS ANNUELS DE SUIVI ADMINISTRATIF",Détail!$A:$A,"&gt;="&amp;DATE(2025,1,1),Détail!$A:$A,"&lt;"&amp;EDATE(DATE(2025,1,1),1))</f>
        <v>0</v>
      </c>
    </row>
    <row r="231" customFormat="false" ht="15" hidden="false" customHeight="true" outlineLevel="0" collapsed="false">
      <c r="A231" s="8" t="s">
        <v>66</v>
      </c>
      <c r="B231" s="31" t="n">
        <f aca="false">SUMIFS(Détail!$E:$E,Détail!$C:$C,"FRAIS ANNUELS DE SUIVI ADMINISTRATIF",Détail!$A:$A,"&gt;="&amp;DATE(2025,2,1),Détail!$A:$A,"&lt;"&amp;EDATE(DATE(2025,2,1),1))</f>
        <v>0</v>
      </c>
    </row>
    <row r="232" customFormat="false" ht="15" hidden="false" customHeight="true" outlineLevel="0" collapsed="false">
      <c r="A232" s="8" t="s">
        <v>67</v>
      </c>
      <c r="B232" s="31" t="n">
        <f aca="false">SUMIFS(Détail!$E:$E,Détail!$C:$C,"FRAIS ANNUELS DE SUIVI ADMINISTRATIF",Détail!$A:$A,"&gt;="&amp;DATE(2025,3,1),Détail!$A:$A,"&lt;"&amp;EDATE(DATE(2025,3,1),1))</f>
        <v>0</v>
      </c>
    </row>
    <row r="233" customFormat="false" ht="15" hidden="false" customHeight="true" outlineLevel="0" collapsed="false">
      <c r="A233" s="8" t="s">
        <v>68</v>
      </c>
      <c r="B233" s="31" t="n">
        <f aca="false">SUMIFS(Détail!$E:$E,Détail!$C:$C,"FRAIS ANNUELS DE SUIVI ADMINISTRATIF",Détail!$A:$A,"&gt;="&amp;DATE(2025,4,1),Détail!$A:$A,"&lt;"&amp;EDATE(DATE(2025,4,1),1))</f>
        <v>0</v>
      </c>
    </row>
    <row r="234" customFormat="false" ht="15" hidden="false" customHeight="true" outlineLevel="0" collapsed="false">
      <c r="A234" s="8" t="s">
        <v>69</v>
      </c>
      <c r="B234" s="31" t="n">
        <f aca="false">SUMIFS(Détail!$E:$E,Détail!$C:$C,"FRAIS ANNUELS DE SUIVI ADMINISTRATIF",Détail!$A:$A,"&gt;="&amp;DATE(2025,5,1),Détail!$A:$A,"&lt;"&amp;EDATE(DATE(2025,5,1),1))</f>
        <v>0</v>
      </c>
    </row>
    <row r="235" customFormat="false" ht="15" hidden="false" customHeight="true" outlineLevel="0" collapsed="false">
      <c r="A235" s="8" t="s">
        <v>70</v>
      </c>
      <c r="B235" s="31" t="n">
        <f aca="false">SUMIFS(Détail!$E:$E,Détail!$C:$C,"FRAIS ANNUELS DE SUIVI ADMINISTRATIF",Détail!$A:$A,"&gt;="&amp;DATE(2025,6,1),Détail!$A:$A,"&lt;"&amp;EDATE(DATE(2025,6,1),1))</f>
        <v>0</v>
      </c>
    </row>
    <row r="236" customFormat="false" ht="15" hidden="false" customHeight="true" outlineLevel="0" collapsed="false">
      <c r="A236" s="8" t="s">
        <v>71</v>
      </c>
      <c r="B236" s="31" t="n">
        <f aca="false">SUMIFS(Détail!$E:$E,Détail!$C:$C,"FRAIS ANNUELS DE SUIVI ADMINISTRATIF",Détail!$A:$A,"&gt;="&amp;DATE(2025,7,1),Détail!$A:$A,"&lt;"&amp;EDATE(DATE(2025,7,1),1))</f>
        <v>0</v>
      </c>
    </row>
    <row r="237" customFormat="false" ht="15" hidden="false" customHeight="true" outlineLevel="0" collapsed="false">
      <c r="A237" s="8" t="s">
        <v>72</v>
      </c>
      <c r="B237" s="31" t="n">
        <f aca="false">SUMIFS(Détail!$E:$E,Détail!$C:$C,"FRAIS ANNUELS DE SUIVI ADMINISTRATIF",Détail!$A:$A,"&gt;="&amp;DATE(2025,8,1),Détail!$A:$A,"&lt;"&amp;EDATE(DATE(2025,8,1),1))</f>
        <v>0</v>
      </c>
    </row>
    <row r="238" customFormat="false" ht="15" hidden="false" customHeight="true" outlineLevel="0" collapsed="false">
      <c r="A238" s="8" t="s">
        <v>73</v>
      </c>
      <c r="B238" s="31" t="n">
        <f aca="false">SUMIFS(Détail!$E:$E,Détail!$C:$C,"FRAIS ANNUELS DE SUIVI ADMINISTRATIF",Détail!$A:$A,"&gt;="&amp;DATE(2025,9,1),Détail!$A:$A,"&lt;"&amp;EDATE(DATE(2025,9,1),1))</f>
        <v>0</v>
      </c>
    </row>
    <row r="239" customFormat="false" ht="15" hidden="false" customHeight="true" outlineLevel="0" collapsed="false">
      <c r="A239" s="8" t="s">
        <v>74</v>
      </c>
      <c r="B239" s="31" t="n">
        <f aca="false">SUMIFS(Détail!$E:$E,Détail!$C:$C,"FRAIS ANNUELS DE SUIVI ADMINISTRATIF",Détail!$A:$A,"&gt;="&amp;DATE(2025,10,1),Détail!$A:$A,"&lt;"&amp;EDATE(DATE(2025,10,1),1))</f>
        <v>0</v>
      </c>
    </row>
    <row r="240" customFormat="false" ht="15" hidden="false" customHeight="true" outlineLevel="0" collapsed="false">
      <c r="A240" s="8" t="s">
        <v>75</v>
      </c>
      <c r="B240" s="31" t="n">
        <f aca="false">SUMIFS(Détail!$E:$E,Détail!$C:$C,"FRAIS ANNUELS DE SUIVI ADMINISTRATIF",Détail!$A:$A,"&gt;="&amp;DATE(2025,11,1),Détail!$A:$A,"&lt;"&amp;EDATE(DATE(2025,11,1),1))</f>
        <v>-60</v>
      </c>
    </row>
    <row r="241" customFormat="false" ht="15" hidden="false" customHeight="true" outlineLevel="0" collapsed="false">
      <c r="A241" s="8" t="s">
        <v>76</v>
      </c>
      <c r="B241" s="31" t="n">
        <f aca="false">SUMIFS(Détail!$E:$E,Détail!$C:$C,"FRAIS ANNUELS DE SUIVI ADMINISTRATIF",Détail!$A:$A,"&gt;="&amp;DATE(2025,12,1),Détail!$A:$A,"&lt;"&amp;EDATE(DATE(2025,12,1),1))</f>
        <v>0</v>
      </c>
    </row>
    <row r="244" customFormat="false" ht="15" hidden="false" customHeight="true" outlineLevel="0" collapsed="false">
      <c r="A244" s="29" t="s">
        <v>220</v>
      </c>
      <c r="B244" s="29"/>
      <c r="C244" s="30" t="n">
        <f aca="false">SUMIF(Détail!$C:$C,"CONFIRMATION SWIFT",Détail!$E:$E)</f>
        <v>-12</v>
      </c>
    </row>
    <row r="245" customFormat="false" ht="15" hidden="false" customHeight="true" outlineLevel="0" collapsed="false">
      <c r="A245" s="24" t="s">
        <v>63</v>
      </c>
      <c r="B245" s="24" t="s">
        <v>64</v>
      </c>
    </row>
    <row r="246" customFormat="false" ht="15" hidden="false" customHeight="true" outlineLevel="0" collapsed="false">
      <c r="A246" s="8" t="s">
        <v>65</v>
      </c>
      <c r="B246" s="31" t="n">
        <f aca="false">SUMIFS(Détail!$E:$E,Détail!$C:$C,"CONFIRMATION SWIFT",Détail!$A:$A,"&gt;="&amp;DATE(2025,1,1),Détail!$A:$A,"&lt;"&amp;EDATE(DATE(2025,1,1),1))</f>
        <v>0</v>
      </c>
    </row>
    <row r="247" customFormat="false" ht="15" hidden="false" customHeight="true" outlineLevel="0" collapsed="false">
      <c r="A247" s="8" t="s">
        <v>66</v>
      </c>
      <c r="B247" s="31" t="n">
        <f aca="false">SUMIFS(Détail!$E:$E,Détail!$C:$C,"CONFIRMATION SWIFT",Détail!$A:$A,"&gt;="&amp;DATE(2025,2,1),Détail!$A:$A,"&lt;"&amp;EDATE(DATE(2025,2,1),1))</f>
        <v>0</v>
      </c>
    </row>
    <row r="248" customFormat="false" ht="15" hidden="false" customHeight="true" outlineLevel="0" collapsed="false">
      <c r="A248" s="8" t="s">
        <v>67</v>
      </c>
      <c r="B248" s="31" t="n">
        <f aca="false">SUMIFS(Détail!$E:$E,Détail!$C:$C,"CONFIRMATION SWIFT",Détail!$A:$A,"&gt;="&amp;DATE(2025,3,1),Détail!$A:$A,"&lt;"&amp;EDATE(DATE(2025,3,1),1))</f>
        <v>0</v>
      </c>
    </row>
    <row r="249" customFormat="false" ht="15" hidden="false" customHeight="true" outlineLevel="0" collapsed="false">
      <c r="A249" s="8" t="s">
        <v>68</v>
      </c>
      <c r="B249" s="31" t="n">
        <f aca="false">SUMIFS(Détail!$E:$E,Détail!$C:$C,"CONFIRMATION SWIFT",Détail!$A:$A,"&gt;="&amp;DATE(2025,4,1),Détail!$A:$A,"&lt;"&amp;EDATE(DATE(2025,4,1),1))</f>
        <v>0</v>
      </c>
    </row>
    <row r="250" customFormat="false" ht="15" hidden="false" customHeight="true" outlineLevel="0" collapsed="false">
      <c r="A250" s="8" t="s">
        <v>69</v>
      </c>
      <c r="B250" s="31" t="n">
        <f aca="false">SUMIFS(Détail!$E:$E,Détail!$C:$C,"CONFIRMATION SWIFT",Détail!$A:$A,"&gt;="&amp;DATE(2025,5,1),Détail!$A:$A,"&lt;"&amp;EDATE(DATE(2025,5,1),1))</f>
        <v>0</v>
      </c>
    </row>
    <row r="251" customFormat="false" ht="15" hidden="false" customHeight="true" outlineLevel="0" collapsed="false">
      <c r="A251" s="8" t="s">
        <v>70</v>
      </c>
      <c r="B251" s="31" t="n">
        <f aca="false">SUMIFS(Détail!$E:$E,Détail!$C:$C,"CONFIRMATION SWIFT",Détail!$A:$A,"&gt;="&amp;DATE(2025,6,1),Détail!$A:$A,"&lt;"&amp;EDATE(DATE(2025,6,1),1))</f>
        <v>0</v>
      </c>
    </row>
    <row r="252" customFormat="false" ht="15" hidden="false" customHeight="true" outlineLevel="0" collapsed="false">
      <c r="A252" s="8" t="s">
        <v>71</v>
      </c>
      <c r="B252" s="31" t="n">
        <f aca="false">SUMIFS(Détail!$E:$E,Détail!$C:$C,"CONFIRMATION SWIFT",Détail!$A:$A,"&gt;="&amp;DATE(2025,7,1),Détail!$A:$A,"&lt;"&amp;EDATE(DATE(2025,7,1),1))</f>
        <v>-12</v>
      </c>
    </row>
    <row r="253" customFormat="false" ht="15" hidden="false" customHeight="true" outlineLevel="0" collapsed="false">
      <c r="A253" s="8" t="s">
        <v>72</v>
      </c>
      <c r="B253" s="31" t="n">
        <f aca="false">SUMIFS(Détail!$E:$E,Détail!$C:$C,"CONFIRMATION SWIFT",Détail!$A:$A,"&gt;="&amp;DATE(2025,8,1),Détail!$A:$A,"&lt;"&amp;EDATE(DATE(2025,8,1),1))</f>
        <v>0</v>
      </c>
    </row>
    <row r="254" customFormat="false" ht="15" hidden="false" customHeight="true" outlineLevel="0" collapsed="false">
      <c r="A254" s="8" t="s">
        <v>73</v>
      </c>
      <c r="B254" s="31" t="n">
        <f aca="false">SUMIFS(Détail!$E:$E,Détail!$C:$C,"CONFIRMATION SWIFT",Détail!$A:$A,"&gt;="&amp;DATE(2025,9,1),Détail!$A:$A,"&lt;"&amp;EDATE(DATE(2025,9,1),1))</f>
        <v>0</v>
      </c>
    </row>
    <row r="255" customFormat="false" ht="15" hidden="false" customHeight="true" outlineLevel="0" collapsed="false">
      <c r="A255" s="8" t="s">
        <v>74</v>
      </c>
      <c r="B255" s="31" t="n">
        <f aca="false">SUMIFS(Détail!$E:$E,Détail!$C:$C,"CONFIRMATION SWIFT",Détail!$A:$A,"&gt;="&amp;DATE(2025,10,1),Détail!$A:$A,"&lt;"&amp;EDATE(DATE(2025,10,1),1))</f>
        <v>0</v>
      </c>
    </row>
    <row r="256" customFormat="false" ht="15" hidden="false" customHeight="true" outlineLevel="0" collapsed="false">
      <c r="A256" s="8" t="s">
        <v>75</v>
      </c>
      <c r="B256" s="31" t="n">
        <f aca="false">SUMIFS(Détail!$E:$E,Détail!$C:$C,"CONFIRMATION SWIFT",Détail!$A:$A,"&gt;="&amp;DATE(2025,11,1),Détail!$A:$A,"&lt;"&amp;EDATE(DATE(2025,11,1),1))</f>
        <v>0</v>
      </c>
    </row>
    <row r="257" customFormat="false" ht="15" hidden="false" customHeight="true" outlineLevel="0" collapsed="false">
      <c r="A257" s="8" t="s">
        <v>76</v>
      </c>
      <c r="B257" s="31" t="n">
        <f aca="false">SUMIFS(Détail!$E:$E,Détail!$C:$C,"CONFIRMATION SWIFT",Détail!$A:$A,"&gt;="&amp;DATE(2025,12,1),Détail!$A:$A,"&lt;"&amp;EDATE(DATE(2025,12,1),1))</f>
        <v>0</v>
      </c>
    </row>
    <row r="260" customFormat="false" ht="15" hidden="false" customHeight="true" outlineLevel="0" collapsed="false">
      <c r="A260" s="29" t="s">
        <v>221</v>
      </c>
      <c r="B260" s="29"/>
      <c r="C260" s="30" t="n">
        <f aca="false">SUMIF(Détail!$C:$C,"FRAIS VIREMENT EUROPEEN",Détail!$E:$E)</f>
        <v>-7.96</v>
      </c>
    </row>
    <row r="261" customFormat="false" ht="15" hidden="false" customHeight="true" outlineLevel="0" collapsed="false">
      <c r="A261" s="24" t="s">
        <v>63</v>
      </c>
      <c r="B261" s="24" t="s">
        <v>64</v>
      </c>
    </row>
    <row r="262" customFormat="false" ht="15" hidden="false" customHeight="true" outlineLevel="0" collapsed="false">
      <c r="A262" s="8" t="s">
        <v>65</v>
      </c>
      <c r="B262" s="31" t="n">
        <f aca="false">SUMIFS(Détail!$E:$E,Détail!$C:$C,"FRAIS VIREMENT EUROPEEN",Détail!$A:$A,"&gt;="&amp;DATE(2025,1,1),Détail!$A:$A,"&lt;"&amp;EDATE(DATE(2025,1,1),1))</f>
        <v>0</v>
      </c>
    </row>
    <row r="263" customFormat="false" ht="15" hidden="false" customHeight="true" outlineLevel="0" collapsed="false">
      <c r="A263" s="8" t="s">
        <v>66</v>
      </c>
      <c r="B263" s="31" t="n">
        <f aca="false">SUMIFS(Détail!$E:$E,Détail!$C:$C,"FRAIS VIREMENT EUROPEEN",Détail!$A:$A,"&gt;="&amp;DATE(2025,2,1),Détail!$A:$A,"&lt;"&amp;EDATE(DATE(2025,2,1),1))</f>
        <v>0</v>
      </c>
    </row>
    <row r="264" customFormat="false" ht="15" hidden="false" customHeight="true" outlineLevel="0" collapsed="false">
      <c r="A264" s="8" t="s">
        <v>67</v>
      </c>
      <c r="B264" s="31" t="n">
        <f aca="false">SUMIFS(Détail!$E:$E,Détail!$C:$C,"FRAIS VIREMENT EUROPEEN",Détail!$A:$A,"&gt;="&amp;DATE(2025,3,1),Détail!$A:$A,"&lt;"&amp;EDATE(DATE(2025,3,1),1))</f>
        <v>0</v>
      </c>
    </row>
    <row r="265" customFormat="false" ht="15" hidden="false" customHeight="true" outlineLevel="0" collapsed="false">
      <c r="A265" s="8" t="s">
        <v>68</v>
      </c>
      <c r="B265" s="31" t="n">
        <f aca="false">SUMIFS(Détail!$E:$E,Détail!$C:$C,"FRAIS VIREMENT EUROPEEN",Détail!$A:$A,"&gt;="&amp;DATE(2025,4,1),Détail!$A:$A,"&lt;"&amp;EDATE(DATE(2025,4,1),1))</f>
        <v>0</v>
      </c>
    </row>
    <row r="266" customFormat="false" ht="15" hidden="false" customHeight="true" outlineLevel="0" collapsed="false">
      <c r="A266" s="8" t="s">
        <v>69</v>
      </c>
      <c r="B266" s="31" t="n">
        <f aca="false">SUMIFS(Détail!$E:$E,Détail!$C:$C,"FRAIS VIREMENT EUROPEEN",Détail!$A:$A,"&gt;="&amp;DATE(2025,5,1),Détail!$A:$A,"&lt;"&amp;EDATE(DATE(2025,5,1),1))</f>
        <v>0</v>
      </c>
    </row>
    <row r="267" customFormat="false" ht="15" hidden="false" customHeight="true" outlineLevel="0" collapsed="false">
      <c r="A267" s="8" t="s">
        <v>70</v>
      </c>
      <c r="B267" s="31" t="n">
        <f aca="false">SUMIFS(Détail!$E:$E,Détail!$C:$C,"FRAIS VIREMENT EUROPEEN",Détail!$A:$A,"&gt;="&amp;DATE(2025,6,1),Détail!$A:$A,"&lt;"&amp;EDATE(DATE(2025,6,1),1))</f>
        <v>0</v>
      </c>
    </row>
    <row r="268" customFormat="false" ht="15" hidden="false" customHeight="true" outlineLevel="0" collapsed="false">
      <c r="A268" s="8" t="s">
        <v>71</v>
      </c>
      <c r="B268" s="31" t="n">
        <f aca="false">SUMIFS(Détail!$E:$E,Détail!$C:$C,"FRAIS VIREMENT EUROPEEN",Détail!$A:$A,"&gt;="&amp;DATE(2025,7,1),Détail!$A:$A,"&lt;"&amp;EDATE(DATE(2025,7,1),1))</f>
        <v>-3.98</v>
      </c>
    </row>
    <row r="269" customFormat="false" ht="15" hidden="false" customHeight="true" outlineLevel="0" collapsed="false">
      <c r="A269" s="8" t="s">
        <v>72</v>
      </c>
      <c r="B269" s="31" t="n">
        <f aca="false">SUMIFS(Détail!$E:$E,Détail!$C:$C,"FRAIS VIREMENT EUROPEEN",Détail!$A:$A,"&gt;="&amp;DATE(2025,8,1),Détail!$A:$A,"&lt;"&amp;EDATE(DATE(2025,8,1),1))</f>
        <v>0</v>
      </c>
    </row>
    <row r="270" customFormat="false" ht="15" hidden="false" customHeight="true" outlineLevel="0" collapsed="false">
      <c r="A270" s="8" t="s">
        <v>73</v>
      </c>
      <c r="B270" s="31" t="n">
        <f aca="false">SUMIFS(Détail!$E:$E,Détail!$C:$C,"FRAIS VIREMENT EUROPEEN",Détail!$A:$A,"&gt;="&amp;DATE(2025,9,1),Détail!$A:$A,"&lt;"&amp;EDATE(DATE(2025,9,1),1))</f>
        <v>-3.98</v>
      </c>
    </row>
    <row r="271" customFormat="false" ht="15" hidden="false" customHeight="true" outlineLevel="0" collapsed="false">
      <c r="A271" s="8" t="s">
        <v>74</v>
      </c>
      <c r="B271" s="31" t="n">
        <f aca="false">SUMIFS(Détail!$E:$E,Détail!$C:$C,"FRAIS VIREMENT EUROPEEN",Détail!$A:$A,"&gt;="&amp;DATE(2025,10,1),Détail!$A:$A,"&lt;"&amp;EDATE(DATE(2025,10,1),1))</f>
        <v>0</v>
      </c>
    </row>
    <row r="272" customFormat="false" ht="15" hidden="false" customHeight="true" outlineLevel="0" collapsed="false">
      <c r="A272" s="8" t="s">
        <v>75</v>
      </c>
      <c r="B272" s="31" t="n">
        <f aca="false">SUMIFS(Détail!$E:$E,Détail!$C:$C,"FRAIS VIREMENT EUROPEEN",Détail!$A:$A,"&gt;="&amp;DATE(2025,11,1),Détail!$A:$A,"&lt;"&amp;EDATE(DATE(2025,11,1),1))</f>
        <v>0</v>
      </c>
    </row>
    <row r="273" customFormat="false" ht="15" hidden="false" customHeight="true" outlineLevel="0" collapsed="false">
      <c r="A273" s="8" t="s">
        <v>76</v>
      </c>
      <c r="B273" s="31" t="n">
        <f aca="false">SUMIFS(Détail!$E:$E,Détail!$C:$C,"FRAIS VIREMENT EUROPEEN",Détail!$A:$A,"&gt;="&amp;DATE(2025,12,1),Détail!$A:$A,"&lt;"&amp;EDATE(DATE(2025,12,1),1))</f>
        <v>0</v>
      </c>
    </row>
    <row r="276" customFormat="false" ht="15" hidden="false" customHeight="true" outlineLevel="0" collapsed="false">
      <c r="A276" s="29" t="s">
        <v>222</v>
      </c>
      <c r="B276" s="29"/>
      <c r="C276" s="30" t="n">
        <f aca="false">SUMIF(Détail!$C:$C,"OPER. SUR TITRES",Détail!$E:$E)</f>
        <v>5.3</v>
      </c>
    </row>
    <row r="277" customFormat="false" ht="15" hidden="false" customHeight="true" outlineLevel="0" collapsed="false">
      <c r="A277" s="24" t="s">
        <v>63</v>
      </c>
      <c r="B277" s="24" t="s">
        <v>64</v>
      </c>
    </row>
    <row r="278" customFormat="false" ht="15" hidden="false" customHeight="true" outlineLevel="0" collapsed="false">
      <c r="A278" s="8" t="s">
        <v>65</v>
      </c>
      <c r="B278" s="31" t="n">
        <f aca="false">SUMIFS(Détail!$E:$E,Détail!$C:$C,"OPER. SUR TITRES",Détail!$A:$A,"&gt;="&amp;DATE(2025,1,1),Détail!$A:$A,"&lt;"&amp;EDATE(DATE(2025,1,1),1))</f>
        <v>0</v>
      </c>
    </row>
    <row r="279" customFormat="false" ht="15" hidden="false" customHeight="true" outlineLevel="0" collapsed="false">
      <c r="A279" s="8" t="s">
        <v>66</v>
      </c>
      <c r="B279" s="31" t="n">
        <f aca="false">SUMIFS(Détail!$E:$E,Détail!$C:$C,"OPER. SUR TITRES",Détail!$A:$A,"&gt;="&amp;DATE(2025,2,1),Détail!$A:$A,"&lt;"&amp;EDATE(DATE(2025,2,1),1))</f>
        <v>0</v>
      </c>
    </row>
    <row r="280" customFormat="false" ht="15" hidden="false" customHeight="true" outlineLevel="0" collapsed="false">
      <c r="A280" s="8" t="s">
        <v>67</v>
      </c>
      <c r="B280" s="31" t="n">
        <f aca="false">SUMIFS(Détail!$E:$E,Détail!$C:$C,"OPER. SUR TITRES",Détail!$A:$A,"&gt;="&amp;DATE(2025,3,1),Détail!$A:$A,"&lt;"&amp;EDATE(DATE(2025,3,1),1))</f>
        <v>0</v>
      </c>
    </row>
    <row r="281" customFormat="false" ht="15" hidden="false" customHeight="true" outlineLevel="0" collapsed="false">
      <c r="A281" s="8" t="s">
        <v>68</v>
      </c>
      <c r="B281" s="31" t="n">
        <f aca="false">SUMIFS(Détail!$E:$E,Détail!$C:$C,"OPER. SUR TITRES",Détail!$A:$A,"&gt;="&amp;DATE(2025,4,1),Détail!$A:$A,"&lt;"&amp;EDATE(DATE(2025,4,1),1))</f>
        <v>0</v>
      </c>
    </row>
    <row r="282" customFormat="false" ht="15" hidden="false" customHeight="true" outlineLevel="0" collapsed="false">
      <c r="A282" s="8" t="s">
        <v>69</v>
      </c>
      <c r="B282" s="31" t="n">
        <f aca="false">SUMIFS(Détail!$E:$E,Détail!$C:$C,"OPER. SUR TITRES",Détail!$A:$A,"&gt;="&amp;DATE(2025,5,1),Détail!$A:$A,"&lt;"&amp;EDATE(DATE(2025,5,1),1))</f>
        <v>0</v>
      </c>
    </row>
    <row r="283" customFormat="false" ht="15" hidden="false" customHeight="true" outlineLevel="0" collapsed="false">
      <c r="A283" s="8" t="s">
        <v>70</v>
      </c>
      <c r="B283" s="31" t="n">
        <f aca="false">SUMIFS(Détail!$E:$E,Détail!$C:$C,"OPER. SUR TITRES",Détail!$A:$A,"&gt;="&amp;DATE(2025,6,1),Détail!$A:$A,"&lt;"&amp;EDATE(DATE(2025,6,1),1))</f>
        <v>5.3</v>
      </c>
    </row>
    <row r="284" customFormat="false" ht="15" hidden="false" customHeight="true" outlineLevel="0" collapsed="false">
      <c r="A284" s="8" t="s">
        <v>71</v>
      </c>
      <c r="B284" s="31" t="n">
        <f aca="false">SUMIFS(Détail!$E:$E,Détail!$C:$C,"OPER. SUR TITRES",Détail!$A:$A,"&gt;="&amp;DATE(2025,7,1),Détail!$A:$A,"&lt;"&amp;EDATE(DATE(2025,7,1),1))</f>
        <v>0</v>
      </c>
    </row>
    <row r="285" customFormat="false" ht="15" hidden="false" customHeight="true" outlineLevel="0" collapsed="false">
      <c r="A285" s="8" t="s">
        <v>72</v>
      </c>
      <c r="B285" s="31" t="n">
        <f aca="false">SUMIFS(Détail!$E:$E,Détail!$C:$C,"OPER. SUR TITRES",Détail!$A:$A,"&gt;="&amp;DATE(2025,8,1),Détail!$A:$A,"&lt;"&amp;EDATE(DATE(2025,8,1),1))</f>
        <v>0</v>
      </c>
    </row>
    <row r="286" customFormat="false" ht="15" hidden="false" customHeight="true" outlineLevel="0" collapsed="false">
      <c r="A286" s="8" t="s">
        <v>73</v>
      </c>
      <c r="B286" s="31" t="n">
        <f aca="false">SUMIFS(Détail!$E:$E,Détail!$C:$C,"OPER. SUR TITRES",Détail!$A:$A,"&gt;="&amp;DATE(2025,9,1),Détail!$A:$A,"&lt;"&amp;EDATE(DATE(2025,9,1),1))</f>
        <v>0</v>
      </c>
    </row>
    <row r="287" customFormat="false" ht="15" hidden="false" customHeight="true" outlineLevel="0" collapsed="false">
      <c r="A287" s="8" t="s">
        <v>74</v>
      </c>
      <c r="B287" s="31" t="n">
        <f aca="false">SUMIFS(Détail!$E:$E,Détail!$C:$C,"OPER. SUR TITRES",Détail!$A:$A,"&gt;="&amp;DATE(2025,10,1),Détail!$A:$A,"&lt;"&amp;EDATE(DATE(2025,10,1),1))</f>
        <v>0</v>
      </c>
    </row>
    <row r="288" customFormat="false" ht="15" hidden="false" customHeight="true" outlineLevel="0" collapsed="false">
      <c r="A288" s="8" t="s">
        <v>75</v>
      </c>
      <c r="B288" s="31" t="n">
        <f aca="false">SUMIFS(Détail!$E:$E,Détail!$C:$C,"OPER. SUR TITRES",Détail!$A:$A,"&gt;="&amp;DATE(2025,11,1),Détail!$A:$A,"&lt;"&amp;EDATE(DATE(2025,11,1),1))</f>
        <v>0</v>
      </c>
    </row>
    <row r="289" customFormat="false" ht="15" hidden="false" customHeight="true" outlineLevel="0" collapsed="false">
      <c r="A289" s="8" t="s">
        <v>76</v>
      </c>
      <c r="B289" s="31" t="n">
        <f aca="false">SUMIFS(Détail!$E:$E,Détail!$C:$C,"OPER. SUR TITRES",Détail!$A:$A,"&gt;="&amp;DATE(2025,12,1),Détail!$A:$A,"&lt;"&amp;EDATE(DATE(2025,12,1),1))</f>
        <v>0</v>
      </c>
    </row>
    <row r="292" customFormat="false" ht="15" hidden="false" customHeight="true" outlineLevel="0" collapsed="false">
      <c r="A292" s="29" t="s">
        <v>223</v>
      </c>
      <c r="B292" s="29"/>
      <c r="C292" s="30" t="n">
        <f aca="false">SUMIF(Détail!$C:$C,"PRELEVEMENT SEPA REJETE",Détail!$E:$E)</f>
        <v>274.81</v>
      </c>
    </row>
    <row r="293" customFormat="false" ht="15" hidden="false" customHeight="true" outlineLevel="0" collapsed="false">
      <c r="A293" s="24" t="s">
        <v>63</v>
      </c>
      <c r="B293" s="24" t="s">
        <v>64</v>
      </c>
    </row>
    <row r="294" customFormat="false" ht="15" hidden="false" customHeight="true" outlineLevel="0" collapsed="false">
      <c r="A294" s="8" t="s">
        <v>65</v>
      </c>
      <c r="B294" s="31" t="n">
        <f aca="false">SUMIFS(Détail!$E:$E,Détail!$C:$C,"PRELEVEMENT SEPA REJETE",Détail!$A:$A,"&gt;="&amp;DATE(2025,1,1),Détail!$A:$A,"&lt;"&amp;EDATE(DATE(2025,1,1),1))</f>
        <v>0</v>
      </c>
    </row>
    <row r="295" customFormat="false" ht="15" hidden="false" customHeight="true" outlineLevel="0" collapsed="false">
      <c r="A295" s="8" t="s">
        <v>66</v>
      </c>
      <c r="B295" s="31" t="n">
        <f aca="false">SUMIFS(Détail!$E:$E,Détail!$C:$C,"PRELEVEMENT SEPA REJETE",Détail!$A:$A,"&gt;="&amp;DATE(2025,2,1),Détail!$A:$A,"&lt;"&amp;EDATE(DATE(2025,2,1),1))</f>
        <v>0</v>
      </c>
    </row>
    <row r="296" customFormat="false" ht="15" hidden="false" customHeight="true" outlineLevel="0" collapsed="false">
      <c r="A296" s="8" t="s">
        <v>67</v>
      </c>
      <c r="B296" s="31" t="n">
        <f aca="false">SUMIFS(Détail!$E:$E,Détail!$C:$C,"PRELEVEMENT SEPA REJETE",Détail!$A:$A,"&gt;="&amp;DATE(2025,3,1),Détail!$A:$A,"&lt;"&amp;EDATE(DATE(2025,3,1),1))</f>
        <v>0</v>
      </c>
    </row>
    <row r="297" customFormat="false" ht="15" hidden="false" customHeight="true" outlineLevel="0" collapsed="false">
      <c r="A297" s="8" t="s">
        <v>68</v>
      </c>
      <c r="B297" s="31" t="n">
        <f aca="false">SUMIFS(Détail!$E:$E,Détail!$C:$C,"PRELEVEMENT SEPA REJETE",Détail!$A:$A,"&gt;="&amp;DATE(2025,4,1),Détail!$A:$A,"&lt;"&amp;EDATE(DATE(2025,4,1),1))</f>
        <v>0</v>
      </c>
    </row>
    <row r="298" customFormat="false" ht="15" hidden="false" customHeight="true" outlineLevel="0" collapsed="false">
      <c r="A298" s="8" t="s">
        <v>69</v>
      </c>
      <c r="B298" s="31" t="n">
        <f aca="false">SUMIFS(Détail!$E:$E,Détail!$C:$C,"PRELEVEMENT SEPA REJETE",Détail!$A:$A,"&gt;="&amp;DATE(2025,5,1),Détail!$A:$A,"&lt;"&amp;EDATE(DATE(2025,5,1),1))</f>
        <v>0</v>
      </c>
    </row>
    <row r="299" customFormat="false" ht="15" hidden="false" customHeight="true" outlineLevel="0" collapsed="false">
      <c r="A299" s="8" t="s">
        <v>70</v>
      </c>
      <c r="B299" s="31" t="n">
        <f aca="false">SUMIFS(Détail!$E:$E,Détail!$C:$C,"PRELEVEMENT SEPA REJETE",Détail!$A:$A,"&gt;="&amp;DATE(2025,6,1),Détail!$A:$A,"&lt;"&amp;EDATE(DATE(2025,6,1),1))</f>
        <v>28.86</v>
      </c>
    </row>
    <row r="300" customFormat="false" ht="15" hidden="false" customHeight="true" outlineLevel="0" collapsed="false">
      <c r="A300" s="8" t="s">
        <v>71</v>
      </c>
      <c r="B300" s="31" t="n">
        <f aca="false">SUMIFS(Détail!$E:$E,Détail!$C:$C,"PRELEVEMENT SEPA REJETE",Détail!$A:$A,"&gt;="&amp;DATE(2025,7,1),Détail!$A:$A,"&lt;"&amp;EDATE(DATE(2025,7,1),1))</f>
        <v>168.99</v>
      </c>
    </row>
    <row r="301" customFormat="false" ht="15" hidden="false" customHeight="true" outlineLevel="0" collapsed="false">
      <c r="A301" s="8" t="s">
        <v>72</v>
      </c>
      <c r="B301" s="31" t="n">
        <f aca="false">SUMIFS(Détail!$E:$E,Détail!$C:$C,"PRELEVEMENT SEPA REJETE",Détail!$A:$A,"&gt;="&amp;DATE(2025,8,1),Détail!$A:$A,"&lt;"&amp;EDATE(DATE(2025,8,1),1))</f>
        <v>38.48</v>
      </c>
    </row>
    <row r="302" customFormat="false" ht="15" hidden="false" customHeight="true" outlineLevel="0" collapsed="false">
      <c r="A302" s="8" t="s">
        <v>73</v>
      </c>
      <c r="B302" s="31" t="n">
        <f aca="false">SUMIFS(Détail!$E:$E,Détail!$C:$C,"PRELEVEMENT SEPA REJETE",Détail!$A:$A,"&gt;="&amp;DATE(2025,9,1),Détail!$A:$A,"&lt;"&amp;EDATE(DATE(2025,9,1),1))</f>
        <v>38.48</v>
      </c>
    </row>
    <row r="303" customFormat="false" ht="15" hidden="false" customHeight="true" outlineLevel="0" collapsed="false">
      <c r="A303" s="8" t="s">
        <v>74</v>
      </c>
      <c r="B303" s="31" t="n">
        <f aca="false">SUMIFS(Détail!$E:$E,Détail!$C:$C,"PRELEVEMENT SEPA REJETE",Détail!$A:$A,"&gt;="&amp;DATE(2025,10,1),Détail!$A:$A,"&lt;"&amp;EDATE(DATE(2025,10,1),1))</f>
        <v>0</v>
      </c>
    </row>
    <row r="304" customFormat="false" ht="15" hidden="false" customHeight="true" outlineLevel="0" collapsed="false">
      <c r="A304" s="8" t="s">
        <v>75</v>
      </c>
      <c r="B304" s="31" t="n">
        <f aca="false">SUMIFS(Détail!$E:$E,Détail!$C:$C,"PRELEVEMENT SEPA REJETE",Détail!$A:$A,"&gt;="&amp;DATE(2025,11,1),Détail!$A:$A,"&lt;"&amp;EDATE(DATE(2025,11,1),1))</f>
        <v>0</v>
      </c>
    </row>
    <row r="305" customFormat="false" ht="15" hidden="false" customHeight="true" outlineLevel="0" collapsed="false">
      <c r="A305" s="8" t="s">
        <v>76</v>
      </c>
      <c r="B305" s="31" t="n">
        <f aca="false">SUMIFS(Détail!$E:$E,Détail!$C:$C,"PRELEVEMENT SEPA REJETE",Détail!$A:$A,"&gt;="&amp;DATE(2025,12,1),Détail!$A:$A,"&lt;"&amp;EDATE(DATE(2025,12,1),1))</f>
        <v>0</v>
      </c>
    </row>
  </sheetData>
  <mergeCells count="19">
    <mergeCell ref="A4:B4"/>
    <mergeCell ref="A20:B20"/>
    <mergeCell ref="A36:B36"/>
    <mergeCell ref="A52:B52"/>
    <mergeCell ref="A68:B68"/>
    <mergeCell ref="A84:B84"/>
    <mergeCell ref="A100:B100"/>
    <mergeCell ref="A116:B116"/>
    <mergeCell ref="A132:B132"/>
    <mergeCell ref="A148:B148"/>
    <mergeCell ref="A164:B164"/>
    <mergeCell ref="A180:B180"/>
    <mergeCell ref="A196:B196"/>
    <mergeCell ref="A212:B212"/>
    <mergeCell ref="A228:B228"/>
    <mergeCell ref="A244:B244"/>
    <mergeCell ref="A260:B260"/>
    <mergeCell ref="A276:B276"/>
    <mergeCell ref="A292:B2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224</v>
      </c>
    </row>
    <row r="3" customFormat="false" ht="15" hidden="false" customHeight="true" outlineLevel="0" collapsed="false">
      <c r="A3" s="29" t="s">
        <v>225</v>
      </c>
      <c r="B3" s="29"/>
      <c r="C3" s="30" t="n">
        <f aca="false">SUMIF(Détail!$D:$D,"AMM COT SANTE DES ENTREPRISES-APIVIA MACIF MUTUELLE",Détail!$E:$E)</f>
        <v>-2444.76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SUMIFS(Détail!$E:$E,Détail!$D:$D,"AMM COT SANTE DES ENTREPRISES-APIVIA MACIF MUTUELLE",Détail!$A:$A,"&gt;="&amp;DATE(2025,1,1),Détail!$A:$A,"&lt;"&amp;EDATE(DATE(2025,1,1),1))</f>
        <v>-199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SUMIFS(Détail!$E:$E,Détail!$D:$D,"AMM COT SANTE DES ENTREPRISES-APIVIA MACIF MUTUELLE",Détail!$A:$A,"&gt;="&amp;DATE(2025,2,1),Détail!$A:$A,"&lt;"&amp;EDATE(DATE(2025,2,1),1))</f>
        <v>-204.16</v>
      </c>
    </row>
    <row r="7" customFormat="false" ht="15" hidden="false" customHeight="true" outlineLevel="0" collapsed="false">
      <c r="A7" s="8" t="s">
        <v>67</v>
      </c>
      <c r="B7" s="31" t="n">
        <f aca="false">SUMIFS(Détail!$E:$E,Détail!$D:$D,"AMM COT SANTE DES ENTREPRISES-APIVIA MACIF MUTUELLE",Détail!$A:$A,"&gt;="&amp;DATE(2025,3,1),Détail!$A:$A,"&lt;"&amp;EDATE(DATE(2025,3,1),1))</f>
        <v>-204.16</v>
      </c>
    </row>
    <row r="8" customFormat="false" ht="15" hidden="false" customHeight="true" outlineLevel="0" collapsed="false">
      <c r="A8" s="8" t="s">
        <v>68</v>
      </c>
      <c r="B8" s="31" t="n">
        <f aca="false">SUMIFS(Détail!$E:$E,Détail!$D:$D,"AMM COT SANTE DES ENTREPRISES-APIVIA MACIF MUTUELLE",Détail!$A:$A,"&gt;="&amp;DATE(2025,4,1),Détail!$A:$A,"&lt;"&amp;EDATE(DATE(2025,4,1),1))</f>
        <v>-125.16</v>
      </c>
    </row>
    <row r="9" customFormat="false" ht="15" hidden="false" customHeight="true" outlineLevel="0" collapsed="false">
      <c r="A9" s="8" t="s">
        <v>69</v>
      </c>
      <c r="B9" s="31" t="n">
        <f aca="false">SUMIFS(Détail!$E:$E,Détail!$D:$D,"AMM COT SANTE DES ENTREPRISES-APIVIA MACIF MUTUELLE",Détail!$A:$A,"&gt;="&amp;DATE(2025,5,1),Détail!$A:$A,"&lt;"&amp;EDATE(DATE(2025,5,1),1))</f>
        <v>-283.16</v>
      </c>
    </row>
    <row r="10" customFormat="false" ht="15" hidden="false" customHeight="true" outlineLevel="0" collapsed="false">
      <c r="A10" s="8" t="s">
        <v>70</v>
      </c>
      <c r="B10" s="31" t="n">
        <f aca="false">SUMIFS(Détail!$E:$E,Détail!$D:$D,"AMM COT SANTE DES ENTREPRISES-APIVIA MACIF MUTUELLE",Détail!$A:$A,"&gt;="&amp;DATE(2025,6,1),Détail!$A:$A,"&lt;"&amp;EDATE(DATE(2025,6,1),1))</f>
        <v>-204.16</v>
      </c>
    </row>
    <row r="11" customFormat="false" ht="15" hidden="false" customHeight="true" outlineLevel="0" collapsed="false">
      <c r="A11" s="8" t="s">
        <v>71</v>
      </c>
      <c r="B11" s="31" t="n">
        <f aca="false">SUMIFS(Détail!$E:$E,Détail!$D:$D,"AMM COT SANTE DES ENTREPRISES-APIVIA MACIF MUTUELLE",Détail!$A:$A,"&gt;="&amp;DATE(2025,7,1),Détail!$A:$A,"&lt;"&amp;EDATE(DATE(2025,7,1),1))</f>
        <v>-204.16</v>
      </c>
    </row>
    <row r="12" customFormat="false" ht="15" hidden="false" customHeight="true" outlineLevel="0" collapsed="false">
      <c r="A12" s="8" t="s">
        <v>72</v>
      </c>
      <c r="B12" s="31" t="n">
        <f aca="false">SUMIFS(Détail!$E:$E,Détail!$D:$D,"AMM COT SANTE DES ENTREPRISES-APIVIA MACIF MUTUELLE",Détail!$A:$A,"&gt;="&amp;DATE(2025,8,1),Détail!$A:$A,"&lt;"&amp;EDATE(DATE(2025,8,1),1))</f>
        <v>-204.16</v>
      </c>
    </row>
    <row r="13" customFormat="false" ht="15" hidden="false" customHeight="true" outlineLevel="0" collapsed="false">
      <c r="A13" s="8" t="s">
        <v>73</v>
      </c>
      <c r="B13" s="31" t="n">
        <f aca="false">SUMIFS(Détail!$E:$E,Détail!$D:$D,"AMM COT SANTE DES ENTREPRISES-APIVIA MACIF MUTUELLE",Détail!$A:$A,"&gt;="&amp;DATE(2025,9,1),Détail!$A:$A,"&lt;"&amp;EDATE(DATE(2025,9,1),1))</f>
        <v>-204.16</v>
      </c>
    </row>
    <row r="14" customFormat="false" ht="15" hidden="false" customHeight="true" outlineLevel="0" collapsed="false">
      <c r="A14" s="8" t="s">
        <v>74</v>
      </c>
      <c r="B14" s="31" t="n">
        <f aca="false">SUMIFS(Détail!$E:$E,Détail!$D:$D,"AMM COT SANTE DES ENTREPRISES-APIVIA MACIF MUTUELLE",Détail!$A:$A,"&gt;="&amp;DATE(2025,10,1),Détail!$A:$A,"&lt;"&amp;EDATE(DATE(2025,10,1),1))</f>
        <v>-204.16</v>
      </c>
    </row>
    <row r="15" customFormat="false" ht="15" hidden="false" customHeight="true" outlineLevel="0" collapsed="false">
      <c r="A15" s="8" t="s">
        <v>75</v>
      </c>
      <c r="B15" s="31" t="n">
        <f aca="false">SUMIFS(Détail!$E:$E,Détail!$D:$D,"AMM COT SANTE DES ENTREPRISES-APIVIA MACIF MUTUELLE",Détail!$A:$A,"&gt;="&amp;DATE(2025,11,1),Détail!$A:$A,"&lt;"&amp;EDATE(DATE(2025,11,1),1))</f>
        <v>-204.16</v>
      </c>
    </row>
    <row r="16" customFormat="false" ht="15" hidden="false" customHeight="true" outlineLevel="0" collapsed="false">
      <c r="A16" s="8" t="s">
        <v>76</v>
      </c>
      <c r="B16" s="31" t="n">
        <f aca="false">SUMIFS(Détail!$E:$E,Détail!$D:$D,"AMM COT SANTE DES ENTREPRISES-APIVIA MACIF MUTUELLE",Détail!$A:$A,"&gt;="&amp;DATE(2025,12,1),Détail!$A:$A,"&lt;"&amp;EDATE(DATE(2025,12,1),1))</f>
        <v>-204.16</v>
      </c>
    </row>
    <row r="19" customFormat="false" ht="15" hidden="false" customHeight="true" outlineLevel="0" collapsed="false">
      <c r="A19" s="29" t="s">
        <v>226</v>
      </c>
      <c r="B19" s="29"/>
      <c r="C19" s="30" t="n">
        <f aca="false">SUMIF(Détail!$D:$D,"MACIF IDF PRODUCTION-MACIF",Détail!$E:$E)</f>
        <v>-1573.13</v>
      </c>
    </row>
    <row r="20" customFormat="false" ht="15" hidden="false" customHeight="true" outlineLevel="0" collapsed="false">
      <c r="A20" s="24" t="s">
        <v>63</v>
      </c>
      <c r="B20" s="24" t="s">
        <v>64</v>
      </c>
    </row>
    <row r="21" customFormat="false" ht="15" hidden="false" customHeight="true" outlineLevel="0" collapsed="false">
      <c r="A21" s="8" t="s">
        <v>65</v>
      </c>
      <c r="B21" s="31" t="n">
        <f aca="false">SUMIFS(Détail!$E:$E,Détail!$D:$D,"MACIF IDF PRODUCTION-MACIF",Détail!$A:$A,"&gt;="&amp;DATE(2025,1,1),Détail!$A:$A,"&lt;"&amp;EDATE(DATE(2025,1,1),1))</f>
        <v>-132.36</v>
      </c>
    </row>
    <row r="22" customFormat="false" ht="15" hidden="false" customHeight="true" outlineLevel="0" collapsed="false">
      <c r="A22" s="8" t="s">
        <v>66</v>
      </c>
      <c r="B22" s="31" t="n">
        <f aca="false">SUMIFS(Détail!$E:$E,Détail!$D:$D,"MACIF IDF PRODUCTION-MACIF",Détail!$A:$A,"&gt;="&amp;DATE(2025,2,1),Détail!$A:$A,"&lt;"&amp;EDATE(DATE(2025,2,1),1))</f>
        <v>-132.36</v>
      </c>
    </row>
    <row r="23" customFormat="false" ht="15" hidden="false" customHeight="true" outlineLevel="0" collapsed="false">
      <c r="A23" s="8" t="s">
        <v>67</v>
      </c>
      <c r="B23" s="31" t="n">
        <f aca="false">SUMIFS(Détail!$E:$E,Détail!$D:$D,"MACIF IDF PRODUCTION-MACIF",Détail!$A:$A,"&gt;="&amp;DATE(2025,3,1),Détail!$A:$A,"&lt;"&amp;EDATE(DATE(2025,3,1),1))</f>
        <v>-132.36</v>
      </c>
    </row>
    <row r="24" customFormat="false" ht="15" hidden="false" customHeight="true" outlineLevel="0" collapsed="false">
      <c r="A24" s="8" t="s">
        <v>68</v>
      </c>
      <c r="B24" s="31" t="n">
        <f aca="false">SUMIFS(Détail!$E:$E,Détail!$D:$D,"MACIF IDF PRODUCTION-MACIF",Détail!$A:$A,"&gt;="&amp;DATE(2025,4,1),Détail!$A:$A,"&lt;"&amp;EDATE(DATE(2025,4,1),1))</f>
        <v>-130.69</v>
      </c>
    </row>
    <row r="25" customFormat="false" ht="15" hidden="false" customHeight="true" outlineLevel="0" collapsed="false">
      <c r="A25" s="8" t="s">
        <v>69</v>
      </c>
      <c r="B25" s="31" t="n">
        <f aca="false">SUMIFS(Détail!$E:$E,Détail!$D:$D,"MACIF IDF PRODUCTION-MACIF",Détail!$A:$A,"&gt;="&amp;DATE(2025,5,1),Détail!$A:$A,"&lt;"&amp;EDATE(DATE(2025,5,1),1))</f>
        <v>-130.67</v>
      </c>
    </row>
    <row r="26" customFormat="false" ht="15" hidden="false" customHeight="true" outlineLevel="0" collapsed="false">
      <c r="A26" s="8" t="s">
        <v>70</v>
      </c>
      <c r="B26" s="31" t="n">
        <f aca="false">SUMIFS(Détail!$E:$E,Détail!$D:$D,"MACIF IDF PRODUCTION-MACIF",Détail!$A:$A,"&gt;="&amp;DATE(2025,6,1),Détail!$A:$A,"&lt;"&amp;EDATE(DATE(2025,6,1),1))</f>
        <v>-130.67</v>
      </c>
    </row>
    <row r="27" customFormat="false" ht="15" hidden="false" customHeight="true" outlineLevel="0" collapsed="false">
      <c r="A27" s="8" t="s">
        <v>71</v>
      </c>
      <c r="B27" s="31" t="n">
        <f aca="false">SUMIFS(Détail!$E:$E,Détail!$D:$D,"MACIF IDF PRODUCTION-MACIF",Détail!$A:$A,"&gt;="&amp;DATE(2025,7,1),Détail!$A:$A,"&lt;"&amp;EDATE(DATE(2025,7,1),1))</f>
        <v>-130.67</v>
      </c>
    </row>
    <row r="28" customFormat="false" ht="15" hidden="false" customHeight="true" outlineLevel="0" collapsed="false">
      <c r="A28" s="8" t="s">
        <v>72</v>
      </c>
      <c r="B28" s="31" t="n">
        <f aca="false">SUMIFS(Détail!$E:$E,Détail!$D:$D,"MACIF IDF PRODUCTION-MACIF",Détail!$A:$A,"&gt;="&amp;DATE(2025,8,1),Détail!$A:$A,"&lt;"&amp;EDATE(DATE(2025,8,1),1))</f>
        <v>-130.67</v>
      </c>
    </row>
    <row r="29" customFormat="false" ht="15" hidden="false" customHeight="true" outlineLevel="0" collapsed="false">
      <c r="A29" s="8" t="s">
        <v>73</v>
      </c>
      <c r="B29" s="31" t="n">
        <f aca="false">SUMIFS(Détail!$E:$E,Détail!$D:$D,"MACIF IDF PRODUCTION-MACIF",Détail!$A:$A,"&gt;="&amp;DATE(2025,9,1),Détail!$A:$A,"&lt;"&amp;EDATE(DATE(2025,9,1),1))</f>
        <v>-130.67</v>
      </c>
    </row>
    <row r="30" customFormat="false" ht="15" hidden="false" customHeight="true" outlineLevel="0" collapsed="false">
      <c r="A30" s="8" t="s">
        <v>74</v>
      </c>
      <c r="B30" s="31" t="n">
        <f aca="false">SUMIFS(Détail!$E:$E,Détail!$D:$D,"MACIF IDF PRODUCTION-MACIF",Détail!$A:$A,"&gt;="&amp;DATE(2025,10,1),Détail!$A:$A,"&lt;"&amp;EDATE(DATE(2025,10,1),1))</f>
        <v>-130.67</v>
      </c>
    </row>
    <row r="31" customFormat="false" ht="15" hidden="false" customHeight="true" outlineLevel="0" collapsed="false">
      <c r="A31" s="8" t="s">
        <v>75</v>
      </c>
      <c r="B31" s="31" t="n">
        <f aca="false">SUMIFS(Détail!$E:$E,Détail!$D:$D,"MACIF IDF PRODUCTION-MACIF",Détail!$A:$A,"&gt;="&amp;DATE(2025,11,1),Détail!$A:$A,"&lt;"&amp;EDATE(DATE(2025,11,1),1))</f>
        <v>-130.67</v>
      </c>
    </row>
    <row r="32" customFormat="false" ht="15" hidden="false" customHeight="true" outlineLevel="0" collapsed="false">
      <c r="A32" s="8" t="s">
        <v>76</v>
      </c>
      <c r="B32" s="31" t="n">
        <f aca="false">SUMIFS(Détail!$E:$E,Détail!$D:$D,"MACIF IDF PRODUCTION-MACIF",Détail!$A:$A,"&gt;="&amp;DATE(2025,12,1),Détail!$A:$A,"&lt;"&amp;EDATE(DATE(2025,12,1),1))</f>
        <v>-130.67</v>
      </c>
    </row>
    <row r="35" customFormat="false" ht="15" hidden="false" customHeight="true" outlineLevel="0" collapsed="false">
      <c r="A35" s="29" t="s">
        <v>227</v>
      </c>
      <c r="B35" s="29"/>
      <c r="C35" s="30" t="n">
        <f aca="false">SUMIF(Détail!$D:$D,"CEP TRESO SANTE PREV",Détail!$E:$E)</f>
        <v>-661.86</v>
      </c>
    </row>
    <row r="36" customFormat="false" ht="15" hidden="false" customHeight="true" outlineLevel="0" collapsed="false">
      <c r="A36" s="24" t="s">
        <v>63</v>
      </c>
      <c r="B36" s="24" t="s">
        <v>64</v>
      </c>
    </row>
    <row r="37" customFormat="false" ht="15" hidden="false" customHeight="true" outlineLevel="0" collapsed="false">
      <c r="A37" s="8" t="s">
        <v>65</v>
      </c>
      <c r="B37" s="31" t="n">
        <f aca="false">SUMIFS(Détail!$E:$E,Détail!$D:$D,"CEP TRESO SANTE PREV",Détail!$A:$A,"&gt;="&amp;DATE(2025,1,1),Détail!$A:$A,"&lt;"&amp;EDATE(DATE(2025,1,1),1))</f>
        <v>-244.1</v>
      </c>
    </row>
    <row r="38" customFormat="false" ht="15" hidden="false" customHeight="true" outlineLevel="0" collapsed="false">
      <c r="A38" s="8" t="s">
        <v>66</v>
      </c>
      <c r="B38" s="31" t="n">
        <f aca="false">SUMIFS(Détail!$E:$E,Détail!$D:$D,"CEP TRESO SANTE PREV",Détail!$A:$A,"&gt;="&amp;DATE(2025,2,1),Détail!$A:$A,"&lt;"&amp;EDATE(DATE(2025,2,1),1))</f>
        <v>0</v>
      </c>
    </row>
    <row r="39" customFormat="false" ht="15" hidden="false" customHeight="true" outlineLevel="0" collapsed="false">
      <c r="A39" s="8" t="s">
        <v>67</v>
      </c>
      <c r="B39" s="31" t="n">
        <f aca="false">SUMIFS(Détail!$E:$E,Détail!$D:$D,"CEP TRESO SANTE PREV",Détail!$A:$A,"&gt;="&amp;DATE(2025,3,1),Détail!$A:$A,"&lt;"&amp;EDATE(DATE(2025,3,1),1))</f>
        <v>0</v>
      </c>
    </row>
    <row r="40" customFormat="false" ht="15" hidden="false" customHeight="true" outlineLevel="0" collapsed="false">
      <c r="A40" s="8" t="s">
        <v>68</v>
      </c>
      <c r="B40" s="31" t="n">
        <f aca="false">SUMIFS(Détail!$E:$E,Détail!$D:$D,"CEP TRESO SANTE PREV",Détail!$A:$A,"&gt;="&amp;DATE(2025,4,1),Détail!$A:$A,"&lt;"&amp;EDATE(DATE(2025,4,1),1))</f>
        <v>-93.11</v>
      </c>
    </row>
    <row r="41" customFormat="false" ht="15" hidden="false" customHeight="true" outlineLevel="0" collapsed="false">
      <c r="A41" s="8" t="s">
        <v>69</v>
      </c>
      <c r="B41" s="31" t="n">
        <f aca="false">SUMIFS(Détail!$E:$E,Détail!$D:$D,"CEP TRESO SANTE PREV",Détail!$A:$A,"&gt;="&amp;DATE(2025,5,1),Détail!$A:$A,"&lt;"&amp;EDATE(DATE(2025,5,1),1))</f>
        <v>0</v>
      </c>
    </row>
    <row r="42" customFormat="false" ht="15" hidden="false" customHeight="true" outlineLevel="0" collapsed="false">
      <c r="A42" s="8" t="s">
        <v>70</v>
      </c>
      <c r="B42" s="31" t="n">
        <f aca="false">SUMIFS(Détail!$E:$E,Détail!$D:$D,"CEP TRESO SANTE PREV",Détail!$A:$A,"&gt;="&amp;DATE(2025,6,1),Détail!$A:$A,"&lt;"&amp;EDATE(DATE(2025,6,1),1))</f>
        <v>0</v>
      </c>
    </row>
    <row r="43" customFormat="false" ht="15" hidden="false" customHeight="true" outlineLevel="0" collapsed="false">
      <c r="A43" s="8" t="s">
        <v>71</v>
      </c>
      <c r="B43" s="31" t="n">
        <f aca="false">SUMIFS(Détail!$E:$E,Détail!$D:$D,"CEP TRESO SANTE PREV",Détail!$A:$A,"&gt;="&amp;DATE(2025,7,1),Détail!$A:$A,"&lt;"&amp;EDATE(DATE(2025,7,1),1))</f>
        <v>-98.12</v>
      </c>
    </row>
    <row r="44" customFormat="false" ht="15" hidden="false" customHeight="true" outlineLevel="0" collapsed="false">
      <c r="A44" s="8" t="s">
        <v>72</v>
      </c>
      <c r="B44" s="31" t="n">
        <f aca="false">SUMIFS(Détail!$E:$E,Détail!$D:$D,"CEP TRESO SANTE PREV",Détail!$A:$A,"&gt;="&amp;DATE(2025,8,1),Détail!$A:$A,"&lt;"&amp;EDATE(DATE(2025,8,1),1))</f>
        <v>0</v>
      </c>
    </row>
    <row r="45" customFormat="false" ht="15" hidden="false" customHeight="true" outlineLevel="0" collapsed="false">
      <c r="A45" s="8" t="s">
        <v>73</v>
      </c>
      <c r="B45" s="31" t="n">
        <f aca="false">SUMIFS(Détail!$E:$E,Détail!$D:$D,"CEP TRESO SANTE PREV",Détail!$A:$A,"&gt;="&amp;DATE(2025,9,1),Détail!$A:$A,"&lt;"&amp;EDATE(DATE(2025,9,1),1))</f>
        <v>0</v>
      </c>
    </row>
    <row r="46" customFormat="false" ht="15" hidden="false" customHeight="true" outlineLevel="0" collapsed="false">
      <c r="A46" s="8" t="s">
        <v>74</v>
      </c>
      <c r="B46" s="31" t="n">
        <f aca="false">SUMIFS(Détail!$E:$E,Détail!$D:$D,"CEP TRESO SANTE PREV",Détail!$A:$A,"&gt;="&amp;DATE(2025,10,1),Détail!$A:$A,"&lt;"&amp;EDATE(DATE(2025,10,1),1))</f>
        <v>-226.53</v>
      </c>
    </row>
    <row r="47" customFormat="false" ht="15" hidden="false" customHeight="true" outlineLevel="0" collapsed="false">
      <c r="A47" s="8" t="s">
        <v>75</v>
      </c>
      <c r="B47" s="31" t="n">
        <f aca="false">SUMIFS(Détail!$E:$E,Détail!$D:$D,"CEP TRESO SANTE PREV",Détail!$A:$A,"&gt;="&amp;DATE(2025,11,1),Détail!$A:$A,"&lt;"&amp;EDATE(DATE(2025,11,1),1))</f>
        <v>0</v>
      </c>
    </row>
    <row r="48" customFormat="false" ht="15" hidden="false" customHeight="true" outlineLevel="0" collapsed="false">
      <c r="A48" s="8" t="s">
        <v>76</v>
      </c>
      <c r="B48" s="31" t="n">
        <f aca="false">SUMIFS(Détail!$E:$E,Détail!$D:$D,"CEP TRESO SANTE PREV",Détail!$A:$A,"&gt;="&amp;DATE(2025,12,1),Détail!$A:$A,"&lt;"&amp;EDATE(DATE(2025,12,1),1))</f>
        <v>0</v>
      </c>
    </row>
  </sheetData>
  <mergeCells count="3">
    <mergeCell ref="A3:B3"/>
    <mergeCell ref="A19:B19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228</v>
      </c>
    </row>
    <row r="3" customFormat="false" ht="15" hidden="false" customHeight="true" outlineLevel="0" collapsed="false">
      <c r="A3" s="29" t="s">
        <v>229</v>
      </c>
      <c r="B3" s="29"/>
      <c r="C3" s="30" t="n">
        <f aca="false">SUMIF(Détail!$D:$D,"BOULANGER",Détail!$E:$E)</f>
        <v>-854.84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SUMIFS(Détail!$E:$E,Détail!$D:$D,"BOULANGER",Détail!$A:$A,"&gt;="&amp;DATE(2025,1,1),Détail!$A:$A,"&lt;"&amp;EDATE(DATE(2025,1,1),1))</f>
        <v>0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SUMIFS(Détail!$E:$E,Détail!$D:$D,"BOULANGER",Détail!$A:$A,"&gt;="&amp;DATE(2025,2,1),Détail!$A:$A,"&lt;"&amp;EDATE(DATE(2025,2,1),1))</f>
        <v>0</v>
      </c>
    </row>
    <row r="7" customFormat="false" ht="15" hidden="false" customHeight="true" outlineLevel="0" collapsed="false">
      <c r="A7" s="8" t="s">
        <v>67</v>
      </c>
      <c r="B7" s="31" t="n">
        <f aca="false">SUMIFS(Détail!$E:$E,Détail!$D:$D,"BOULANGER",Détail!$A:$A,"&gt;="&amp;DATE(2025,3,1),Détail!$A:$A,"&lt;"&amp;EDATE(DATE(2025,3,1),1))</f>
        <v>-74.91</v>
      </c>
    </row>
    <row r="8" customFormat="false" ht="15" hidden="false" customHeight="true" outlineLevel="0" collapsed="false">
      <c r="A8" s="8" t="s">
        <v>68</v>
      </c>
      <c r="B8" s="31" t="n">
        <f aca="false">SUMIFS(Détail!$E:$E,Détail!$D:$D,"BOULANGER",Détail!$A:$A,"&gt;="&amp;DATE(2025,4,1),Détail!$A:$A,"&lt;"&amp;EDATE(DATE(2025,4,1),1))</f>
        <v>0</v>
      </c>
    </row>
    <row r="9" customFormat="false" ht="15" hidden="false" customHeight="true" outlineLevel="0" collapsed="false">
      <c r="A9" s="8" t="s">
        <v>69</v>
      </c>
      <c r="B9" s="31" t="n">
        <f aca="false">SUMIFS(Détail!$E:$E,Détail!$D:$D,"BOULANGER",Détail!$A:$A,"&gt;="&amp;DATE(2025,5,1),Détail!$A:$A,"&lt;"&amp;EDATE(DATE(2025,5,1),1))</f>
        <v>-779.93</v>
      </c>
    </row>
    <row r="10" customFormat="false" ht="15" hidden="false" customHeight="true" outlineLevel="0" collapsed="false">
      <c r="A10" s="8" t="s">
        <v>71</v>
      </c>
      <c r="B10" s="31" t="n">
        <f aca="false">SUMIFS(Détail!$E:$E,Détail!$D:$D,"BOULANGER",Détail!$A:$A,"&gt;="&amp;DATE(2025,7,1),Détail!$A:$A,"&lt;"&amp;EDATE(DATE(2025,7,1),1))</f>
        <v>0</v>
      </c>
    </row>
    <row r="11" customFormat="false" ht="15" hidden="false" customHeight="true" outlineLevel="0" collapsed="false">
      <c r="A11" s="8" t="s">
        <v>72</v>
      </c>
      <c r="B11" s="31" t="n">
        <f aca="false">SUMIFS(Détail!$E:$E,Détail!$D:$D,"BOULANGER",Détail!$A:$A,"&gt;="&amp;DATE(2025,8,1),Détail!$A:$A,"&lt;"&amp;EDATE(DATE(2025,8,1),1))</f>
        <v>0</v>
      </c>
    </row>
    <row r="12" customFormat="false" ht="15" hidden="false" customHeight="true" outlineLevel="0" collapsed="false">
      <c r="A12" s="8" t="s">
        <v>73</v>
      </c>
      <c r="B12" s="31" t="n">
        <f aca="false">SUMIFS(Détail!$E:$E,Détail!$D:$D,"BOULANGER",Détail!$A:$A,"&gt;="&amp;DATE(2025,9,1),Détail!$A:$A,"&lt;"&amp;EDATE(DATE(2025,9,1),1))</f>
        <v>0</v>
      </c>
    </row>
    <row r="13" customFormat="false" ht="15" hidden="false" customHeight="true" outlineLevel="0" collapsed="false">
      <c r="A13" s="8" t="s">
        <v>75</v>
      </c>
      <c r="B13" s="31" t="n">
        <f aca="false">SUMIFS(Détail!$E:$E,Détail!$D:$D,"BOULANGER",Détail!$A:$A,"&gt;="&amp;DATE(2025,11,1),Détail!$A:$A,"&lt;"&amp;EDATE(DATE(2025,11,1),1))</f>
        <v>0</v>
      </c>
    </row>
    <row r="16" customFormat="false" ht="15" hidden="false" customHeight="true" outlineLevel="0" collapsed="false">
      <c r="A16" s="29" t="s">
        <v>230</v>
      </c>
      <c r="B16" s="29"/>
      <c r="C16" s="30" t="n">
        <f aca="false">SUMIF(Détail!$D:$D,"AMAZON PAYMENTS",Détail!$E:$E)</f>
        <v>-654.08</v>
      </c>
    </row>
    <row r="17" customFormat="false" ht="15" hidden="false" customHeight="true" outlineLevel="0" collapsed="false">
      <c r="A17" s="24" t="s">
        <v>63</v>
      </c>
      <c r="B17" s="24" t="s">
        <v>64</v>
      </c>
    </row>
    <row r="18" customFormat="false" ht="15" hidden="false" customHeight="true" outlineLevel="0" collapsed="false">
      <c r="A18" s="8" t="s">
        <v>65</v>
      </c>
      <c r="B18" s="31" t="n">
        <f aca="false">SUMIFS(Détail!$E:$E,Détail!$D:$D,"AMAZON PAYMENTS",Détail!$A:$A,"&gt;="&amp;DATE(2025,1,1),Détail!$A:$A,"&lt;"&amp;EDATE(DATE(2025,1,1),1))</f>
        <v>0</v>
      </c>
    </row>
    <row r="19" customFormat="false" ht="15" hidden="false" customHeight="true" outlineLevel="0" collapsed="false">
      <c r="A19" s="8" t="s">
        <v>66</v>
      </c>
      <c r="B19" s="31" t="n">
        <f aca="false">SUMIFS(Détail!$E:$E,Détail!$D:$D,"AMAZON PAYMENTS",Détail!$A:$A,"&gt;="&amp;DATE(2025,2,1),Détail!$A:$A,"&lt;"&amp;EDATE(DATE(2025,2,1),1))</f>
        <v>0</v>
      </c>
    </row>
    <row r="20" customFormat="false" ht="15" hidden="false" customHeight="true" outlineLevel="0" collapsed="false">
      <c r="A20" s="8" t="s">
        <v>67</v>
      </c>
      <c r="B20" s="31" t="n">
        <f aca="false">SUMIFS(Détail!$E:$E,Détail!$D:$D,"AMAZON PAYMENTS",Détail!$A:$A,"&gt;="&amp;DATE(2025,3,1),Détail!$A:$A,"&lt;"&amp;EDATE(DATE(2025,3,1),1))</f>
        <v>0</v>
      </c>
    </row>
    <row r="21" customFormat="false" ht="15" hidden="false" customHeight="true" outlineLevel="0" collapsed="false">
      <c r="A21" s="8" t="s">
        <v>68</v>
      </c>
      <c r="B21" s="31" t="n">
        <f aca="false">SUMIFS(Détail!$E:$E,Détail!$D:$D,"AMAZON PAYMENTS",Détail!$A:$A,"&gt;="&amp;DATE(2025,4,1),Détail!$A:$A,"&lt;"&amp;EDATE(DATE(2025,4,1),1))</f>
        <v>-15.64</v>
      </c>
    </row>
    <row r="22" customFormat="false" ht="15" hidden="false" customHeight="true" outlineLevel="0" collapsed="false">
      <c r="A22" s="8" t="s">
        <v>69</v>
      </c>
      <c r="B22" s="31" t="n">
        <f aca="false">SUMIFS(Détail!$E:$E,Détail!$D:$D,"AMAZON PAYMENTS",Détail!$A:$A,"&gt;="&amp;DATE(2025,5,1),Détail!$A:$A,"&lt;"&amp;EDATE(DATE(2025,5,1),1))</f>
        <v>-169.78</v>
      </c>
    </row>
    <row r="23" customFormat="false" ht="15" hidden="false" customHeight="true" outlineLevel="0" collapsed="false">
      <c r="A23" s="8" t="s">
        <v>71</v>
      </c>
      <c r="B23" s="31" t="n">
        <f aca="false">SUMIFS(Détail!$E:$E,Détail!$D:$D,"AMAZON PAYMENTS",Détail!$A:$A,"&gt;="&amp;DATE(2025,7,1),Détail!$A:$A,"&lt;"&amp;EDATE(DATE(2025,7,1),1))</f>
        <v>-158.02</v>
      </c>
    </row>
    <row r="24" customFormat="false" ht="15" hidden="false" customHeight="true" outlineLevel="0" collapsed="false">
      <c r="A24" s="8" t="s">
        <v>72</v>
      </c>
      <c r="B24" s="31" t="n">
        <f aca="false">SUMIFS(Détail!$E:$E,Détail!$D:$D,"AMAZON PAYMENTS",Détail!$A:$A,"&gt;="&amp;DATE(2025,8,1),Détail!$A:$A,"&lt;"&amp;EDATE(DATE(2025,8,1),1))</f>
        <v>0</v>
      </c>
    </row>
    <row r="25" customFormat="false" ht="15" hidden="false" customHeight="true" outlineLevel="0" collapsed="false">
      <c r="A25" s="8" t="s">
        <v>73</v>
      </c>
      <c r="B25" s="31" t="n">
        <f aca="false">SUMIFS(Détail!$E:$E,Détail!$D:$D,"AMAZON PAYMENTS",Détail!$A:$A,"&gt;="&amp;DATE(2025,9,1),Détail!$A:$A,"&lt;"&amp;EDATE(DATE(2025,9,1),1))</f>
        <v>-128.04</v>
      </c>
    </row>
    <row r="26" customFormat="false" ht="15" hidden="false" customHeight="true" outlineLevel="0" collapsed="false">
      <c r="A26" s="8" t="s">
        <v>75</v>
      </c>
      <c r="B26" s="31" t="n">
        <f aca="false">SUMIFS(Détail!$E:$E,Détail!$D:$D,"AMAZON PAYMENTS",Détail!$A:$A,"&gt;="&amp;DATE(2025,11,1),Détail!$A:$A,"&lt;"&amp;EDATE(DATE(2025,11,1),1))</f>
        <v>-182.6</v>
      </c>
    </row>
    <row r="29" customFormat="false" ht="15" hidden="false" customHeight="true" outlineLevel="0" collapsed="false">
      <c r="A29" s="29" t="s">
        <v>231</v>
      </c>
      <c r="B29" s="29"/>
      <c r="C29" s="30" t="n">
        <f aca="false">SUMIF(Détail!$D:$D,"CASTORAMA",Détail!$E:$E)</f>
        <v>-86.78</v>
      </c>
    </row>
    <row r="30" customFormat="false" ht="15" hidden="false" customHeight="true" outlineLevel="0" collapsed="false">
      <c r="A30" s="24" t="s">
        <v>63</v>
      </c>
      <c r="B30" s="24" t="s">
        <v>64</v>
      </c>
    </row>
    <row r="31" customFormat="false" ht="15" hidden="false" customHeight="true" outlineLevel="0" collapsed="false">
      <c r="A31" s="8" t="s">
        <v>65</v>
      </c>
      <c r="B31" s="31" t="n">
        <f aca="false">SUMIFS(Détail!$E:$E,Détail!$D:$D,"CASTORAMA",Détail!$A:$A,"&gt;="&amp;DATE(2025,1,1),Détail!$A:$A,"&lt;"&amp;EDATE(DATE(2025,1,1),1))</f>
        <v>0</v>
      </c>
    </row>
    <row r="32" customFormat="false" ht="15" hidden="false" customHeight="true" outlineLevel="0" collapsed="false">
      <c r="A32" s="8" t="s">
        <v>66</v>
      </c>
      <c r="B32" s="31" t="n">
        <f aca="false">SUMIFS(Détail!$E:$E,Détail!$D:$D,"CASTORAMA",Détail!$A:$A,"&gt;="&amp;DATE(2025,2,1),Détail!$A:$A,"&lt;"&amp;EDATE(DATE(2025,2,1),1))</f>
        <v>0</v>
      </c>
    </row>
    <row r="33" customFormat="false" ht="15" hidden="false" customHeight="true" outlineLevel="0" collapsed="false">
      <c r="A33" s="8" t="s">
        <v>67</v>
      </c>
      <c r="B33" s="31" t="n">
        <f aca="false">SUMIFS(Détail!$E:$E,Détail!$D:$D,"CASTORAMA",Détail!$A:$A,"&gt;="&amp;DATE(2025,3,1),Détail!$A:$A,"&lt;"&amp;EDATE(DATE(2025,3,1),1))</f>
        <v>0</v>
      </c>
    </row>
    <row r="34" customFormat="false" ht="15" hidden="false" customHeight="true" outlineLevel="0" collapsed="false">
      <c r="A34" s="8" t="s">
        <v>68</v>
      </c>
      <c r="B34" s="31" t="n">
        <f aca="false">SUMIFS(Détail!$E:$E,Détail!$D:$D,"CASTORAMA",Détail!$A:$A,"&gt;="&amp;DATE(2025,4,1),Détail!$A:$A,"&lt;"&amp;EDATE(DATE(2025,4,1),1))</f>
        <v>0</v>
      </c>
    </row>
    <row r="35" customFormat="false" ht="15" hidden="false" customHeight="true" outlineLevel="0" collapsed="false">
      <c r="A35" s="8" t="s">
        <v>69</v>
      </c>
      <c r="B35" s="31" t="n">
        <f aca="false">SUMIFS(Détail!$E:$E,Détail!$D:$D,"CASTORAMA",Détail!$A:$A,"&gt;="&amp;DATE(2025,5,1),Détail!$A:$A,"&lt;"&amp;EDATE(DATE(2025,5,1),1))</f>
        <v>0</v>
      </c>
    </row>
    <row r="36" customFormat="false" ht="15" hidden="false" customHeight="true" outlineLevel="0" collapsed="false">
      <c r="A36" s="8" t="s">
        <v>71</v>
      </c>
      <c r="B36" s="31" t="n">
        <f aca="false">SUMIFS(Détail!$E:$E,Détail!$D:$D,"CASTORAMA",Détail!$A:$A,"&gt;="&amp;DATE(2025,7,1),Détail!$A:$A,"&lt;"&amp;EDATE(DATE(2025,7,1),1))</f>
        <v>0</v>
      </c>
    </row>
    <row r="37" customFormat="false" ht="15" hidden="false" customHeight="true" outlineLevel="0" collapsed="false">
      <c r="A37" s="8" t="s">
        <v>72</v>
      </c>
      <c r="B37" s="31" t="n">
        <f aca="false">SUMIFS(Détail!$E:$E,Détail!$D:$D,"CASTORAMA",Détail!$A:$A,"&gt;="&amp;DATE(2025,8,1),Détail!$A:$A,"&lt;"&amp;EDATE(DATE(2025,8,1),1))</f>
        <v>0</v>
      </c>
    </row>
    <row r="38" customFormat="false" ht="15" hidden="false" customHeight="true" outlineLevel="0" collapsed="false">
      <c r="A38" s="8" t="s">
        <v>73</v>
      </c>
      <c r="B38" s="31" t="n">
        <f aca="false">SUMIFS(Détail!$E:$E,Détail!$D:$D,"CASTORAMA",Détail!$A:$A,"&gt;="&amp;DATE(2025,9,1),Détail!$A:$A,"&lt;"&amp;EDATE(DATE(2025,9,1),1))</f>
        <v>-86.78</v>
      </c>
    </row>
    <row r="39" customFormat="false" ht="15" hidden="false" customHeight="true" outlineLevel="0" collapsed="false">
      <c r="A39" s="8" t="s">
        <v>75</v>
      </c>
      <c r="B39" s="31" t="n">
        <f aca="false">SUMIFS(Détail!$E:$E,Détail!$D:$D,"CASTORAMA",Détail!$A:$A,"&gt;="&amp;DATE(2025,11,1),Détail!$A:$A,"&lt;"&amp;EDATE(DATE(2025,11,1),1))</f>
        <v>0</v>
      </c>
    </row>
    <row r="42" customFormat="false" ht="15" hidden="false" customHeight="true" outlineLevel="0" collapsed="false">
      <c r="A42" s="29" t="s">
        <v>232</v>
      </c>
      <c r="B42" s="29"/>
      <c r="C42" s="30" t="n">
        <f aca="false">SUMIF(Détail!$D:$D,"LEROY MERLIN",Détail!$E:$E)</f>
        <v>-60.64</v>
      </c>
    </row>
    <row r="43" customFormat="false" ht="15" hidden="false" customHeight="true" outlineLevel="0" collapsed="false">
      <c r="A43" s="24" t="s">
        <v>63</v>
      </c>
      <c r="B43" s="24" t="s">
        <v>64</v>
      </c>
    </row>
    <row r="44" customFormat="false" ht="15" hidden="false" customHeight="true" outlineLevel="0" collapsed="false">
      <c r="A44" s="8" t="s">
        <v>65</v>
      </c>
      <c r="B44" s="31" t="n">
        <f aca="false">SUMIFS(Détail!$E:$E,Détail!$D:$D,"LEROY MERLIN",Détail!$A:$A,"&gt;="&amp;DATE(2025,1,1),Détail!$A:$A,"&lt;"&amp;EDATE(DATE(2025,1,1),1))</f>
        <v>0</v>
      </c>
    </row>
    <row r="45" customFormat="false" ht="15" hidden="false" customHeight="true" outlineLevel="0" collapsed="false">
      <c r="A45" s="8" t="s">
        <v>66</v>
      </c>
      <c r="B45" s="31" t="n">
        <f aca="false">SUMIFS(Détail!$E:$E,Détail!$D:$D,"LEROY MERLIN",Détail!$A:$A,"&gt;="&amp;DATE(2025,2,1),Détail!$A:$A,"&lt;"&amp;EDATE(DATE(2025,2,1),1))</f>
        <v>0</v>
      </c>
    </row>
    <row r="46" customFormat="false" ht="15" hidden="false" customHeight="true" outlineLevel="0" collapsed="false">
      <c r="A46" s="8" t="s">
        <v>67</v>
      </c>
      <c r="B46" s="31" t="n">
        <f aca="false">SUMIFS(Détail!$E:$E,Détail!$D:$D,"LEROY MERLIN",Détail!$A:$A,"&gt;="&amp;DATE(2025,3,1),Détail!$A:$A,"&lt;"&amp;EDATE(DATE(2025,3,1),1))</f>
        <v>0</v>
      </c>
    </row>
    <row r="47" customFormat="false" ht="15" hidden="false" customHeight="true" outlineLevel="0" collapsed="false">
      <c r="A47" s="8" t="s">
        <v>68</v>
      </c>
      <c r="B47" s="31" t="n">
        <f aca="false">SUMIFS(Détail!$E:$E,Détail!$D:$D,"LEROY MERLIN",Détail!$A:$A,"&gt;="&amp;DATE(2025,4,1),Détail!$A:$A,"&lt;"&amp;EDATE(DATE(2025,4,1),1))</f>
        <v>0</v>
      </c>
    </row>
    <row r="48" customFormat="false" ht="15" hidden="false" customHeight="true" outlineLevel="0" collapsed="false">
      <c r="A48" s="8" t="s">
        <v>69</v>
      </c>
      <c r="B48" s="31" t="n">
        <f aca="false">SUMIFS(Détail!$E:$E,Détail!$D:$D,"LEROY MERLIN",Détail!$A:$A,"&gt;="&amp;DATE(2025,5,1),Détail!$A:$A,"&lt;"&amp;EDATE(DATE(2025,5,1),1))</f>
        <v>0</v>
      </c>
    </row>
    <row r="49" customFormat="false" ht="15" hidden="false" customHeight="true" outlineLevel="0" collapsed="false">
      <c r="A49" s="8" t="s">
        <v>71</v>
      </c>
      <c r="B49" s="31" t="n">
        <f aca="false">SUMIFS(Détail!$E:$E,Détail!$D:$D,"LEROY MERLIN",Détail!$A:$A,"&gt;="&amp;DATE(2025,7,1),Détail!$A:$A,"&lt;"&amp;EDATE(DATE(2025,7,1),1))</f>
        <v>0</v>
      </c>
    </row>
    <row r="50" customFormat="false" ht="15" hidden="false" customHeight="true" outlineLevel="0" collapsed="false">
      <c r="A50" s="8" t="s">
        <v>72</v>
      </c>
      <c r="B50" s="31" t="n">
        <f aca="false">SUMIFS(Détail!$E:$E,Détail!$D:$D,"LEROY MERLIN",Détail!$A:$A,"&gt;="&amp;DATE(2025,8,1),Détail!$A:$A,"&lt;"&amp;EDATE(DATE(2025,8,1),1))</f>
        <v>-60.64</v>
      </c>
    </row>
    <row r="51" customFormat="false" ht="15" hidden="false" customHeight="true" outlineLevel="0" collapsed="false">
      <c r="A51" s="8" t="s">
        <v>73</v>
      </c>
      <c r="B51" s="31" t="n">
        <f aca="false">SUMIFS(Détail!$E:$E,Détail!$D:$D,"LEROY MERLIN",Détail!$A:$A,"&gt;="&amp;DATE(2025,9,1),Détail!$A:$A,"&lt;"&amp;EDATE(DATE(2025,9,1),1))</f>
        <v>0</v>
      </c>
    </row>
    <row r="52" customFormat="false" ht="15" hidden="false" customHeight="true" outlineLevel="0" collapsed="false">
      <c r="A52" s="8" t="s">
        <v>75</v>
      </c>
      <c r="B52" s="31" t="n">
        <f aca="false">SUMIFS(Détail!$E:$E,Détail!$D:$D,"LEROY MERLIN",Détail!$A:$A,"&gt;="&amp;DATE(2025,11,1),Détail!$A:$A,"&lt;"&amp;EDATE(DATE(2025,11,1),1))</f>
        <v>0</v>
      </c>
    </row>
    <row r="55" customFormat="false" ht="15" hidden="false" customHeight="true" outlineLevel="0" collapsed="false">
      <c r="A55" s="29" t="s">
        <v>233</v>
      </c>
      <c r="B55" s="29"/>
      <c r="C55" s="30" t="n">
        <f aca="false">SUMIF(Détail!$D:$D,"LEROY MERLIN SC",Détail!$E:$E)</f>
        <v>-47.79</v>
      </c>
    </row>
    <row r="56" customFormat="false" ht="15" hidden="false" customHeight="true" outlineLevel="0" collapsed="false">
      <c r="A56" s="24" t="s">
        <v>63</v>
      </c>
      <c r="B56" s="24" t="s">
        <v>64</v>
      </c>
    </row>
    <row r="57" customFormat="false" ht="15" hidden="false" customHeight="true" outlineLevel="0" collapsed="false">
      <c r="A57" s="8" t="s">
        <v>65</v>
      </c>
      <c r="B57" s="31" t="n">
        <f aca="false">SUMIFS(Détail!$E:$E,Détail!$D:$D,"LEROY MERLIN SC",Détail!$A:$A,"&gt;="&amp;DATE(2025,1,1),Détail!$A:$A,"&lt;"&amp;EDATE(DATE(2025,1,1),1))</f>
        <v>0</v>
      </c>
    </row>
    <row r="58" customFormat="false" ht="15" hidden="false" customHeight="true" outlineLevel="0" collapsed="false">
      <c r="A58" s="8" t="s">
        <v>66</v>
      </c>
      <c r="B58" s="31" t="n">
        <f aca="false">SUMIFS(Détail!$E:$E,Détail!$D:$D,"LEROY MERLIN SC",Détail!$A:$A,"&gt;="&amp;DATE(2025,2,1),Détail!$A:$A,"&lt;"&amp;EDATE(DATE(2025,2,1),1))</f>
        <v>0</v>
      </c>
    </row>
    <row r="59" customFormat="false" ht="15" hidden="false" customHeight="true" outlineLevel="0" collapsed="false">
      <c r="A59" s="8" t="s">
        <v>67</v>
      </c>
      <c r="B59" s="31" t="n">
        <f aca="false">SUMIFS(Détail!$E:$E,Détail!$D:$D,"LEROY MERLIN SC",Détail!$A:$A,"&gt;="&amp;DATE(2025,3,1),Détail!$A:$A,"&lt;"&amp;EDATE(DATE(2025,3,1),1))</f>
        <v>0</v>
      </c>
    </row>
    <row r="60" customFormat="false" ht="15" hidden="false" customHeight="true" outlineLevel="0" collapsed="false">
      <c r="A60" s="8" t="s">
        <v>68</v>
      </c>
      <c r="B60" s="31" t="n">
        <f aca="false">SUMIFS(Détail!$E:$E,Détail!$D:$D,"LEROY MERLIN SC",Détail!$A:$A,"&gt;="&amp;DATE(2025,4,1),Détail!$A:$A,"&lt;"&amp;EDATE(DATE(2025,4,1),1))</f>
        <v>0</v>
      </c>
    </row>
    <row r="61" customFormat="false" ht="15" hidden="false" customHeight="true" outlineLevel="0" collapsed="false">
      <c r="A61" s="8" t="s">
        <v>69</v>
      </c>
      <c r="B61" s="31" t="n">
        <f aca="false">SUMIFS(Détail!$E:$E,Détail!$D:$D,"LEROY MERLIN SC",Détail!$A:$A,"&gt;="&amp;DATE(2025,5,1),Détail!$A:$A,"&lt;"&amp;EDATE(DATE(2025,5,1),1))</f>
        <v>0</v>
      </c>
    </row>
    <row r="62" customFormat="false" ht="15" hidden="false" customHeight="true" outlineLevel="0" collapsed="false">
      <c r="A62" s="8" t="s">
        <v>71</v>
      </c>
      <c r="B62" s="31" t="n">
        <f aca="false">SUMIFS(Détail!$E:$E,Détail!$D:$D,"LEROY MERLIN SC",Détail!$A:$A,"&gt;="&amp;DATE(2025,7,1),Détail!$A:$A,"&lt;"&amp;EDATE(DATE(2025,7,1),1))</f>
        <v>0</v>
      </c>
    </row>
    <row r="63" customFormat="false" ht="15" hidden="false" customHeight="true" outlineLevel="0" collapsed="false">
      <c r="A63" s="8" t="s">
        <v>72</v>
      </c>
      <c r="B63" s="31" t="n">
        <f aca="false">SUMIFS(Détail!$E:$E,Détail!$D:$D,"LEROY MERLIN SC",Détail!$A:$A,"&gt;="&amp;DATE(2025,8,1),Détail!$A:$A,"&lt;"&amp;EDATE(DATE(2025,8,1),1))</f>
        <v>-47.79</v>
      </c>
    </row>
    <row r="64" customFormat="false" ht="15" hidden="false" customHeight="true" outlineLevel="0" collapsed="false">
      <c r="A64" s="8" t="s">
        <v>73</v>
      </c>
      <c r="B64" s="31" t="n">
        <f aca="false">SUMIFS(Détail!$E:$E,Détail!$D:$D,"LEROY MERLIN SC",Détail!$A:$A,"&gt;="&amp;DATE(2025,9,1),Détail!$A:$A,"&lt;"&amp;EDATE(DATE(2025,9,1),1))</f>
        <v>0</v>
      </c>
    </row>
    <row r="65" customFormat="false" ht="15" hidden="false" customHeight="true" outlineLevel="0" collapsed="false">
      <c r="A65" s="8" t="s">
        <v>75</v>
      </c>
      <c r="B65" s="31" t="n">
        <f aca="false">SUMIFS(Détail!$E:$E,Détail!$D:$D,"LEROY MERLIN SC",Détail!$A:$A,"&gt;="&amp;DATE(2025,11,1),Détail!$A:$A,"&lt;"&amp;EDATE(DATE(2025,11,1),1))</f>
        <v>0</v>
      </c>
    </row>
    <row r="68" customFormat="false" ht="15" hidden="false" customHeight="true" outlineLevel="0" collapsed="false">
      <c r="A68" s="29" t="s">
        <v>234</v>
      </c>
      <c r="B68" s="29"/>
      <c r="C68" s="30" t="n">
        <f aca="false">SUMIF(Détail!$D:$D,"BOULANGERIE (divers)",Détail!$E:$E)</f>
        <v>-13.5</v>
      </c>
    </row>
    <row r="69" customFormat="false" ht="15" hidden="false" customHeight="true" outlineLevel="0" collapsed="false">
      <c r="A69" s="24" t="s">
        <v>63</v>
      </c>
      <c r="B69" s="24" t="s">
        <v>64</v>
      </c>
    </row>
    <row r="70" customFormat="false" ht="15" hidden="false" customHeight="true" outlineLevel="0" collapsed="false">
      <c r="A70" s="8" t="s">
        <v>65</v>
      </c>
      <c r="B70" s="31" t="n">
        <f aca="false">SUMIFS(Détail!$E:$E,Détail!$D:$D,"BOULANGERIE (divers)",Détail!$A:$A,"&gt;="&amp;DATE(2025,1,1),Détail!$A:$A,"&lt;"&amp;EDATE(DATE(2025,1,1),1))</f>
        <v>-13.5</v>
      </c>
    </row>
    <row r="71" customFormat="false" ht="15" hidden="false" customHeight="true" outlineLevel="0" collapsed="false">
      <c r="A71" s="8" t="s">
        <v>66</v>
      </c>
      <c r="B71" s="31" t="n">
        <f aca="false">SUMIFS(Détail!$E:$E,Détail!$D:$D,"BOULANGERIE (divers)",Détail!$A:$A,"&gt;="&amp;DATE(2025,2,1),Détail!$A:$A,"&lt;"&amp;EDATE(DATE(2025,2,1),1))</f>
        <v>0</v>
      </c>
    </row>
    <row r="72" customFormat="false" ht="15" hidden="false" customHeight="true" outlineLevel="0" collapsed="false">
      <c r="A72" s="8" t="s">
        <v>67</v>
      </c>
      <c r="B72" s="31" t="n">
        <f aca="false">SUMIFS(Détail!$E:$E,Détail!$D:$D,"BOULANGERIE (divers)",Détail!$A:$A,"&gt;="&amp;DATE(2025,3,1),Détail!$A:$A,"&lt;"&amp;EDATE(DATE(2025,3,1),1))</f>
        <v>0</v>
      </c>
    </row>
    <row r="73" customFormat="false" ht="15" hidden="false" customHeight="true" outlineLevel="0" collapsed="false">
      <c r="A73" s="8" t="s">
        <v>68</v>
      </c>
      <c r="B73" s="31" t="n">
        <f aca="false">SUMIFS(Détail!$E:$E,Détail!$D:$D,"BOULANGERIE (divers)",Détail!$A:$A,"&gt;="&amp;DATE(2025,4,1),Détail!$A:$A,"&lt;"&amp;EDATE(DATE(2025,4,1),1))</f>
        <v>0</v>
      </c>
    </row>
    <row r="74" customFormat="false" ht="15" hidden="false" customHeight="true" outlineLevel="0" collapsed="false">
      <c r="A74" s="8" t="s">
        <v>69</v>
      </c>
      <c r="B74" s="31" t="n">
        <f aca="false">SUMIFS(Détail!$E:$E,Détail!$D:$D,"BOULANGERIE (divers)",Détail!$A:$A,"&gt;="&amp;DATE(2025,5,1),Détail!$A:$A,"&lt;"&amp;EDATE(DATE(2025,5,1),1))</f>
        <v>0</v>
      </c>
    </row>
    <row r="75" customFormat="false" ht="15" hidden="false" customHeight="true" outlineLevel="0" collapsed="false">
      <c r="A75" s="8" t="s">
        <v>71</v>
      </c>
      <c r="B75" s="31" t="n">
        <f aca="false">SUMIFS(Détail!$E:$E,Détail!$D:$D,"BOULANGERIE (divers)",Détail!$A:$A,"&gt;="&amp;DATE(2025,7,1),Détail!$A:$A,"&lt;"&amp;EDATE(DATE(2025,7,1),1))</f>
        <v>0</v>
      </c>
    </row>
    <row r="76" customFormat="false" ht="15" hidden="false" customHeight="true" outlineLevel="0" collapsed="false">
      <c r="A76" s="8" t="s">
        <v>72</v>
      </c>
      <c r="B76" s="31" t="n">
        <f aca="false">SUMIFS(Détail!$E:$E,Détail!$D:$D,"BOULANGERIE (divers)",Détail!$A:$A,"&gt;="&amp;DATE(2025,8,1),Détail!$A:$A,"&lt;"&amp;EDATE(DATE(2025,8,1),1))</f>
        <v>0</v>
      </c>
    </row>
    <row r="77" customFormat="false" ht="15" hidden="false" customHeight="true" outlineLevel="0" collapsed="false">
      <c r="A77" s="8" t="s">
        <v>73</v>
      </c>
      <c r="B77" s="31" t="n">
        <f aca="false">SUMIFS(Détail!$E:$E,Détail!$D:$D,"BOULANGERIE (divers)",Détail!$A:$A,"&gt;="&amp;DATE(2025,9,1),Détail!$A:$A,"&lt;"&amp;EDATE(DATE(2025,9,1),1))</f>
        <v>0</v>
      </c>
    </row>
    <row r="78" customFormat="false" ht="15" hidden="false" customHeight="true" outlineLevel="0" collapsed="false">
      <c r="A78" s="8" t="s">
        <v>75</v>
      </c>
      <c r="B78" s="31" t="n">
        <f aca="false">SUMIFS(Détail!$E:$E,Détail!$D:$D,"BOULANGERIE (divers)",Détail!$A:$A,"&gt;="&amp;DATE(2025,11,1),Détail!$A:$A,"&lt;"&amp;EDATE(DATE(2025,11,1),1))</f>
        <v>0</v>
      </c>
    </row>
    <row r="81" customFormat="false" ht="15" hidden="false" customHeight="true" outlineLevel="0" collapsed="false">
      <c r="A81" s="29" t="s">
        <v>235</v>
      </c>
      <c r="B81" s="29"/>
      <c r="C81" s="30" t="n">
        <f aca="false">SUMIF(Détail!$D:$D,"ACTION 4632",Détail!$E:$E)</f>
        <v>-12.99</v>
      </c>
    </row>
    <row r="82" customFormat="false" ht="15" hidden="false" customHeight="true" outlineLevel="0" collapsed="false">
      <c r="A82" s="24" t="s">
        <v>63</v>
      </c>
      <c r="B82" s="24" t="s">
        <v>64</v>
      </c>
    </row>
    <row r="83" customFormat="false" ht="15" hidden="false" customHeight="true" outlineLevel="0" collapsed="false">
      <c r="A83" s="8" t="s">
        <v>65</v>
      </c>
      <c r="B83" s="31" t="n">
        <f aca="false">SUMIFS(Détail!$E:$E,Détail!$D:$D,"ACTION 4632",Détail!$A:$A,"&gt;="&amp;DATE(2025,1,1),Détail!$A:$A,"&lt;"&amp;EDATE(DATE(2025,1,1),1))</f>
        <v>0</v>
      </c>
    </row>
    <row r="84" customFormat="false" ht="15" hidden="false" customHeight="true" outlineLevel="0" collapsed="false">
      <c r="A84" s="8" t="s">
        <v>66</v>
      </c>
      <c r="B84" s="31" t="n">
        <f aca="false">SUMIFS(Détail!$E:$E,Détail!$D:$D,"ACTION 4632",Détail!$A:$A,"&gt;="&amp;DATE(2025,2,1),Détail!$A:$A,"&lt;"&amp;EDATE(DATE(2025,2,1),1))</f>
        <v>-12.99</v>
      </c>
    </row>
    <row r="85" customFormat="false" ht="15" hidden="false" customHeight="true" outlineLevel="0" collapsed="false">
      <c r="A85" s="8" t="s">
        <v>67</v>
      </c>
      <c r="B85" s="31" t="n">
        <f aca="false">SUMIFS(Détail!$E:$E,Détail!$D:$D,"ACTION 4632",Détail!$A:$A,"&gt;="&amp;DATE(2025,3,1),Détail!$A:$A,"&lt;"&amp;EDATE(DATE(2025,3,1),1))</f>
        <v>0</v>
      </c>
    </row>
    <row r="86" customFormat="false" ht="15" hidden="false" customHeight="true" outlineLevel="0" collapsed="false">
      <c r="A86" s="8" t="s">
        <v>68</v>
      </c>
      <c r="B86" s="31" t="n">
        <f aca="false">SUMIFS(Détail!$E:$E,Détail!$D:$D,"ACTION 4632",Détail!$A:$A,"&gt;="&amp;DATE(2025,4,1),Détail!$A:$A,"&lt;"&amp;EDATE(DATE(2025,4,1),1))</f>
        <v>0</v>
      </c>
    </row>
    <row r="87" customFormat="false" ht="15" hidden="false" customHeight="true" outlineLevel="0" collapsed="false">
      <c r="A87" s="8" t="s">
        <v>69</v>
      </c>
      <c r="B87" s="31" t="n">
        <f aca="false">SUMIFS(Détail!$E:$E,Détail!$D:$D,"ACTION 4632",Détail!$A:$A,"&gt;="&amp;DATE(2025,5,1),Détail!$A:$A,"&lt;"&amp;EDATE(DATE(2025,5,1),1))</f>
        <v>0</v>
      </c>
    </row>
    <row r="88" customFormat="false" ht="15" hidden="false" customHeight="true" outlineLevel="0" collapsed="false">
      <c r="A88" s="8" t="s">
        <v>71</v>
      </c>
      <c r="B88" s="31" t="n">
        <f aca="false">SUMIFS(Détail!$E:$E,Détail!$D:$D,"ACTION 4632",Détail!$A:$A,"&gt;="&amp;DATE(2025,7,1),Détail!$A:$A,"&lt;"&amp;EDATE(DATE(2025,7,1),1))</f>
        <v>0</v>
      </c>
    </row>
    <row r="89" customFormat="false" ht="15" hidden="false" customHeight="true" outlineLevel="0" collapsed="false">
      <c r="A89" s="8" t="s">
        <v>72</v>
      </c>
      <c r="B89" s="31" t="n">
        <f aca="false">SUMIFS(Détail!$E:$E,Détail!$D:$D,"ACTION 4632",Détail!$A:$A,"&gt;="&amp;DATE(2025,8,1),Détail!$A:$A,"&lt;"&amp;EDATE(DATE(2025,8,1),1))</f>
        <v>0</v>
      </c>
    </row>
    <row r="90" customFormat="false" ht="15" hidden="false" customHeight="true" outlineLevel="0" collapsed="false">
      <c r="A90" s="8" t="s">
        <v>73</v>
      </c>
      <c r="B90" s="31" t="n">
        <f aca="false">SUMIFS(Détail!$E:$E,Détail!$D:$D,"ACTION 4632",Détail!$A:$A,"&gt;="&amp;DATE(2025,9,1),Détail!$A:$A,"&lt;"&amp;EDATE(DATE(2025,9,1),1))</f>
        <v>0</v>
      </c>
    </row>
    <row r="91" customFormat="false" ht="15" hidden="false" customHeight="true" outlineLevel="0" collapsed="false">
      <c r="A91" s="8" t="s">
        <v>75</v>
      </c>
      <c r="B91" s="31" t="n">
        <f aca="false">SUMIFS(Détail!$E:$E,Détail!$D:$D,"ACTION 4632",Détail!$A:$A,"&gt;="&amp;DATE(2025,11,1),Détail!$A:$A,"&lt;"&amp;EDATE(DATE(2025,11,1),1))</f>
        <v>0</v>
      </c>
    </row>
  </sheetData>
  <mergeCells count="7">
    <mergeCell ref="A3:B3"/>
    <mergeCell ref="A16:B16"/>
    <mergeCell ref="A29:B29"/>
    <mergeCell ref="A42:B42"/>
    <mergeCell ref="A55:B55"/>
    <mergeCell ref="A68:B68"/>
    <mergeCell ref="A81:B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236</v>
      </c>
    </row>
    <row r="3" customFormat="false" ht="15" hidden="false" customHeight="true" outlineLevel="0" collapsed="false">
      <c r="A3" s="29" t="s">
        <v>237</v>
      </c>
      <c r="B3" s="29"/>
      <c r="C3" s="30" t="n">
        <f aca="false">SUMIF(Détail!$D:$D,"IFS",Détail!$E:$E)</f>
        <v>-78154.2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SUMIFS(Détail!$E:$E,Détail!$D:$D,"IFS",Détail!$A:$A,"&gt;="&amp;DATE(2025,1,1),Détail!$A:$A,"&lt;"&amp;EDATE(DATE(2025,1,1),1))</f>
        <v>-3026.96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SUMIFS(Détail!$E:$E,Détail!$D:$D,"IFS",Détail!$A:$A,"&gt;="&amp;DATE(2025,2,1),Détail!$A:$A,"&lt;"&amp;EDATE(DATE(2025,2,1),1))</f>
        <v>-2332.31</v>
      </c>
    </row>
    <row r="7" customFormat="false" ht="15" hidden="false" customHeight="true" outlineLevel="0" collapsed="false">
      <c r="A7" s="8" t="s">
        <v>67</v>
      </c>
      <c r="B7" s="31" t="n">
        <f aca="false">SUMIFS(Détail!$E:$E,Détail!$D:$D,"IFS",Détail!$A:$A,"&gt;="&amp;DATE(2025,3,1),Détail!$A:$A,"&lt;"&amp;EDATE(DATE(2025,3,1),1))</f>
        <v>-10464.8</v>
      </c>
    </row>
    <row r="8" customFormat="false" ht="15" hidden="false" customHeight="true" outlineLevel="0" collapsed="false">
      <c r="A8" s="8" t="s">
        <v>68</v>
      </c>
      <c r="B8" s="31" t="n">
        <f aca="false">SUMIFS(Détail!$E:$E,Détail!$D:$D,"IFS",Détail!$A:$A,"&gt;="&amp;DATE(2025,4,1),Détail!$A:$A,"&lt;"&amp;EDATE(DATE(2025,4,1),1))</f>
        <v>-3221.8</v>
      </c>
    </row>
    <row r="9" customFormat="false" ht="15" hidden="false" customHeight="true" outlineLevel="0" collapsed="false">
      <c r="A9" s="8" t="s">
        <v>69</v>
      </c>
      <c r="B9" s="31" t="n">
        <f aca="false">SUMIFS(Détail!$E:$E,Détail!$D:$D,"IFS",Détail!$A:$A,"&gt;="&amp;DATE(2025,5,1),Détail!$A:$A,"&lt;"&amp;EDATE(DATE(2025,5,1),1))</f>
        <v>0</v>
      </c>
    </row>
    <row r="10" customFormat="false" ht="15" hidden="false" customHeight="true" outlineLevel="0" collapsed="false">
      <c r="A10" s="8" t="s">
        <v>70</v>
      </c>
      <c r="B10" s="31" t="n">
        <f aca="false">SUMIFS(Détail!$E:$E,Détail!$D:$D,"IFS",Détail!$A:$A,"&gt;="&amp;DATE(2025,6,1),Détail!$A:$A,"&lt;"&amp;EDATE(DATE(2025,6,1),1))</f>
        <v>-4051.2</v>
      </c>
    </row>
    <row r="11" customFormat="false" ht="15" hidden="false" customHeight="true" outlineLevel="0" collapsed="false">
      <c r="A11" s="8" t="s">
        <v>71</v>
      </c>
      <c r="B11" s="31" t="n">
        <f aca="false">SUMIFS(Détail!$E:$E,Détail!$D:$D,"IFS",Détail!$A:$A,"&gt;="&amp;DATE(2025,7,1),Détail!$A:$A,"&lt;"&amp;EDATE(DATE(2025,7,1),1))</f>
        <v>-2122.2</v>
      </c>
    </row>
    <row r="12" customFormat="false" ht="15" hidden="false" customHeight="true" outlineLevel="0" collapsed="false">
      <c r="A12" s="8" t="s">
        <v>73</v>
      </c>
      <c r="B12" s="31" t="n">
        <f aca="false">SUMIFS(Détail!$E:$E,Détail!$D:$D,"IFS",Détail!$A:$A,"&gt;="&amp;DATE(2025,9,1),Détail!$A:$A,"&lt;"&amp;EDATE(DATE(2025,9,1),1))</f>
        <v>-7440.2</v>
      </c>
    </row>
    <row r="13" customFormat="false" ht="15" hidden="false" customHeight="true" outlineLevel="0" collapsed="false">
      <c r="A13" s="8" t="s">
        <v>74</v>
      </c>
      <c r="B13" s="31" t="n">
        <f aca="false">SUMIFS(Détail!$E:$E,Détail!$D:$D,"IFS",Détail!$A:$A,"&gt;="&amp;DATE(2025,10,1),Détail!$A:$A,"&lt;"&amp;EDATE(DATE(2025,10,1),1))</f>
        <v>-26358.81</v>
      </c>
    </row>
    <row r="14" customFormat="false" ht="15" hidden="false" customHeight="true" outlineLevel="0" collapsed="false">
      <c r="A14" s="8" t="s">
        <v>75</v>
      </c>
      <c r="B14" s="31" t="n">
        <f aca="false">SUMIFS(Détail!$E:$E,Détail!$D:$D,"IFS",Détail!$A:$A,"&gt;="&amp;DATE(2025,11,1),Détail!$A:$A,"&lt;"&amp;EDATE(DATE(2025,11,1),1))</f>
        <v>0</v>
      </c>
    </row>
    <row r="15" customFormat="false" ht="15" hidden="false" customHeight="true" outlineLevel="0" collapsed="false">
      <c r="A15" s="8" t="s">
        <v>76</v>
      </c>
      <c r="B15" s="31" t="n">
        <f aca="false">SUMIFS(Détail!$E:$E,Détail!$D:$D,"IFS",Détail!$A:$A,"&gt;="&amp;DATE(2025,12,1),Détail!$A:$A,"&lt;"&amp;EDATE(DATE(2025,12,1),1))</f>
        <v>-19135.92</v>
      </c>
    </row>
    <row r="18" customFormat="false" ht="15" hidden="false" customHeight="true" outlineLevel="0" collapsed="false">
      <c r="A18" s="29" t="s">
        <v>238</v>
      </c>
      <c r="B18" s="29"/>
      <c r="C18" s="30" t="n">
        <f aca="false">SUMIF(Détail!$D:$D,"DHL INTERNAT. EXP FRANCE",Détail!$E:$E)</f>
        <v>-2401.78</v>
      </c>
    </row>
    <row r="19" customFormat="false" ht="15" hidden="false" customHeight="true" outlineLevel="0" collapsed="false">
      <c r="A19" s="24" t="s">
        <v>63</v>
      </c>
      <c r="B19" s="24" t="s">
        <v>64</v>
      </c>
    </row>
    <row r="20" customFormat="false" ht="15" hidden="false" customHeight="true" outlineLevel="0" collapsed="false">
      <c r="A20" s="8" t="s">
        <v>65</v>
      </c>
      <c r="B20" s="31" t="n">
        <f aca="false">SUMIFS(Détail!$E:$E,Détail!$D:$D,"DHL INTERNAT. EXP FRANCE",Détail!$A:$A,"&gt;="&amp;DATE(2025,1,1),Détail!$A:$A,"&lt;"&amp;EDATE(DATE(2025,1,1),1))</f>
        <v>-443.64</v>
      </c>
    </row>
    <row r="21" customFormat="false" ht="15" hidden="false" customHeight="true" outlineLevel="0" collapsed="false">
      <c r="A21" s="8" t="s">
        <v>66</v>
      </c>
      <c r="B21" s="31" t="n">
        <f aca="false">SUMIFS(Détail!$E:$E,Détail!$D:$D,"DHL INTERNAT. EXP FRANCE",Détail!$A:$A,"&gt;="&amp;DATE(2025,2,1),Détail!$A:$A,"&lt;"&amp;EDATE(DATE(2025,2,1),1))</f>
        <v>-66.18</v>
      </c>
    </row>
    <row r="22" customFormat="false" ht="15" hidden="false" customHeight="true" outlineLevel="0" collapsed="false">
      <c r="A22" s="8" t="s">
        <v>67</v>
      </c>
      <c r="B22" s="31" t="n">
        <f aca="false">SUMIFS(Détail!$E:$E,Détail!$D:$D,"DHL INTERNAT. EXP FRANCE",Détail!$A:$A,"&gt;="&amp;DATE(2025,3,1),Détail!$A:$A,"&lt;"&amp;EDATE(DATE(2025,3,1),1))</f>
        <v>0</v>
      </c>
    </row>
    <row r="23" customFormat="false" ht="15" hidden="false" customHeight="true" outlineLevel="0" collapsed="false">
      <c r="A23" s="8" t="s">
        <v>68</v>
      </c>
      <c r="B23" s="31" t="n">
        <f aca="false">SUMIFS(Détail!$E:$E,Détail!$D:$D,"DHL INTERNAT. EXP FRANCE",Détail!$A:$A,"&gt;="&amp;DATE(2025,4,1),Détail!$A:$A,"&lt;"&amp;EDATE(DATE(2025,4,1),1))</f>
        <v>-119.94</v>
      </c>
    </row>
    <row r="24" customFormat="false" ht="15" hidden="false" customHeight="true" outlineLevel="0" collapsed="false">
      <c r="A24" s="8" t="s">
        <v>69</v>
      </c>
      <c r="B24" s="31" t="n">
        <f aca="false">SUMIFS(Détail!$E:$E,Détail!$D:$D,"DHL INTERNAT. EXP FRANCE",Détail!$A:$A,"&gt;="&amp;DATE(2025,5,1),Détail!$A:$A,"&lt;"&amp;EDATE(DATE(2025,5,1),1))</f>
        <v>-108.36</v>
      </c>
    </row>
    <row r="25" customFormat="false" ht="15" hidden="false" customHeight="true" outlineLevel="0" collapsed="false">
      <c r="A25" s="8" t="s">
        <v>70</v>
      </c>
      <c r="B25" s="31" t="n">
        <f aca="false">SUMIFS(Détail!$E:$E,Détail!$D:$D,"DHL INTERNAT. EXP FRANCE",Détail!$A:$A,"&gt;="&amp;DATE(2025,6,1),Détail!$A:$A,"&lt;"&amp;EDATE(DATE(2025,6,1),1))</f>
        <v>-440.77</v>
      </c>
    </row>
    <row r="26" customFormat="false" ht="15" hidden="false" customHeight="true" outlineLevel="0" collapsed="false">
      <c r="A26" s="8" t="s">
        <v>71</v>
      </c>
      <c r="B26" s="31" t="n">
        <f aca="false">SUMIFS(Détail!$E:$E,Détail!$D:$D,"DHL INTERNAT. EXP FRANCE",Détail!$A:$A,"&gt;="&amp;DATE(2025,7,1),Détail!$A:$A,"&lt;"&amp;EDATE(DATE(2025,7,1),1))</f>
        <v>0</v>
      </c>
    </row>
    <row r="27" customFormat="false" ht="15" hidden="false" customHeight="true" outlineLevel="0" collapsed="false">
      <c r="A27" s="8" t="s">
        <v>73</v>
      </c>
      <c r="B27" s="31" t="n">
        <f aca="false">SUMIFS(Détail!$E:$E,Détail!$D:$D,"DHL INTERNAT. EXP FRANCE",Détail!$A:$A,"&gt;="&amp;DATE(2025,9,1),Détail!$A:$A,"&lt;"&amp;EDATE(DATE(2025,9,1),1))</f>
        <v>-205.51</v>
      </c>
    </row>
    <row r="28" customFormat="false" ht="15" hidden="false" customHeight="true" outlineLevel="0" collapsed="false">
      <c r="A28" s="8" t="s">
        <v>74</v>
      </c>
      <c r="B28" s="31" t="n">
        <f aca="false">SUMIFS(Détail!$E:$E,Détail!$D:$D,"DHL INTERNAT. EXP FRANCE",Détail!$A:$A,"&gt;="&amp;DATE(2025,10,1),Détail!$A:$A,"&lt;"&amp;EDATE(DATE(2025,10,1),1))</f>
        <v>-929.08</v>
      </c>
    </row>
    <row r="29" customFormat="false" ht="15" hidden="false" customHeight="true" outlineLevel="0" collapsed="false">
      <c r="A29" s="8" t="s">
        <v>75</v>
      </c>
      <c r="B29" s="31" t="n">
        <f aca="false">SUMIFS(Détail!$E:$E,Détail!$D:$D,"DHL INTERNAT. EXP FRANCE",Détail!$A:$A,"&gt;="&amp;DATE(2025,11,1),Détail!$A:$A,"&lt;"&amp;EDATE(DATE(2025,11,1),1))</f>
        <v>-88.3</v>
      </c>
    </row>
    <row r="30" customFormat="false" ht="15" hidden="false" customHeight="true" outlineLevel="0" collapsed="false">
      <c r="A30" s="8" t="s">
        <v>76</v>
      </c>
      <c r="B30" s="31" t="n">
        <f aca="false">SUMIFS(Détail!$E:$E,Détail!$D:$D,"DHL INTERNAT. EXP FRANCE",Détail!$A:$A,"&gt;="&amp;DATE(2025,12,1),Détail!$A:$A,"&lt;"&amp;EDATE(DATE(2025,12,1),1))</f>
        <v>0</v>
      </c>
    </row>
    <row r="33" customFormat="false" ht="15" hidden="false" customHeight="true" outlineLevel="0" collapsed="false">
      <c r="A33" s="29" t="s">
        <v>239</v>
      </c>
      <c r="B33" s="29"/>
      <c r="C33" s="30" t="n">
        <f aca="false">SUMIF(Détail!$D:$D,"LA POSTE.FR",Détail!$E:$E)</f>
        <v>-923.4</v>
      </c>
    </row>
    <row r="34" customFormat="false" ht="15" hidden="false" customHeight="true" outlineLevel="0" collapsed="false">
      <c r="A34" s="24" t="s">
        <v>63</v>
      </c>
      <c r="B34" s="24" t="s">
        <v>64</v>
      </c>
    </row>
    <row r="35" customFormat="false" ht="15" hidden="false" customHeight="true" outlineLevel="0" collapsed="false">
      <c r="A35" s="8" t="s">
        <v>65</v>
      </c>
      <c r="B35" s="31" t="n">
        <f aca="false">SUMIFS(Détail!$E:$E,Détail!$D:$D,"LA POSTE.FR",Détail!$A:$A,"&gt;="&amp;DATE(2025,1,1),Détail!$A:$A,"&lt;"&amp;EDATE(DATE(2025,1,1),1))</f>
        <v>-35.75</v>
      </c>
    </row>
    <row r="36" customFormat="false" ht="15" hidden="false" customHeight="true" outlineLevel="0" collapsed="false">
      <c r="A36" s="8" t="s">
        <v>66</v>
      </c>
      <c r="B36" s="31" t="n">
        <f aca="false">SUMIFS(Détail!$E:$E,Détail!$D:$D,"LA POSTE.FR",Détail!$A:$A,"&gt;="&amp;DATE(2025,2,1),Détail!$A:$A,"&lt;"&amp;EDATE(DATE(2025,2,1),1))</f>
        <v>-10.45</v>
      </c>
    </row>
    <row r="37" customFormat="false" ht="15" hidden="false" customHeight="true" outlineLevel="0" collapsed="false">
      <c r="A37" s="8" t="s">
        <v>67</v>
      </c>
      <c r="B37" s="31" t="n">
        <f aca="false">SUMIFS(Détail!$E:$E,Détail!$D:$D,"LA POSTE.FR",Détail!$A:$A,"&gt;="&amp;DATE(2025,3,1),Détail!$A:$A,"&lt;"&amp;EDATE(DATE(2025,3,1),1))</f>
        <v>-66.37</v>
      </c>
    </row>
    <row r="38" customFormat="false" ht="15" hidden="false" customHeight="true" outlineLevel="0" collapsed="false">
      <c r="A38" s="8" t="s">
        <v>68</v>
      </c>
      <c r="B38" s="31" t="n">
        <f aca="false">SUMIFS(Détail!$E:$E,Détail!$D:$D,"LA POSTE.FR",Détail!$A:$A,"&gt;="&amp;DATE(2025,4,1),Détail!$A:$A,"&lt;"&amp;EDATE(DATE(2025,4,1),1))</f>
        <v>-102.65</v>
      </c>
    </row>
    <row r="39" customFormat="false" ht="15" hidden="false" customHeight="true" outlineLevel="0" collapsed="false">
      <c r="A39" s="8" t="s">
        <v>69</v>
      </c>
      <c r="B39" s="31" t="n">
        <f aca="false">SUMIFS(Détail!$E:$E,Détail!$D:$D,"LA POSTE.FR",Détail!$A:$A,"&gt;="&amp;DATE(2025,5,1),Détail!$A:$A,"&lt;"&amp;EDATE(DATE(2025,5,1),1))</f>
        <v>-29.59</v>
      </c>
    </row>
    <row r="40" customFormat="false" ht="15" hidden="false" customHeight="true" outlineLevel="0" collapsed="false">
      <c r="A40" s="8" t="s">
        <v>70</v>
      </c>
      <c r="B40" s="31" t="n">
        <f aca="false">SUMIFS(Détail!$E:$E,Détail!$D:$D,"LA POSTE.FR",Détail!$A:$A,"&gt;="&amp;DATE(2025,6,1),Détail!$A:$A,"&lt;"&amp;EDATE(DATE(2025,6,1),1))</f>
        <v>-102.26</v>
      </c>
    </row>
    <row r="41" customFormat="false" ht="15" hidden="false" customHeight="true" outlineLevel="0" collapsed="false">
      <c r="A41" s="8" t="s">
        <v>71</v>
      </c>
      <c r="B41" s="31" t="n">
        <f aca="false">SUMIFS(Détail!$E:$E,Détail!$D:$D,"LA POSTE.FR",Détail!$A:$A,"&gt;="&amp;DATE(2025,7,1),Détail!$A:$A,"&lt;"&amp;EDATE(DATE(2025,7,1),1))</f>
        <v>-147.73</v>
      </c>
    </row>
    <row r="42" customFormat="false" ht="15" hidden="false" customHeight="true" outlineLevel="0" collapsed="false">
      <c r="A42" s="8" t="s">
        <v>73</v>
      </c>
      <c r="B42" s="31" t="n">
        <f aca="false">SUMIFS(Détail!$E:$E,Détail!$D:$D,"LA POSTE.FR",Détail!$A:$A,"&gt;="&amp;DATE(2025,9,1),Détail!$A:$A,"&lt;"&amp;EDATE(DATE(2025,9,1),1))</f>
        <v>-136.3</v>
      </c>
    </row>
    <row r="43" customFormat="false" ht="15" hidden="false" customHeight="true" outlineLevel="0" collapsed="false">
      <c r="A43" s="8" t="s">
        <v>74</v>
      </c>
      <c r="B43" s="31" t="n">
        <f aca="false">SUMIFS(Détail!$E:$E,Détail!$D:$D,"LA POSTE.FR",Détail!$A:$A,"&gt;="&amp;DATE(2025,10,1),Détail!$A:$A,"&lt;"&amp;EDATE(DATE(2025,10,1),1))</f>
        <v>-100.15</v>
      </c>
    </row>
    <row r="44" customFormat="false" ht="15" hidden="false" customHeight="true" outlineLevel="0" collapsed="false">
      <c r="A44" s="8" t="s">
        <v>75</v>
      </c>
      <c r="B44" s="31" t="n">
        <f aca="false">SUMIFS(Détail!$E:$E,Détail!$D:$D,"LA POSTE.FR",Détail!$A:$A,"&gt;="&amp;DATE(2025,11,1),Détail!$A:$A,"&lt;"&amp;EDATE(DATE(2025,11,1),1))</f>
        <v>-192.15</v>
      </c>
    </row>
    <row r="45" customFormat="false" ht="15" hidden="false" customHeight="true" outlineLevel="0" collapsed="false">
      <c r="A45" s="8" t="s">
        <v>76</v>
      </c>
      <c r="B45" s="31" t="n">
        <f aca="false">SUMIFS(Détail!$E:$E,Détail!$D:$D,"LA POSTE.FR",Détail!$A:$A,"&gt;="&amp;DATE(2025,12,1),Détail!$A:$A,"&lt;"&amp;EDATE(DATE(2025,12,1),1))</f>
        <v>0</v>
      </c>
    </row>
    <row r="48" customFormat="false" ht="15" hidden="false" customHeight="true" outlineLevel="0" collapsed="false">
      <c r="A48" s="29" t="s">
        <v>240</v>
      </c>
      <c r="B48" s="29"/>
      <c r="C48" s="30" t="n">
        <f aca="false">SUMIF(Détail!$D:$D,"FEDEX EXPRESS",Détail!$E:$E)</f>
        <v>-71</v>
      </c>
    </row>
    <row r="49" customFormat="false" ht="15" hidden="false" customHeight="true" outlineLevel="0" collapsed="false">
      <c r="A49" s="24" t="s">
        <v>63</v>
      </c>
      <c r="B49" s="24" t="s">
        <v>64</v>
      </c>
    </row>
    <row r="50" customFormat="false" ht="15" hidden="false" customHeight="true" outlineLevel="0" collapsed="false">
      <c r="A50" s="8" t="s">
        <v>65</v>
      </c>
      <c r="B50" s="31" t="n">
        <f aca="false">SUMIFS(Détail!$E:$E,Détail!$D:$D,"FEDEX EXPRESS",Détail!$A:$A,"&gt;="&amp;DATE(2025,1,1),Détail!$A:$A,"&lt;"&amp;EDATE(DATE(2025,1,1),1))</f>
        <v>0</v>
      </c>
    </row>
    <row r="51" customFormat="false" ht="15" hidden="false" customHeight="true" outlineLevel="0" collapsed="false">
      <c r="A51" s="8" t="s">
        <v>66</v>
      </c>
      <c r="B51" s="31" t="n">
        <f aca="false">SUMIFS(Détail!$E:$E,Détail!$D:$D,"FEDEX EXPRESS",Détail!$A:$A,"&gt;="&amp;DATE(2025,2,1),Détail!$A:$A,"&lt;"&amp;EDATE(DATE(2025,2,1),1))</f>
        <v>0</v>
      </c>
    </row>
    <row r="52" customFormat="false" ht="15" hidden="false" customHeight="true" outlineLevel="0" collapsed="false">
      <c r="A52" s="8" t="s">
        <v>67</v>
      </c>
      <c r="B52" s="31" t="n">
        <f aca="false">SUMIFS(Détail!$E:$E,Détail!$D:$D,"FEDEX EXPRESS",Détail!$A:$A,"&gt;="&amp;DATE(2025,3,1),Détail!$A:$A,"&lt;"&amp;EDATE(DATE(2025,3,1),1))</f>
        <v>0</v>
      </c>
    </row>
    <row r="53" customFormat="false" ht="15" hidden="false" customHeight="true" outlineLevel="0" collapsed="false">
      <c r="A53" s="8" t="s">
        <v>68</v>
      </c>
      <c r="B53" s="31" t="n">
        <f aca="false">SUMIFS(Détail!$E:$E,Détail!$D:$D,"FEDEX EXPRESS",Détail!$A:$A,"&gt;="&amp;DATE(2025,4,1),Détail!$A:$A,"&lt;"&amp;EDATE(DATE(2025,4,1),1))</f>
        <v>0</v>
      </c>
    </row>
    <row r="54" customFormat="false" ht="15" hidden="false" customHeight="true" outlineLevel="0" collapsed="false">
      <c r="A54" s="8" t="s">
        <v>69</v>
      </c>
      <c r="B54" s="31" t="n">
        <f aca="false">SUMIFS(Détail!$E:$E,Détail!$D:$D,"FEDEX EXPRESS",Détail!$A:$A,"&gt;="&amp;DATE(2025,5,1),Détail!$A:$A,"&lt;"&amp;EDATE(DATE(2025,5,1),1))</f>
        <v>0</v>
      </c>
    </row>
    <row r="55" customFormat="false" ht="15" hidden="false" customHeight="true" outlineLevel="0" collapsed="false">
      <c r="A55" s="8" t="s">
        <v>70</v>
      </c>
      <c r="B55" s="31" t="n">
        <f aca="false">SUMIFS(Détail!$E:$E,Détail!$D:$D,"FEDEX EXPRESS",Détail!$A:$A,"&gt;="&amp;DATE(2025,6,1),Détail!$A:$A,"&lt;"&amp;EDATE(DATE(2025,6,1),1))</f>
        <v>-49.8</v>
      </c>
    </row>
    <row r="56" customFormat="false" ht="15" hidden="false" customHeight="true" outlineLevel="0" collapsed="false">
      <c r="A56" s="8" t="s">
        <v>71</v>
      </c>
      <c r="B56" s="31" t="n">
        <f aca="false">SUMIFS(Détail!$E:$E,Détail!$D:$D,"FEDEX EXPRESS",Détail!$A:$A,"&gt;="&amp;DATE(2025,7,1),Détail!$A:$A,"&lt;"&amp;EDATE(DATE(2025,7,1),1))</f>
        <v>0</v>
      </c>
    </row>
    <row r="57" customFormat="false" ht="15" hidden="false" customHeight="true" outlineLevel="0" collapsed="false">
      <c r="A57" s="8" t="s">
        <v>73</v>
      </c>
      <c r="B57" s="31" t="n">
        <f aca="false">SUMIFS(Détail!$E:$E,Détail!$D:$D,"FEDEX EXPRESS",Détail!$A:$A,"&gt;="&amp;DATE(2025,9,1),Détail!$A:$A,"&lt;"&amp;EDATE(DATE(2025,9,1),1))</f>
        <v>0</v>
      </c>
    </row>
    <row r="58" customFormat="false" ht="15" hidden="false" customHeight="true" outlineLevel="0" collapsed="false">
      <c r="A58" s="8" t="s">
        <v>74</v>
      </c>
      <c r="B58" s="31" t="n">
        <f aca="false">SUMIFS(Détail!$E:$E,Détail!$D:$D,"FEDEX EXPRESS",Détail!$A:$A,"&gt;="&amp;DATE(2025,10,1),Détail!$A:$A,"&lt;"&amp;EDATE(DATE(2025,10,1),1))</f>
        <v>-21.2</v>
      </c>
    </row>
    <row r="59" customFormat="false" ht="15" hidden="false" customHeight="true" outlineLevel="0" collapsed="false">
      <c r="A59" s="8" t="s">
        <v>75</v>
      </c>
      <c r="B59" s="31" t="n">
        <f aca="false">SUMIFS(Détail!$E:$E,Détail!$D:$D,"FEDEX EXPRESS",Détail!$A:$A,"&gt;="&amp;DATE(2025,11,1),Détail!$A:$A,"&lt;"&amp;EDATE(DATE(2025,11,1),1))</f>
        <v>0</v>
      </c>
    </row>
    <row r="60" customFormat="false" ht="15" hidden="false" customHeight="true" outlineLevel="0" collapsed="false">
      <c r="A60" s="8" t="s">
        <v>76</v>
      </c>
      <c r="B60" s="31" t="n">
        <f aca="false">SUMIFS(Détail!$E:$E,Détail!$D:$D,"FEDEX EXPRESS",Détail!$A:$A,"&gt;="&amp;DATE(2025,12,1),Détail!$A:$A,"&lt;"&amp;EDATE(DATE(2025,12,1),1))</f>
        <v>0</v>
      </c>
    </row>
  </sheetData>
  <mergeCells count="4">
    <mergeCell ref="A3:B3"/>
    <mergeCell ref="A18:B18"/>
    <mergeCell ref="A33:B33"/>
    <mergeCell ref="A48:B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241</v>
      </c>
    </row>
    <row r="3" customFormat="false" ht="15" hidden="false" customHeight="true" outlineLevel="0" collapsed="false">
      <c r="A3" s="29" t="s">
        <v>242</v>
      </c>
      <c r="B3" s="29"/>
      <c r="C3" s="30" t="n">
        <f aca="false">SUMIF(Détail!$D:$D,"BPIFRANCE",Détail!$E:$E)</f>
        <v>-125.06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66</v>
      </c>
      <c r="B5" s="31" t="n">
        <f aca="false">SUMIFS(Détail!$E:$E,Détail!$D:$D,"BPIFRANCE",Détail!$A:$A,"&gt;="&amp;DATE(2025,2,1),Détail!$A:$A,"&lt;"&amp;EDATE(DATE(2025,2,1),1))</f>
        <v>-28.86</v>
      </c>
    </row>
    <row r="6" customFormat="false" ht="15" hidden="false" customHeight="true" outlineLevel="0" collapsed="false">
      <c r="A6" s="8" t="s">
        <v>67</v>
      </c>
      <c r="B6" s="31" t="n">
        <f aca="false">SUMIFS(Détail!$E:$E,Détail!$D:$D,"BPIFRANCE",Détail!$A:$A,"&gt;="&amp;DATE(2025,3,1),Détail!$A:$A,"&lt;"&amp;EDATE(DATE(2025,3,1),1))</f>
        <v>-19.24</v>
      </c>
    </row>
    <row r="7" customFormat="false" ht="15" hidden="false" customHeight="true" outlineLevel="0" collapsed="false">
      <c r="A7" s="8" t="s">
        <v>68</v>
      </c>
      <c r="B7" s="31" t="n">
        <f aca="false">SUMIFS(Détail!$E:$E,Détail!$D:$D,"BPIFRANCE",Détail!$A:$A,"&gt;="&amp;DATE(2025,4,1),Détail!$A:$A,"&lt;"&amp;EDATE(DATE(2025,4,1),1))</f>
        <v>-19.24</v>
      </c>
    </row>
    <row r="8" customFormat="false" ht="15" hidden="false" customHeight="true" outlineLevel="0" collapsed="false">
      <c r="A8" s="8" t="s">
        <v>69</v>
      </c>
      <c r="B8" s="31" t="n">
        <f aca="false">SUMIFS(Détail!$E:$E,Détail!$D:$D,"BPIFRANCE",Détail!$A:$A,"&gt;="&amp;DATE(2025,5,1),Détail!$A:$A,"&lt;"&amp;EDATE(DATE(2025,5,1),1))</f>
        <v>-28.86</v>
      </c>
    </row>
    <row r="9" customFormat="false" ht="15" hidden="false" customHeight="true" outlineLevel="0" collapsed="false">
      <c r="A9" s="8" t="s">
        <v>70</v>
      </c>
      <c r="B9" s="31" t="n">
        <f aca="false">SUMIFS(Détail!$E:$E,Détail!$D:$D,"BPIFRANCE",Détail!$A:$A,"&gt;="&amp;DATE(2025,6,1),Détail!$A:$A,"&lt;"&amp;EDATE(DATE(2025,6,1),1))</f>
        <v>0</v>
      </c>
    </row>
    <row r="10" customFormat="false" ht="15" hidden="false" customHeight="true" outlineLevel="0" collapsed="false">
      <c r="A10" s="8" t="s">
        <v>71</v>
      </c>
      <c r="B10" s="31" t="n">
        <f aca="false">SUMIFS(Détail!$E:$E,Détail!$D:$D,"BPIFRANCE",Détail!$A:$A,"&gt;="&amp;DATE(2025,7,1),Détail!$A:$A,"&lt;"&amp;EDATE(DATE(2025,7,1),1))</f>
        <v>-28.86</v>
      </c>
    </row>
    <row r="11" customFormat="false" ht="15" hidden="false" customHeight="true" outlineLevel="0" collapsed="false">
      <c r="A11" s="8" t="s">
        <v>72</v>
      </c>
      <c r="B11" s="31" t="n">
        <f aca="false">SUMIFS(Détail!$E:$E,Détail!$D:$D,"BPIFRANCE",Détail!$A:$A,"&gt;="&amp;DATE(2025,8,1),Détail!$A:$A,"&lt;"&amp;EDATE(DATE(2025,8,1),1))</f>
        <v>0</v>
      </c>
    </row>
    <row r="12" customFormat="false" ht="15" hidden="false" customHeight="true" outlineLevel="0" collapsed="false">
      <c r="A12" s="8" t="s">
        <v>73</v>
      </c>
      <c r="B12" s="31" t="n">
        <f aca="false">SUMIFS(Détail!$E:$E,Détail!$D:$D,"BPIFRANCE",Détail!$A:$A,"&gt;="&amp;DATE(2025,9,1),Détail!$A:$A,"&lt;"&amp;EDATE(DATE(2025,9,1),1))</f>
        <v>0</v>
      </c>
    </row>
  </sheetData>
  <mergeCells count="1"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243</v>
      </c>
    </row>
    <row r="3" customFormat="false" ht="15" hidden="false" customHeight="true" outlineLevel="0" collapsed="false">
      <c r="A3" s="29" t="s">
        <v>244</v>
      </c>
      <c r="B3" s="29"/>
      <c r="C3" s="30" t="n">
        <f aca="false">SUMIF(Détail!$D:$D,"SUPERMARCHE L'",Détail!$E:$E)</f>
        <v>-428.37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SUMIFS(Détail!$E:$E,Détail!$D:$D,"SUPERMARCHE L'",Détail!$A:$A,"&gt;="&amp;DATE(2025,1,1),Détail!$A:$A,"&lt;"&amp;EDATE(DATE(2025,1,1),1))</f>
        <v>-7.37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SUMIFS(Détail!$E:$E,Détail!$D:$D,"SUPERMARCHE L'",Détail!$A:$A,"&gt;="&amp;DATE(2025,2,1),Détail!$A:$A,"&lt;"&amp;EDATE(DATE(2025,2,1),1))</f>
        <v>-41.79</v>
      </c>
    </row>
    <row r="7" customFormat="false" ht="15" hidden="false" customHeight="true" outlineLevel="0" collapsed="false">
      <c r="A7" s="8" t="s">
        <v>67</v>
      </c>
      <c r="B7" s="31" t="n">
        <f aca="false">SUMIFS(Détail!$E:$E,Détail!$D:$D,"SUPERMARCHE L'",Détail!$A:$A,"&gt;="&amp;DATE(2025,3,1),Détail!$A:$A,"&lt;"&amp;EDATE(DATE(2025,3,1),1))</f>
        <v>0</v>
      </c>
    </row>
    <row r="8" customFormat="false" ht="15" hidden="false" customHeight="true" outlineLevel="0" collapsed="false">
      <c r="A8" s="8" t="s">
        <v>68</v>
      </c>
      <c r="B8" s="31" t="n">
        <f aca="false">SUMIFS(Détail!$E:$E,Détail!$D:$D,"SUPERMARCHE L'",Détail!$A:$A,"&gt;="&amp;DATE(2025,4,1),Détail!$A:$A,"&lt;"&amp;EDATE(DATE(2025,4,1),1))</f>
        <v>-2.76</v>
      </c>
    </row>
    <row r="9" customFormat="false" ht="15" hidden="false" customHeight="true" outlineLevel="0" collapsed="false">
      <c r="A9" s="8" t="s">
        <v>69</v>
      </c>
      <c r="B9" s="31" t="n">
        <f aca="false">SUMIFS(Détail!$E:$E,Détail!$D:$D,"SUPERMARCHE L'",Détail!$A:$A,"&gt;="&amp;DATE(2025,5,1),Détail!$A:$A,"&lt;"&amp;EDATE(DATE(2025,5,1),1))</f>
        <v>-25.41</v>
      </c>
    </row>
    <row r="10" customFormat="false" ht="15" hidden="false" customHeight="true" outlineLevel="0" collapsed="false">
      <c r="A10" s="8" t="s">
        <v>70</v>
      </c>
      <c r="B10" s="31" t="n">
        <f aca="false">SUMIFS(Détail!$E:$E,Détail!$D:$D,"SUPERMARCHE L'",Détail!$A:$A,"&gt;="&amp;DATE(2025,6,1),Détail!$A:$A,"&lt;"&amp;EDATE(DATE(2025,6,1),1))</f>
        <v>-112.12</v>
      </c>
    </row>
    <row r="11" customFormat="false" ht="15" hidden="false" customHeight="true" outlineLevel="0" collapsed="false">
      <c r="A11" s="8" t="s">
        <v>71</v>
      </c>
      <c r="B11" s="31" t="n">
        <f aca="false">SUMIFS(Détail!$E:$E,Détail!$D:$D,"SUPERMARCHE L'",Détail!$A:$A,"&gt;="&amp;DATE(2025,7,1),Détail!$A:$A,"&lt;"&amp;EDATE(DATE(2025,7,1),1))</f>
        <v>0</v>
      </c>
    </row>
    <row r="12" customFormat="false" ht="15" hidden="false" customHeight="true" outlineLevel="0" collapsed="false">
      <c r="A12" s="8" t="s">
        <v>73</v>
      </c>
      <c r="B12" s="31" t="n">
        <f aca="false">SUMIFS(Détail!$E:$E,Détail!$D:$D,"SUPERMARCHE L'",Détail!$A:$A,"&gt;="&amp;DATE(2025,9,1),Détail!$A:$A,"&lt;"&amp;EDATE(DATE(2025,9,1),1))</f>
        <v>-32.21</v>
      </c>
    </row>
    <row r="13" customFormat="false" ht="15" hidden="false" customHeight="true" outlineLevel="0" collapsed="false">
      <c r="A13" s="8" t="s">
        <v>74</v>
      </c>
      <c r="B13" s="31" t="n">
        <f aca="false">SUMIFS(Détail!$E:$E,Détail!$D:$D,"SUPERMARCHE L'",Détail!$A:$A,"&gt;="&amp;DATE(2025,10,1),Détail!$A:$A,"&lt;"&amp;EDATE(DATE(2025,10,1),1))</f>
        <v>-76.3</v>
      </c>
    </row>
    <row r="14" customFormat="false" ht="15" hidden="false" customHeight="true" outlineLevel="0" collapsed="false">
      <c r="A14" s="8" t="s">
        <v>76</v>
      </c>
      <c r="B14" s="31" t="n">
        <f aca="false">SUMIFS(Détail!$E:$E,Détail!$D:$D,"SUPERMARCHE L'",Détail!$A:$A,"&gt;="&amp;DATE(2025,12,1),Détail!$A:$A,"&lt;"&amp;EDATE(DATE(2025,12,1),1))</f>
        <v>-130.41</v>
      </c>
    </row>
    <row r="17" customFormat="false" ht="15" hidden="false" customHeight="true" outlineLevel="0" collapsed="false">
      <c r="A17" s="29" t="s">
        <v>245</v>
      </c>
      <c r="B17" s="29"/>
      <c r="C17" s="30" t="n">
        <f aca="false">SUMIF(Détail!$D:$D,"E.LECLERC",Détail!$E:$E)</f>
        <v>-189.67</v>
      </c>
    </row>
    <row r="18" customFormat="false" ht="15" hidden="false" customHeight="true" outlineLevel="0" collapsed="false">
      <c r="A18" s="24" t="s">
        <v>63</v>
      </c>
      <c r="B18" s="24" t="s">
        <v>64</v>
      </c>
    </row>
    <row r="19" customFormat="false" ht="15" hidden="false" customHeight="true" outlineLevel="0" collapsed="false">
      <c r="A19" s="8" t="s">
        <v>65</v>
      </c>
      <c r="B19" s="31" t="n">
        <f aca="false">SUMIFS(Détail!$E:$E,Détail!$D:$D,"E.LECLERC",Détail!$A:$A,"&gt;="&amp;DATE(2025,1,1),Détail!$A:$A,"&lt;"&amp;EDATE(DATE(2025,1,1),1))</f>
        <v>-97.34</v>
      </c>
    </row>
    <row r="20" customFormat="false" ht="15" hidden="false" customHeight="true" outlineLevel="0" collapsed="false">
      <c r="A20" s="8" t="s">
        <v>66</v>
      </c>
      <c r="B20" s="31" t="n">
        <f aca="false">SUMIFS(Détail!$E:$E,Détail!$D:$D,"E.LECLERC",Détail!$A:$A,"&gt;="&amp;DATE(2025,2,1),Détail!$A:$A,"&lt;"&amp;EDATE(DATE(2025,2,1),1))</f>
        <v>-80</v>
      </c>
    </row>
    <row r="21" customFormat="false" ht="15" hidden="false" customHeight="true" outlineLevel="0" collapsed="false">
      <c r="A21" s="8" t="s">
        <v>67</v>
      </c>
      <c r="B21" s="31" t="n">
        <f aca="false">SUMIFS(Détail!$E:$E,Détail!$D:$D,"E.LECLERC",Détail!$A:$A,"&gt;="&amp;DATE(2025,3,1),Détail!$A:$A,"&lt;"&amp;EDATE(DATE(2025,3,1),1))</f>
        <v>0</v>
      </c>
    </row>
    <row r="22" customFormat="false" ht="15" hidden="false" customHeight="true" outlineLevel="0" collapsed="false">
      <c r="A22" s="8" t="s">
        <v>68</v>
      </c>
      <c r="B22" s="31" t="n">
        <f aca="false">SUMIFS(Détail!$E:$E,Détail!$D:$D,"E.LECLERC",Détail!$A:$A,"&gt;="&amp;DATE(2025,4,1),Détail!$A:$A,"&lt;"&amp;EDATE(DATE(2025,4,1),1))</f>
        <v>0</v>
      </c>
    </row>
    <row r="23" customFormat="false" ht="15" hidden="false" customHeight="true" outlineLevel="0" collapsed="false">
      <c r="A23" s="8" t="s">
        <v>69</v>
      </c>
      <c r="B23" s="31" t="n">
        <f aca="false">SUMIFS(Détail!$E:$E,Détail!$D:$D,"E.LECLERC",Détail!$A:$A,"&gt;="&amp;DATE(2025,5,1),Détail!$A:$A,"&lt;"&amp;EDATE(DATE(2025,5,1),1))</f>
        <v>0</v>
      </c>
    </row>
    <row r="24" customFormat="false" ht="15" hidden="false" customHeight="true" outlineLevel="0" collapsed="false">
      <c r="A24" s="8" t="s">
        <v>70</v>
      </c>
      <c r="B24" s="31" t="n">
        <f aca="false">SUMIFS(Détail!$E:$E,Détail!$D:$D,"E.LECLERC",Détail!$A:$A,"&gt;="&amp;DATE(2025,6,1),Détail!$A:$A,"&lt;"&amp;EDATE(DATE(2025,6,1),1))</f>
        <v>-12.33</v>
      </c>
    </row>
    <row r="25" customFormat="false" ht="15" hidden="false" customHeight="true" outlineLevel="0" collapsed="false">
      <c r="A25" s="8" t="s">
        <v>71</v>
      </c>
      <c r="B25" s="31" t="n">
        <f aca="false">SUMIFS(Détail!$E:$E,Détail!$D:$D,"E.LECLERC",Détail!$A:$A,"&gt;="&amp;DATE(2025,7,1),Détail!$A:$A,"&lt;"&amp;EDATE(DATE(2025,7,1),1))</f>
        <v>0</v>
      </c>
    </row>
    <row r="26" customFormat="false" ht="15" hidden="false" customHeight="true" outlineLevel="0" collapsed="false">
      <c r="A26" s="8" t="s">
        <v>73</v>
      </c>
      <c r="B26" s="31" t="n">
        <f aca="false">SUMIFS(Détail!$E:$E,Détail!$D:$D,"E.LECLERC",Détail!$A:$A,"&gt;="&amp;DATE(2025,9,1),Détail!$A:$A,"&lt;"&amp;EDATE(DATE(2025,9,1),1))</f>
        <v>0</v>
      </c>
    </row>
    <row r="27" customFormat="false" ht="15" hidden="false" customHeight="true" outlineLevel="0" collapsed="false">
      <c r="A27" s="8" t="s">
        <v>74</v>
      </c>
      <c r="B27" s="31" t="n">
        <f aca="false">SUMIFS(Détail!$E:$E,Détail!$D:$D,"E.LECLERC",Détail!$A:$A,"&gt;="&amp;DATE(2025,10,1),Détail!$A:$A,"&lt;"&amp;EDATE(DATE(2025,10,1),1))</f>
        <v>0</v>
      </c>
    </row>
    <row r="28" customFormat="false" ht="15" hidden="false" customHeight="true" outlineLevel="0" collapsed="false">
      <c r="A28" s="8" t="s">
        <v>76</v>
      </c>
      <c r="B28" s="31" t="n">
        <f aca="false">SUMIFS(Détail!$E:$E,Détail!$D:$D,"E.LECLERC",Détail!$A:$A,"&gt;="&amp;DATE(2025,12,1),Détail!$A:$A,"&lt;"&amp;EDATE(DATE(2025,12,1),1))</f>
        <v>0</v>
      </c>
    </row>
    <row r="31" customFormat="false" ht="15" hidden="false" customHeight="true" outlineLevel="0" collapsed="false">
      <c r="A31" s="29" t="s">
        <v>246</v>
      </c>
      <c r="B31" s="29"/>
      <c r="C31" s="30" t="n">
        <f aca="false">SUMIF(Détail!$D:$D,"NESPRESSO",Détail!$E:$E)</f>
        <v>-166</v>
      </c>
    </row>
    <row r="32" customFormat="false" ht="15" hidden="false" customHeight="true" outlineLevel="0" collapsed="false">
      <c r="A32" s="24" t="s">
        <v>63</v>
      </c>
      <c r="B32" s="24" t="s">
        <v>64</v>
      </c>
    </row>
    <row r="33" customFormat="false" ht="15" hidden="false" customHeight="true" outlineLevel="0" collapsed="false">
      <c r="A33" s="8" t="s">
        <v>65</v>
      </c>
      <c r="B33" s="31" t="n">
        <f aca="false">SUMIFS(Détail!$E:$E,Détail!$D:$D,"NESPRESSO",Détail!$A:$A,"&gt;="&amp;DATE(2025,1,1),Détail!$A:$A,"&lt;"&amp;EDATE(DATE(2025,1,1),1))</f>
        <v>0</v>
      </c>
    </row>
    <row r="34" customFormat="false" ht="15" hidden="false" customHeight="true" outlineLevel="0" collapsed="false">
      <c r="A34" s="8" t="s">
        <v>66</v>
      </c>
      <c r="B34" s="31" t="n">
        <f aca="false">SUMIFS(Détail!$E:$E,Détail!$D:$D,"NESPRESSO",Détail!$A:$A,"&gt;="&amp;DATE(2025,2,1),Détail!$A:$A,"&lt;"&amp;EDATE(DATE(2025,2,1),1))</f>
        <v>0</v>
      </c>
    </row>
    <row r="35" customFormat="false" ht="15" hidden="false" customHeight="true" outlineLevel="0" collapsed="false">
      <c r="A35" s="8" t="s">
        <v>67</v>
      </c>
      <c r="B35" s="31" t="n">
        <f aca="false">SUMIFS(Détail!$E:$E,Détail!$D:$D,"NESPRESSO",Détail!$A:$A,"&gt;="&amp;DATE(2025,3,1),Détail!$A:$A,"&lt;"&amp;EDATE(DATE(2025,3,1),1))</f>
        <v>-166</v>
      </c>
    </row>
    <row r="36" customFormat="false" ht="15" hidden="false" customHeight="true" outlineLevel="0" collapsed="false">
      <c r="A36" s="8" t="s">
        <v>68</v>
      </c>
      <c r="B36" s="31" t="n">
        <f aca="false">SUMIFS(Détail!$E:$E,Détail!$D:$D,"NESPRESSO",Détail!$A:$A,"&gt;="&amp;DATE(2025,4,1),Détail!$A:$A,"&lt;"&amp;EDATE(DATE(2025,4,1),1))</f>
        <v>0</v>
      </c>
    </row>
    <row r="37" customFormat="false" ht="15" hidden="false" customHeight="true" outlineLevel="0" collapsed="false">
      <c r="A37" s="8" t="s">
        <v>69</v>
      </c>
      <c r="B37" s="31" t="n">
        <f aca="false">SUMIFS(Détail!$E:$E,Détail!$D:$D,"NESPRESSO",Détail!$A:$A,"&gt;="&amp;DATE(2025,5,1),Détail!$A:$A,"&lt;"&amp;EDATE(DATE(2025,5,1),1))</f>
        <v>0</v>
      </c>
    </row>
    <row r="38" customFormat="false" ht="15" hidden="false" customHeight="true" outlineLevel="0" collapsed="false">
      <c r="A38" s="8" t="s">
        <v>70</v>
      </c>
      <c r="B38" s="31" t="n">
        <f aca="false">SUMIFS(Détail!$E:$E,Détail!$D:$D,"NESPRESSO",Détail!$A:$A,"&gt;="&amp;DATE(2025,6,1),Détail!$A:$A,"&lt;"&amp;EDATE(DATE(2025,6,1),1))</f>
        <v>0</v>
      </c>
    </row>
    <row r="39" customFormat="false" ht="15" hidden="false" customHeight="true" outlineLevel="0" collapsed="false">
      <c r="A39" s="8" t="s">
        <v>71</v>
      </c>
      <c r="B39" s="31" t="n">
        <f aca="false">SUMIFS(Détail!$E:$E,Détail!$D:$D,"NESPRESSO",Détail!$A:$A,"&gt;="&amp;DATE(2025,7,1),Détail!$A:$A,"&lt;"&amp;EDATE(DATE(2025,7,1),1))</f>
        <v>0</v>
      </c>
    </row>
    <row r="40" customFormat="false" ht="15" hidden="false" customHeight="true" outlineLevel="0" collapsed="false">
      <c r="A40" s="8" t="s">
        <v>73</v>
      </c>
      <c r="B40" s="31" t="n">
        <f aca="false">SUMIFS(Détail!$E:$E,Détail!$D:$D,"NESPRESSO",Détail!$A:$A,"&gt;="&amp;DATE(2025,9,1),Détail!$A:$A,"&lt;"&amp;EDATE(DATE(2025,9,1),1))</f>
        <v>0</v>
      </c>
    </row>
    <row r="41" customFormat="false" ht="15" hidden="false" customHeight="true" outlineLevel="0" collapsed="false">
      <c r="A41" s="8" t="s">
        <v>74</v>
      </c>
      <c r="B41" s="31" t="n">
        <f aca="false">SUMIFS(Détail!$E:$E,Détail!$D:$D,"NESPRESSO",Détail!$A:$A,"&gt;="&amp;DATE(2025,10,1),Détail!$A:$A,"&lt;"&amp;EDATE(DATE(2025,10,1),1))</f>
        <v>0</v>
      </c>
    </row>
    <row r="42" customFormat="false" ht="15" hidden="false" customHeight="true" outlineLevel="0" collapsed="false">
      <c r="A42" s="8" t="s">
        <v>76</v>
      </c>
      <c r="B42" s="31" t="n">
        <f aca="false">SUMIFS(Détail!$E:$E,Détail!$D:$D,"NESPRESSO",Détail!$A:$A,"&gt;="&amp;DATE(2025,12,1),Détail!$A:$A,"&lt;"&amp;EDATE(DATE(2025,12,1),1))</f>
        <v>0</v>
      </c>
    </row>
    <row r="45" customFormat="false" ht="15" hidden="false" customHeight="true" outlineLevel="0" collapsed="false">
      <c r="A45" s="29" t="s">
        <v>247</v>
      </c>
      <c r="B45" s="29"/>
      <c r="C45" s="30" t="n">
        <f aca="false">SUMIF(Détail!$D:$D,"CARREFOUR",Détail!$E:$E)</f>
        <v>-152.69</v>
      </c>
    </row>
    <row r="46" customFormat="false" ht="15" hidden="false" customHeight="true" outlineLevel="0" collapsed="false">
      <c r="A46" s="24" t="s">
        <v>63</v>
      </c>
      <c r="B46" s="24" t="s">
        <v>64</v>
      </c>
    </row>
    <row r="47" customFormat="false" ht="15" hidden="false" customHeight="true" outlineLevel="0" collapsed="false">
      <c r="A47" s="8" t="s">
        <v>65</v>
      </c>
      <c r="B47" s="31" t="n">
        <f aca="false">SUMIFS(Détail!$E:$E,Détail!$D:$D,"CARREFOUR",Détail!$A:$A,"&gt;="&amp;DATE(2025,1,1),Détail!$A:$A,"&lt;"&amp;EDATE(DATE(2025,1,1),1))</f>
        <v>0</v>
      </c>
    </row>
    <row r="48" customFormat="false" ht="15" hidden="false" customHeight="true" outlineLevel="0" collapsed="false">
      <c r="A48" s="8" t="s">
        <v>66</v>
      </c>
      <c r="B48" s="31" t="n">
        <f aca="false">SUMIFS(Détail!$E:$E,Détail!$D:$D,"CARREFOUR",Détail!$A:$A,"&gt;="&amp;DATE(2025,2,1),Détail!$A:$A,"&lt;"&amp;EDATE(DATE(2025,2,1),1))</f>
        <v>-61.49</v>
      </c>
    </row>
    <row r="49" customFormat="false" ht="15" hidden="false" customHeight="true" outlineLevel="0" collapsed="false">
      <c r="A49" s="8" t="s">
        <v>67</v>
      </c>
      <c r="B49" s="31" t="n">
        <f aca="false">SUMIFS(Détail!$E:$E,Détail!$D:$D,"CARREFOUR",Détail!$A:$A,"&gt;="&amp;DATE(2025,3,1),Détail!$A:$A,"&lt;"&amp;EDATE(DATE(2025,3,1),1))</f>
        <v>0</v>
      </c>
    </row>
    <row r="50" customFormat="false" ht="15" hidden="false" customHeight="true" outlineLevel="0" collapsed="false">
      <c r="A50" s="8" t="s">
        <v>68</v>
      </c>
      <c r="B50" s="31" t="n">
        <f aca="false">SUMIFS(Détail!$E:$E,Détail!$D:$D,"CARREFOUR",Détail!$A:$A,"&gt;="&amp;DATE(2025,4,1),Détail!$A:$A,"&lt;"&amp;EDATE(DATE(2025,4,1),1))</f>
        <v>0</v>
      </c>
    </row>
    <row r="51" customFormat="false" ht="15" hidden="false" customHeight="true" outlineLevel="0" collapsed="false">
      <c r="A51" s="8" t="s">
        <v>69</v>
      </c>
      <c r="B51" s="31" t="n">
        <f aca="false">SUMIFS(Détail!$E:$E,Détail!$D:$D,"CARREFOUR",Détail!$A:$A,"&gt;="&amp;DATE(2025,5,1),Détail!$A:$A,"&lt;"&amp;EDATE(DATE(2025,5,1),1))</f>
        <v>0</v>
      </c>
    </row>
    <row r="52" customFormat="false" ht="15" hidden="false" customHeight="true" outlineLevel="0" collapsed="false">
      <c r="A52" s="8" t="s">
        <v>70</v>
      </c>
      <c r="B52" s="31" t="n">
        <f aca="false">SUMIFS(Détail!$E:$E,Détail!$D:$D,"CARREFOUR",Détail!$A:$A,"&gt;="&amp;DATE(2025,6,1),Détail!$A:$A,"&lt;"&amp;EDATE(DATE(2025,6,1),1))</f>
        <v>0</v>
      </c>
    </row>
    <row r="53" customFormat="false" ht="15" hidden="false" customHeight="true" outlineLevel="0" collapsed="false">
      <c r="A53" s="8" t="s">
        <v>71</v>
      </c>
      <c r="B53" s="31" t="n">
        <f aca="false">SUMIFS(Détail!$E:$E,Détail!$D:$D,"CARREFOUR",Détail!$A:$A,"&gt;="&amp;DATE(2025,7,1),Détail!$A:$A,"&lt;"&amp;EDATE(DATE(2025,7,1),1))</f>
        <v>0</v>
      </c>
    </row>
    <row r="54" customFormat="false" ht="15" hidden="false" customHeight="true" outlineLevel="0" collapsed="false">
      <c r="A54" s="8" t="s">
        <v>73</v>
      </c>
      <c r="B54" s="31" t="n">
        <f aca="false">SUMIFS(Détail!$E:$E,Détail!$D:$D,"CARREFOUR",Détail!$A:$A,"&gt;="&amp;DATE(2025,9,1),Détail!$A:$A,"&lt;"&amp;EDATE(DATE(2025,9,1),1))</f>
        <v>0</v>
      </c>
    </row>
    <row r="55" customFormat="false" ht="15" hidden="false" customHeight="true" outlineLevel="0" collapsed="false">
      <c r="A55" s="8" t="s">
        <v>74</v>
      </c>
      <c r="B55" s="31" t="n">
        <f aca="false">SUMIFS(Détail!$E:$E,Détail!$D:$D,"CARREFOUR",Détail!$A:$A,"&gt;="&amp;DATE(2025,10,1),Détail!$A:$A,"&lt;"&amp;EDATE(DATE(2025,10,1),1))</f>
        <v>-91.2</v>
      </c>
    </row>
    <row r="56" customFormat="false" ht="15" hidden="false" customHeight="true" outlineLevel="0" collapsed="false">
      <c r="A56" s="8" t="s">
        <v>76</v>
      </c>
      <c r="B56" s="31" t="n">
        <f aca="false">SUMIFS(Détail!$E:$E,Détail!$D:$D,"CARREFOUR",Détail!$A:$A,"&gt;="&amp;DATE(2025,12,1),Détail!$A:$A,"&lt;"&amp;EDATE(DATE(2025,12,1),1))</f>
        <v>0</v>
      </c>
    </row>
    <row r="59" customFormat="false" ht="15" hidden="false" customHeight="true" outlineLevel="0" collapsed="false">
      <c r="A59" s="29" t="s">
        <v>248</v>
      </c>
      <c r="B59" s="29"/>
      <c r="C59" s="30" t="n">
        <f aca="false">SUMIF(Détail!$D:$D,"FRESHMART",Détail!$E:$E)</f>
        <v>-88.72</v>
      </c>
    </row>
    <row r="60" customFormat="false" ht="15" hidden="false" customHeight="true" outlineLevel="0" collapsed="false">
      <c r="A60" s="24" t="s">
        <v>63</v>
      </c>
      <c r="B60" s="24" t="s">
        <v>64</v>
      </c>
    </row>
    <row r="61" customFormat="false" ht="15" hidden="false" customHeight="true" outlineLevel="0" collapsed="false">
      <c r="A61" s="8" t="s">
        <v>65</v>
      </c>
      <c r="B61" s="31" t="n">
        <f aca="false">SUMIFS(Détail!$E:$E,Détail!$D:$D,"FRESHMART",Détail!$A:$A,"&gt;="&amp;DATE(2025,1,1),Détail!$A:$A,"&lt;"&amp;EDATE(DATE(2025,1,1),1))</f>
        <v>0</v>
      </c>
    </row>
    <row r="62" customFormat="false" ht="15" hidden="false" customHeight="true" outlineLevel="0" collapsed="false">
      <c r="A62" s="8" t="s">
        <v>66</v>
      </c>
      <c r="B62" s="31" t="n">
        <f aca="false">SUMIFS(Détail!$E:$E,Détail!$D:$D,"FRESHMART",Détail!$A:$A,"&gt;="&amp;DATE(2025,2,1),Détail!$A:$A,"&lt;"&amp;EDATE(DATE(2025,2,1),1))</f>
        <v>0</v>
      </c>
    </row>
    <row r="63" customFormat="false" ht="15" hidden="false" customHeight="true" outlineLevel="0" collapsed="false">
      <c r="A63" s="8" t="s">
        <v>67</v>
      </c>
      <c r="B63" s="31" t="n">
        <f aca="false">SUMIFS(Détail!$E:$E,Détail!$D:$D,"FRESHMART",Détail!$A:$A,"&gt;="&amp;DATE(2025,3,1),Détail!$A:$A,"&lt;"&amp;EDATE(DATE(2025,3,1),1))</f>
        <v>0</v>
      </c>
    </row>
    <row r="64" customFormat="false" ht="15" hidden="false" customHeight="true" outlineLevel="0" collapsed="false">
      <c r="A64" s="8" t="s">
        <v>68</v>
      </c>
      <c r="B64" s="31" t="n">
        <f aca="false">SUMIFS(Détail!$E:$E,Détail!$D:$D,"FRESHMART",Détail!$A:$A,"&gt;="&amp;DATE(2025,4,1),Détail!$A:$A,"&lt;"&amp;EDATE(DATE(2025,4,1),1))</f>
        <v>0</v>
      </c>
    </row>
    <row r="65" customFormat="false" ht="15" hidden="false" customHeight="true" outlineLevel="0" collapsed="false">
      <c r="A65" s="8" t="s">
        <v>69</v>
      </c>
      <c r="B65" s="31" t="n">
        <f aca="false">SUMIFS(Détail!$E:$E,Détail!$D:$D,"FRESHMART",Détail!$A:$A,"&gt;="&amp;DATE(2025,5,1),Détail!$A:$A,"&lt;"&amp;EDATE(DATE(2025,5,1),1))</f>
        <v>0</v>
      </c>
    </row>
    <row r="66" customFormat="false" ht="15" hidden="false" customHeight="true" outlineLevel="0" collapsed="false">
      <c r="A66" s="8" t="s">
        <v>70</v>
      </c>
      <c r="B66" s="31" t="n">
        <f aca="false">SUMIFS(Détail!$E:$E,Détail!$D:$D,"FRESHMART",Détail!$A:$A,"&gt;="&amp;DATE(2025,6,1),Détail!$A:$A,"&lt;"&amp;EDATE(DATE(2025,6,1),1))</f>
        <v>0</v>
      </c>
    </row>
    <row r="67" customFormat="false" ht="15" hidden="false" customHeight="true" outlineLevel="0" collapsed="false">
      <c r="A67" s="8" t="s">
        <v>71</v>
      </c>
      <c r="B67" s="31" t="n">
        <f aca="false">SUMIFS(Détail!$E:$E,Détail!$D:$D,"FRESHMART",Détail!$A:$A,"&gt;="&amp;DATE(2025,7,1),Détail!$A:$A,"&lt;"&amp;EDATE(DATE(2025,7,1),1))</f>
        <v>0</v>
      </c>
    </row>
    <row r="68" customFormat="false" ht="15" hidden="false" customHeight="true" outlineLevel="0" collapsed="false">
      <c r="A68" s="8" t="s">
        <v>73</v>
      </c>
      <c r="B68" s="31" t="n">
        <f aca="false">SUMIFS(Détail!$E:$E,Détail!$D:$D,"FRESHMART",Détail!$A:$A,"&gt;="&amp;DATE(2025,9,1),Détail!$A:$A,"&lt;"&amp;EDATE(DATE(2025,9,1),1))</f>
        <v>0</v>
      </c>
    </row>
    <row r="69" customFormat="false" ht="15" hidden="false" customHeight="true" outlineLevel="0" collapsed="false">
      <c r="A69" s="8" t="s">
        <v>74</v>
      </c>
      <c r="B69" s="31" t="n">
        <f aca="false">SUMIFS(Détail!$E:$E,Détail!$D:$D,"FRESHMART",Détail!$A:$A,"&gt;="&amp;DATE(2025,10,1),Détail!$A:$A,"&lt;"&amp;EDATE(DATE(2025,10,1),1))</f>
        <v>-88.72</v>
      </c>
    </row>
    <row r="70" customFormat="false" ht="15" hidden="false" customHeight="true" outlineLevel="0" collapsed="false">
      <c r="A70" s="8" t="s">
        <v>76</v>
      </c>
      <c r="B70" s="31" t="n">
        <f aca="false">SUMIFS(Détail!$E:$E,Détail!$D:$D,"FRESHMART",Détail!$A:$A,"&gt;="&amp;DATE(2025,12,1),Détail!$A:$A,"&lt;"&amp;EDATE(DATE(2025,12,1),1))</f>
        <v>0</v>
      </c>
    </row>
    <row r="73" customFormat="false" ht="15" hidden="false" customHeight="true" outlineLevel="0" collapsed="false">
      <c r="A73" s="29" t="s">
        <v>249</v>
      </c>
      <c r="B73" s="29"/>
      <c r="C73" s="30" t="n">
        <f aca="false">SUMIF(Détail!$D:$D,"MAXICOFFEE GC",Détail!$E:$E)</f>
        <v>-11.1</v>
      </c>
    </row>
    <row r="74" customFormat="false" ht="15" hidden="false" customHeight="true" outlineLevel="0" collapsed="false">
      <c r="A74" s="24" t="s">
        <v>63</v>
      </c>
      <c r="B74" s="24" t="s">
        <v>64</v>
      </c>
    </row>
    <row r="75" customFormat="false" ht="15" hidden="false" customHeight="true" outlineLevel="0" collapsed="false">
      <c r="A75" s="8" t="s">
        <v>65</v>
      </c>
      <c r="B75" s="31" t="n">
        <f aca="false">SUMIFS(Détail!$E:$E,Détail!$D:$D,"MAXICOFFEE GC",Détail!$A:$A,"&gt;="&amp;DATE(2025,1,1),Détail!$A:$A,"&lt;"&amp;EDATE(DATE(2025,1,1),1))</f>
        <v>0</v>
      </c>
    </row>
    <row r="76" customFormat="false" ht="15" hidden="false" customHeight="true" outlineLevel="0" collapsed="false">
      <c r="A76" s="8" t="s">
        <v>66</v>
      </c>
      <c r="B76" s="31" t="n">
        <f aca="false">SUMIFS(Détail!$E:$E,Détail!$D:$D,"MAXICOFFEE GC",Détail!$A:$A,"&gt;="&amp;DATE(2025,2,1),Détail!$A:$A,"&lt;"&amp;EDATE(DATE(2025,2,1),1))</f>
        <v>0</v>
      </c>
    </row>
    <row r="77" customFormat="false" ht="15" hidden="false" customHeight="true" outlineLevel="0" collapsed="false">
      <c r="A77" s="8" t="s">
        <v>67</v>
      </c>
      <c r="B77" s="31" t="n">
        <f aca="false">SUMIFS(Détail!$E:$E,Détail!$D:$D,"MAXICOFFEE GC",Détail!$A:$A,"&gt;="&amp;DATE(2025,3,1),Détail!$A:$A,"&lt;"&amp;EDATE(DATE(2025,3,1),1))</f>
        <v>0</v>
      </c>
    </row>
    <row r="78" customFormat="false" ht="15" hidden="false" customHeight="true" outlineLevel="0" collapsed="false">
      <c r="A78" s="8" t="s">
        <v>68</v>
      </c>
      <c r="B78" s="31" t="n">
        <f aca="false">SUMIFS(Détail!$E:$E,Détail!$D:$D,"MAXICOFFEE GC",Détail!$A:$A,"&gt;="&amp;DATE(2025,4,1),Détail!$A:$A,"&lt;"&amp;EDATE(DATE(2025,4,1),1))</f>
        <v>0</v>
      </c>
    </row>
    <row r="79" customFormat="false" ht="15" hidden="false" customHeight="true" outlineLevel="0" collapsed="false">
      <c r="A79" s="8" t="s">
        <v>69</v>
      </c>
      <c r="B79" s="31" t="n">
        <f aca="false">SUMIFS(Détail!$E:$E,Détail!$D:$D,"MAXICOFFEE GC",Détail!$A:$A,"&gt;="&amp;DATE(2025,5,1),Détail!$A:$A,"&lt;"&amp;EDATE(DATE(2025,5,1),1))</f>
        <v>0</v>
      </c>
    </row>
    <row r="80" customFormat="false" ht="15" hidden="false" customHeight="true" outlineLevel="0" collapsed="false">
      <c r="A80" s="8" t="s">
        <v>70</v>
      </c>
      <c r="B80" s="31" t="n">
        <f aca="false">SUMIFS(Détail!$E:$E,Détail!$D:$D,"MAXICOFFEE GC",Détail!$A:$A,"&gt;="&amp;DATE(2025,6,1),Détail!$A:$A,"&lt;"&amp;EDATE(DATE(2025,6,1),1))</f>
        <v>0</v>
      </c>
    </row>
    <row r="81" customFormat="false" ht="15" hidden="false" customHeight="true" outlineLevel="0" collapsed="false">
      <c r="A81" s="8" t="s">
        <v>71</v>
      </c>
      <c r="B81" s="31" t="n">
        <f aca="false">SUMIFS(Détail!$E:$E,Détail!$D:$D,"MAXICOFFEE GC",Détail!$A:$A,"&gt;="&amp;DATE(2025,7,1),Détail!$A:$A,"&lt;"&amp;EDATE(DATE(2025,7,1),1))</f>
        <v>-8</v>
      </c>
    </row>
    <row r="82" customFormat="false" ht="15" hidden="false" customHeight="true" outlineLevel="0" collapsed="false">
      <c r="A82" s="8" t="s">
        <v>73</v>
      </c>
      <c r="B82" s="31" t="n">
        <f aca="false">SUMIFS(Détail!$E:$E,Détail!$D:$D,"MAXICOFFEE GC",Détail!$A:$A,"&gt;="&amp;DATE(2025,9,1),Détail!$A:$A,"&lt;"&amp;EDATE(DATE(2025,9,1),1))</f>
        <v>0</v>
      </c>
    </row>
    <row r="83" customFormat="false" ht="15" hidden="false" customHeight="true" outlineLevel="0" collapsed="false">
      <c r="A83" s="8" t="s">
        <v>74</v>
      </c>
      <c r="B83" s="31" t="n">
        <f aca="false">SUMIFS(Détail!$E:$E,Détail!$D:$D,"MAXICOFFEE GC",Détail!$A:$A,"&gt;="&amp;DATE(2025,10,1),Détail!$A:$A,"&lt;"&amp;EDATE(DATE(2025,10,1),1))</f>
        <v>0</v>
      </c>
    </row>
    <row r="84" customFormat="false" ht="15" hidden="false" customHeight="true" outlineLevel="0" collapsed="false">
      <c r="A84" s="8" t="s">
        <v>76</v>
      </c>
      <c r="B84" s="31" t="n">
        <f aca="false">SUMIFS(Détail!$E:$E,Détail!$D:$D,"MAXICOFFEE GC",Détail!$A:$A,"&gt;="&amp;DATE(2025,12,1),Détail!$A:$A,"&lt;"&amp;EDATE(DATE(2025,12,1),1))</f>
        <v>-3.1</v>
      </c>
    </row>
    <row r="87" customFormat="false" ht="15" hidden="false" customHeight="true" outlineLevel="0" collapsed="false">
      <c r="A87" s="29" t="s">
        <v>250</v>
      </c>
      <c r="B87" s="29"/>
      <c r="C87" s="30" t="n">
        <f aca="false">SUMIF(Détail!$D:$D,"INTERMARCHE CHA",Détail!$E:$E)</f>
        <v>-11.06</v>
      </c>
    </row>
    <row r="88" customFormat="false" ht="15" hidden="false" customHeight="true" outlineLevel="0" collapsed="false">
      <c r="A88" s="24" t="s">
        <v>63</v>
      </c>
      <c r="B88" s="24" t="s">
        <v>64</v>
      </c>
    </row>
    <row r="89" customFormat="false" ht="15" hidden="false" customHeight="true" outlineLevel="0" collapsed="false">
      <c r="A89" s="8" t="s">
        <v>65</v>
      </c>
      <c r="B89" s="31" t="n">
        <f aca="false">SUMIFS(Détail!$E:$E,Détail!$D:$D,"INTERMARCHE CHA",Détail!$A:$A,"&gt;="&amp;DATE(2025,1,1),Détail!$A:$A,"&lt;"&amp;EDATE(DATE(2025,1,1),1))</f>
        <v>0</v>
      </c>
    </row>
    <row r="90" customFormat="false" ht="15" hidden="false" customHeight="true" outlineLevel="0" collapsed="false">
      <c r="A90" s="8" t="s">
        <v>66</v>
      </c>
      <c r="B90" s="31" t="n">
        <f aca="false">SUMIFS(Détail!$E:$E,Détail!$D:$D,"INTERMARCHE CHA",Détail!$A:$A,"&gt;="&amp;DATE(2025,2,1),Détail!$A:$A,"&lt;"&amp;EDATE(DATE(2025,2,1),1))</f>
        <v>-11.06</v>
      </c>
    </row>
    <row r="91" customFormat="false" ht="15" hidden="false" customHeight="true" outlineLevel="0" collapsed="false">
      <c r="A91" s="8" t="s">
        <v>67</v>
      </c>
      <c r="B91" s="31" t="n">
        <f aca="false">SUMIFS(Détail!$E:$E,Détail!$D:$D,"INTERMARCHE CHA",Détail!$A:$A,"&gt;="&amp;DATE(2025,3,1),Détail!$A:$A,"&lt;"&amp;EDATE(DATE(2025,3,1),1))</f>
        <v>0</v>
      </c>
    </row>
    <row r="92" customFormat="false" ht="15" hidden="false" customHeight="true" outlineLevel="0" collapsed="false">
      <c r="A92" s="8" t="s">
        <v>68</v>
      </c>
      <c r="B92" s="31" t="n">
        <f aca="false">SUMIFS(Détail!$E:$E,Détail!$D:$D,"INTERMARCHE CHA",Détail!$A:$A,"&gt;="&amp;DATE(2025,4,1),Détail!$A:$A,"&lt;"&amp;EDATE(DATE(2025,4,1),1))</f>
        <v>0</v>
      </c>
    </row>
    <row r="93" customFormat="false" ht="15" hidden="false" customHeight="true" outlineLevel="0" collapsed="false">
      <c r="A93" s="8" t="s">
        <v>69</v>
      </c>
      <c r="B93" s="31" t="n">
        <f aca="false">SUMIFS(Détail!$E:$E,Détail!$D:$D,"INTERMARCHE CHA",Détail!$A:$A,"&gt;="&amp;DATE(2025,5,1),Détail!$A:$A,"&lt;"&amp;EDATE(DATE(2025,5,1),1))</f>
        <v>0</v>
      </c>
    </row>
    <row r="94" customFormat="false" ht="15" hidden="false" customHeight="true" outlineLevel="0" collapsed="false">
      <c r="A94" s="8" t="s">
        <v>70</v>
      </c>
      <c r="B94" s="31" t="n">
        <f aca="false">SUMIFS(Détail!$E:$E,Détail!$D:$D,"INTERMARCHE CHA",Détail!$A:$A,"&gt;="&amp;DATE(2025,6,1),Détail!$A:$A,"&lt;"&amp;EDATE(DATE(2025,6,1),1))</f>
        <v>0</v>
      </c>
    </row>
    <row r="95" customFormat="false" ht="15" hidden="false" customHeight="true" outlineLevel="0" collapsed="false">
      <c r="A95" s="8" t="s">
        <v>71</v>
      </c>
      <c r="B95" s="31" t="n">
        <f aca="false">SUMIFS(Détail!$E:$E,Détail!$D:$D,"INTERMARCHE CHA",Détail!$A:$A,"&gt;="&amp;DATE(2025,7,1),Détail!$A:$A,"&lt;"&amp;EDATE(DATE(2025,7,1),1))</f>
        <v>0</v>
      </c>
    </row>
    <row r="96" customFormat="false" ht="15" hidden="false" customHeight="true" outlineLevel="0" collapsed="false">
      <c r="A96" s="8" t="s">
        <v>73</v>
      </c>
      <c r="B96" s="31" t="n">
        <f aca="false">SUMIFS(Détail!$E:$E,Détail!$D:$D,"INTERMARCHE CHA",Détail!$A:$A,"&gt;="&amp;DATE(2025,9,1),Détail!$A:$A,"&lt;"&amp;EDATE(DATE(2025,9,1),1))</f>
        <v>0</v>
      </c>
    </row>
    <row r="97" customFormat="false" ht="15" hidden="false" customHeight="true" outlineLevel="0" collapsed="false">
      <c r="A97" s="8" t="s">
        <v>74</v>
      </c>
      <c r="B97" s="31" t="n">
        <f aca="false">SUMIFS(Détail!$E:$E,Détail!$D:$D,"INTERMARCHE CHA",Détail!$A:$A,"&gt;="&amp;DATE(2025,10,1),Détail!$A:$A,"&lt;"&amp;EDATE(DATE(2025,10,1),1))</f>
        <v>0</v>
      </c>
    </row>
    <row r="98" customFormat="false" ht="15" hidden="false" customHeight="true" outlineLevel="0" collapsed="false">
      <c r="A98" s="8" t="s">
        <v>76</v>
      </c>
      <c r="B98" s="31" t="n">
        <f aca="false">SUMIFS(Détail!$E:$E,Détail!$D:$D,"INTERMARCHE CHA",Détail!$A:$A,"&gt;="&amp;DATE(2025,12,1),Détail!$A:$A,"&lt;"&amp;EDATE(DATE(2025,12,1),1))</f>
        <v>0</v>
      </c>
    </row>
    <row r="101" customFormat="false" ht="15" hidden="false" customHeight="true" outlineLevel="0" collapsed="false">
      <c r="A101" s="29" t="s">
        <v>251</v>
      </c>
      <c r="B101" s="29"/>
      <c r="C101" s="30" t="n">
        <f aca="false">SUMIF(Détail!$D:$D,"EPI D OR",Détail!$E:$E)</f>
        <v>-6.3</v>
      </c>
    </row>
    <row r="102" customFormat="false" ht="15" hidden="false" customHeight="true" outlineLevel="0" collapsed="false">
      <c r="A102" s="24" t="s">
        <v>63</v>
      </c>
      <c r="B102" s="24" t="s">
        <v>64</v>
      </c>
    </row>
    <row r="103" customFormat="false" ht="15" hidden="false" customHeight="true" outlineLevel="0" collapsed="false">
      <c r="A103" s="8" t="s">
        <v>65</v>
      </c>
      <c r="B103" s="31" t="n">
        <f aca="false">SUMIFS(Détail!$E:$E,Détail!$D:$D,"EPI D OR",Détail!$A:$A,"&gt;="&amp;DATE(2025,1,1),Détail!$A:$A,"&lt;"&amp;EDATE(DATE(2025,1,1),1))</f>
        <v>0</v>
      </c>
    </row>
    <row r="104" customFormat="false" ht="15" hidden="false" customHeight="true" outlineLevel="0" collapsed="false">
      <c r="A104" s="8" t="s">
        <v>66</v>
      </c>
      <c r="B104" s="31" t="n">
        <f aca="false">SUMIFS(Détail!$E:$E,Détail!$D:$D,"EPI D OR",Détail!$A:$A,"&gt;="&amp;DATE(2025,2,1),Détail!$A:$A,"&lt;"&amp;EDATE(DATE(2025,2,1),1))</f>
        <v>0</v>
      </c>
    </row>
    <row r="105" customFormat="false" ht="15" hidden="false" customHeight="true" outlineLevel="0" collapsed="false">
      <c r="A105" s="8" t="s">
        <v>67</v>
      </c>
      <c r="B105" s="31" t="n">
        <f aca="false">SUMIFS(Détail!$E:$E,Détail!$D:$D,"EPI D OR",Détail!$A:$A,"&gt;="&amp;DATE(2025,3,1),Détail!$A:$A,"&lt;"&amp;EDATE(DATE(2025,3,1),1))</f>
        <v>0</v>
      </c>
    </row>
    <row r="106" customFormat="false" ht="15" hidden="false" customHeight="true" outlineLevel="0" collapsed="false">
      <c r="A106" s="8" t="s">
        <v>68</v>
      </c>
      <c r="B106" s="31" t="n">
        <f aca="false">SUMIFS(Détail!$E:$E,Détail!$D:$D,"EPI D OR",Détail!$A:$A,"&gt;="&amp;DATE(2025,4,1),Détail!$A:$A,"&lt;"&amp;EDATE(DATE(2025,4,1),1))</f>
        <v>0</v>
      </c>
    </row>
    <row r="107" customFormat="false" ht="15" hidden="false" customHeight="true" outlineLevel="0" collapsed="false">
      <c r="A107" s="8" t="s">
        <v>69</v>
      </c>
      <c r="B107" s="31" t="n">
        <f aca="false">SUMIFS(Détail!$E:$E,Détail!$D:$D,"EPI D OR",Détail!$A:$A,"&gt;="&amp;DATE(2025,5,1),Détail!$A:$A,"&lt;"&amp;EDATE(DATE(2025,5,1),1))</f>
        <v>0</v>
      </c>
    </row>
    <row r="108" customFormat="false" ht="15" hidden="false" customHeight="true" outlineLevel="0" collapsed="false">
      <c r="A108" s="8" t="s">
        <v>70</v>
      </c>
      <c r="B108" s="31" t="n">
        <f aca="false">SUMIFS(Détail!$E:$E,Détail!$D:$D,"EPI D OR",Détail!$A:$A,"&gt;="&amp;DATE(2025,6,1),Détail!$A:$A,"&lt;"&amp;EDATE(DATE(2025,6,1),1))</f>
        <v>0</v>
      </c>
    </row>
    <row r="109" customFormat="false" ht="15" hidden="false" customHeight="true" outlineLevel="0" collapsed="false">
      <c r="A109" s="8" t="s">
        <v>71</v>
      </c>
      <c r="B109" s="31" t="n">
        <f aca="false">SUMIFS(Détail!$E:$E,Détail!$D:$D,"EPI D OR",Détail!$A:$A,"&gt;="&amp;DATE(2025,7,1),Détail!$A:$A,"&lt;"&amp;EDATE(DATE(2025,7,1),1))</f>
        <v>0</v>
      </c>
    </row>
    <row r="110" customFormat="false" ht="15" hidden="false" customHeight="true" outlineLevel="0" collapsed="false">
      <c r="A110" s="8" t="s">
        <v>73</v>
      </c>
      <c r="B110" s="31" t="n">
        <f aca="false">SUMIFS(Détail!$E:$E,Détail!$D:$D,"EPI D OR",Détail!$A:$A,"&gt;="&amp;DATE(2025,9,1),Détail!$A:$A,"&lt;"&amp;EDATE(DATE(2025,9,1),1))</f>
        <v>-6.3</v>
      </c>
    </row>
    <row r="111" customFormat="false" ht="15" hidden="false" customHeight="true" outlineLevel="0" collapsed="false">
      <c r="A111" s="8" t="s">
        <v>74</v>
      </c>
      <c r="B111" s="31" t="n">
        <f aca="false">SUMIFS(Détail!$E:$E,Détail!$D:$D,"EPI D OR",Détail!$A:$A,"&gt;="&amp;DATE(2025,10,1),Détail!$A:$A,"&lt;"&amp;EDATE(DATE(2025,10,1),1))</f>
        <v>0</v>
      </c>
    </row>
    <row r="112" customFormat="false" ht="15" hidden="false" customHeight="true" outlineLevel="0" collapsed="false">
      <c r="A112" s="8" t="s">
        <v>76</v>
      </c>
      <c r="B112" s="31" t="n">
        <f aca="false">SUMIFS(Détail!$E:$E,Détail!$D:$D,"EPI D OR",Détail!$A:$A,"&gt;="&amp;DATE(2025,12,1),Détail!$A:$A,"&lt;"&amp;EDATE(DATE(2025,12,1),1))</f>
        <v>0</v>
      </c>
    </row>
    <row r="115" customFormat="false" ht="15" hidden="false" customHeight="true" outlineLevel="0" collapsed="false">
      <c r="A115" s="29" t="s">
        <v>252</v>
      </c>
      <c r="B115" s="29"/>
      <c r="C115" s="30" t="n">
        <f aca="false">SUMIF(Détail!$D:$D,"A G K REFRESHME",Détail!$E:$E)</f>
        <v>-6.46</v>
      </c>
    </row>
    <row r="116" customFormat="false" ht="15" hidden="false" customHeight="true" outlineLevel="0" collapsed="false">
      <c r="A116" s="24" t="s">
        <v>63</v>
      </c>
      <c r="B116" s="24" t="s">
        <v>64</v>
      </c>
    </row>
    <row r="117" customFormat="false" ht="15" hidden="false" customHeight="true" outlineLevel="0" collapsed="false">
      <c r="A117" s="8" t="s">
        <v>65</v>
      </c>
      <c r="B117" s="31" t="n">
        <f aca="false">SUMIFS(Détail!$E:$E,Détail!$D:$D,"A G K REFRESHME",Détail!$A:$A,"&gt;="&amp;DATE(2025,1,1),Détail!$A:$A,"&lt;"&amp;EDATE(DATE(2025,1,1),1))</f>
        <v>0</v>
      </c>
    </row>
    <row r="118" customFormat="false" ht="15" hidden="false" customHeight="true" outlineLevel="0" collapsed="false">
      <c r="A118" s="8" t="s">
        <v>66</v>
      </c>
      <c r="B118" s="31" t="n">
        <f aca="false">SUMIFS(Détail!$E:$E,Détail!$D:$D,"A G K REFRESHME",Détail!$A:$A,"&gt;="&amp;DATE(2025,2,1),Détail!$A:$A,"&lt;"&amp;EDATE(DATE(2025,2,1),1))</f>
        <v>0</v>
      </c>
    </row>
    <row r="119" customFormat="false" ht="15" hidden="false" customHeight="true" outlineLevel="0" collapsed="false">
      <c r="A119" s="8" t="s">
        <v>67</v>
      </c>
      <c r="B119" s="31" t="n">
        <f aca="false">SUMIFS(Détail!$E:$E,Détail!$D:$D,"A G K REFRESHME",Détail!$A:$A,"&gt;="&amp;DATE(2025,3,1),Détail!$A:$A,"&lt;"&amp;EDATE(DATE(2025,3,1),1))</f>
        <v>0</v>
      </c>
    </row>
    <row r="120" customFormat="false" ht="15" hidden="false" customHeight="true" outlineLevel="0" collapsed="false">
      <c r="A120" s="8" t="s">
        <v>68</v>
      </c>
      <c r="B120" s="31" t="n">
        <f aca="false">SUMIFS(Détail!$E:$E,Détail!$D:$D,"A G K REFRESHME",Détail!$A:$A,"&gt;="&amp;DATE(2025,4,1),Détail!$A:$A,"&lt;"&amp;EDATE(DATE(2025,4,1),1))</f>
        <v>0</v>
      </c>
    </row>
    <row r="121" customFormat="false" ht="15" hidden="false" customHeight="true" outlineLevel="0" collapsed="false">
      <c r="A121" s="8" t="s">
        <v>69</v>
      </c>
      <c r="B121" s="31" t="n">
        <f aca="false">SUMIFS(Détail!$E:$E,Détail!$D:$D,"A G K REFRESHME",Détail!$A:$A,"&gt;="&amp;DATE(2025,5,1),Détail!$A:$A,"&lt;"&amp;EDATE(DATE(2025,5,1),1))</f>
        <v>0</v>
      </c>
    </row>
    <row r="122" customFormat="false" ht="15" hidden="false" customHeight="true" outlineLevel="0" collapsed="false">
      <c r="A122" s="8" t="s">
        <v>70</v>
      </c>
      <c r="B122" s="31" t="n">
        <f aca="false">SUMIFS(Détail!$E:$E,Détail!$D:$D,"A G K REFRESHME",Détail!$A:$A,"&gt;="&amp;DATE(2025,6,1),Détail!$A:$A,"&lt;"&amp;EDATE(DATE(2025,6,1),1))</f>
        <v>0</v>
      </c>
    </row>
    <row r="123" customFormat="false" ht="15" hidden="false" customHeight="true" outlineLevel="0" collapsed="false">
      <c r="A123" s="8" t="s">
        <v>71</v>
      </c>
      <c r="B123" s="31" t="n">
        <f aca="false">SUMIFS(Détail!$E:$E,Détail!$D:$D,"A G K REFRESHME",Détail!$A:$A,"&gt;="&amp;DATE(2025,7,1),Détail!$A:$A,"&lt;"&amp;EDATE(DATE(2025,7,1),1))</f>
        <v>0</v>
      </c>
    </row>
    <row r="124" customFormat="false" ht="15" hidden="false" customHeight="true" outlineLevel="0" collapsed="false">
      <c r="A124" s="8" t="s">
        <v>73</v>
      </c>
      <c r="B124" s="31" t="n">
        <f aca="false">SUMIFS(Détail!$E:$E,Détail!$D:$D,"A G K REFRESHME",Détail!$A:$A,"&gt;="&amp;DATE(2025,9,1),Détail!$A:$A,"&lt;"&amp;EDATE(DATE(2025,9,1),1))</f>
        <v>0</v>
      </c>
    </row>
    <row r="125" customFormat="false" ht="15" hidden="false" customHeight="true" outlineLevel="0" collapsed="false">
      <c r="A125" s="8" t="s">
        <v>74</v>
      </c>
      <c r="B125" s="31" t="n">
        <f aca="false">SUMIFS(Détail!$E:$E,Détail!$D:$D,"A G K REFRESHME",Détail!$A:$A,"&gt;="&amp;DATE(2025,10,1),Détail!$A:$A,"&lt;"&amp;EDATE(DATE(2025,10,1),1))</f>
        <v>-6.46</v>
      </c>
    </row>
    <row r="126" customFormat="false" ht="15" hidden="false" customHeight="true" outlineLevel="0" collapsed="false">
      <c r="A126" s="8" t="s">
        <v>76</v>
      </c>
      <c r="B126" s="31" t="n">
        <f aca="false">SUMIFS(Détail!$E:$E,Détail!$D:$D,"A G K REFRESHME",Détail!$A:$A,"&gt;="&amp;DATE(2025,12,1),Détail!$A:$A,"&lt;"&amp;EDATE(DATE(2025,12,1),1))</f>
        <v>0</v>
      </c>
    </row>
  </sheetData>
  <mergeCells count="9">
    <mergeCell ref="A3:B3"/>
    <mergeCell ref="A17:B17"/>
    <mergeCell ref="A31:B31"/>
    <mergeCell ref="A45:B45"/>
    <mergeCell ref="A59:B59"/>
    <mergeCell ref="A73:B73"/>
    <mergeCell ref="A87:B87"/>
    <mergeCell ref="A101:B101"/>
    <mergeCell ref="A115:B1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253</v>
      </c>
    </row>
    <row r="3" customFormat="false" ht="15" hidden="false" customHeight="true" outlineLevel="0" collapsed="false">
      <c r="A3" s="29" t="s">
        <v>254</v>
      </c>
      <c r="B3" s="29"/>
      <c r="C3" s="30" t="n">
        <f aca="false">SUMIF(Détail!$D:$D,"SWISSLIFE ASSURANCE DE BIENS",Détail!$E:$E)</f>
        <v>-870.32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SUMIFS(Détail!$E:$E,Détail!$D:$D,"SWISSLIFE ASSURANCE DE BIENS",Détail!$A:$A,"&gt;="&amp;DATE(2025,1,1),Détail!$A:$A,"&lt;"&amp;EDATE(DATE(2025,1,1),1))</f>
        <v>-67.36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SUMIFS(Détail!$E:$E,Détail!$D:$D,"SWISSLIFE ASSURANCE DE BIENS",Détail!$A:$A,"&gt;="&amp;DATE(2025,2,1),Détail!$A:$A,"&lt;"&amp;EDATE(DATE(2025,2,1),1))</f>
        <v>-67.36</v>
      </c>
    </row>
    <row r="7" customFormat="false" ht="15" hidden="false" customHeight="true" outlineLevel="0" collapsed="false">
      <c r="A7" s="8" t="s">
        <v>67</v>
      </c>
      <c r="B7" s="31" t="n">
        <f aca="false">SUMIFS(Détail!$E:$E,Détail!$D:$D,"SWISSLIFE ASSURANCE DE BIENS",Détail!$A:$A,"&gt;="&amp;DATE(2025,3,1),Détail!$A:$A,"&lt;"&amp;EDATE(DATE(2025,3,1),1))</f>
        <v>-67.36</v>
      </c>
    </row>
    <row r="8" customFormat="false" ht="15" hidden="false" customHeight="true" outlineLevel="0" collapsed="false">
      <c r="A8" s="8" t="s">
        <v>68</v>
      </c>
      <c r="B8" s="31" t="n">
        <f aca="false">SUMIFS(Détail!$E:$E,Détail!$D:$D,"SWISSLIFE ASSURANCE DE BIENS",Détail!$A:$A,"&gt;="&amp;DATE(2025,4,1),Détail!$A:$A,"&lt;"&amp;EDATE(DATE(2025,4,1),1))</f>
        <v>-67.36</v>
      </c>
    </row>
    <row r="9" customFormat="false" ht="15" hidden="false" customHeight="true" outlineLevel="0" collapsed="false">
      <c r="A9" s="8" t="s">
        <v>69</v>
      </c>
      <c r="B9" s="31" t="n">
        <f aca="false">SUMIFS(Détail!$E:$E,Détail!$D:$D,"SWISSLIFE ASSURANCE DE BIENS",Détail!$A:$A,"&gt;="&amp;DATE(2025,5,1),Détail!$A:$A,"&lt;"&amp;EDATE(DATE(2025,5,1),1))</f>
        <v>-67.36</v>
      </c>
    </row>
    <row r="10" customFormat="false" ht="15" hidden="false" customHeight="true" outlineLevel="0" collapsed="false">
      <c r="A10" s="8" t="s">
        <v>70</v>
      </c>
      <c r="B10" s="31" t="n">
        <f aca="false">SUMIFS(Détail!$E:$E,Détail!$D:$D,"SWISSLIFE ASSURANCE DE BIENS",Détail!$A:$A,"&gt;="&amp;DATE(2025,6,1),Détail!$A:$A,"&lt;"&amp;EDATE(DATE(2025,6,1),1))</f>
        <v>-67.36</v>
      </c>
    </row>
    <row r="11" customFormat="false" ht="15" hidden="false" customHeight="true" outlineLevel="0" collapsed="false">
      <c r="A11" s="8" t="s">
        <v>71</v>
      </c>
      <c r="B11" s="31" t="n">
        <f aca="false">SUMIFS(Détail!$E:$E,Détail!$D:$D,"SWISSLIFE ASSURANCE DE BIENS",Détail!$A:$A,"&gt;="&amp;DATE(2025,7,1),Détail!$A:$A,"&lt;"&amp;EDATE(DATE(2025,7,1),1))</f>
        <v>-67.36</v>
      </c>
    </row>
    <row r="12" customFormat="false" ht="15" hidden="false" customHeight="true" outlineLevel="0" collapsed="false">
      <c r="A12" s="8" t="s">
        <v>72</v>
      </c>
      <c r="B12" s="31" t="n">
        <f aca="false">SUMIFS(Détail!$E:$E,Détail!$D:$D,"SWISSLIFE ASSURANCE DE BIENS",Détail!$A:$A,"&gt;="&amp;DATE(2025,8,1),Détail!$A:$A,"&lt;"&amp;EDATE(DATE(2025,8,1),1))</f>
        <v>-84.96</v>
      </c>
    </row>
    <row r="13" customFormat="false" ht="15" hidden="false" customHeight="true" outlineLevel="0" collapsed="false">
      <c r="A13" s="8" t="s">
        <v>73</v>
      </c>
      <c r="B13" s="31" t="n">
        <f aca="false">SUMIFS(Détail!$E:$E,Détail!$D:$D,"SWISSLIFE ASSURANCE DE BIENS",Détail!$A:$A,"&gt;="&amp;DATE(2025,9,1),Détail!$A:$A,"&lt;"&amp;EDATE(DATE(2025,9,1),1))</f>
        <v>-78.46</v>
      </c>
    </row>
    <row r="14" customFormat="false" ht="15" hidden="false" customHeight="true" outlineLevel="0" collapsed="false">
      <c r="A14" s="8" t="s">
        <v>74</v>
      </c>
      <c r="B14" s="31" t="n">
        <f aca="false">SUMIFS(Détail!$E:$E,Détail!$D:$D,"SWISSLIFE ASSURANCE DE BIENS",Détail!$A:$A,"&gt;="&amp;DATE(2025,10,1),Détail!$A:$A,"&lt;"&amp;EDATE(DATE(2025,10,1),1))</f>
        <v>-78.46</v>
      </c>
    </row>
    <row r="15" customFormat="false" ht="15" hidden="false" customHeight="true" outlineLevel="0" collapsed="false">
      <c r="A15" s="8" t="s">
        <v>75</v>
      </c>
      <c r="B15" s="31" t="n">
        <f aca="false">SUMIFS(Détail!$E:$E,Détail!$D:$D,"SWISSLIFE ASSURANCE DE BIENS",Détail!$A:$A,"&gt;="&amp;DATE(2025,11,1),Détail!$A:$A,"&lt;"&amp;EDATE(DATE(2025,11,1),1))</f>
        <v>-78.46</v>
      </c>
    </row>
    <row r="16" customFormat="false" ht="15" hidden="false" customHeight="true" outlineLevel="0" collapsed="false">
      <c r="A16" s="8" t="s">
        <v>76</v>
      </c>
      <c r="B16" s="31" t="n">
        <f aca="false">SUMIFS(Détail!$E:$E,Détail!$D:$D,"SWISSLIFE ASSURANCE DE BIENS",Détail!$A:$A,"&gt;="&amp;DATE(2025,12,1),Détail!$A:$A,"&lt;"&amp;EDATE(DATE(2025,12,1),1))</f>
        <v>-78.46</v>
      </c>
    </row>
  </sheetData>
  <mergeCells count="1"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255</v>
      </c>
    </row>
    <row r="3" customFormat="false" ht="15" hidden="false" customHeight="true" outlineLevel="0" collapsed="false">
      <c r="A3" s="29" t="s">
        <v>256</v>
      </c>
      <c r="B3" s="29"/>
      <c r="C3" s="30" t="n">
        <f aca="false">SUMIF(Détail!$D:$D,"FOMO STAR CAFE",Détail!$E:$E)</f>
        <v>-176.1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65</v>
      </c>
      <c r="B5" s="31" t="n">
        <f aca="false">SUMIFS(Détail!$E:$E,Détail!$D:$D,"FOMO STAR CAFE",Détail!$A:$A,"&gt;="&amp;DATE(2025,1,1),Détail!$A:$A,"&lt;"&amp;EDATE(DATE(2025,1,1),1))</f>
        <v>0</v>
      </c>
    </row>
    <row r="6" customFormat="false" ht="15" hidden="false" customHeight="true" outlineLevel="0" collapsed="false">
      <c r="A6" s="8" t="s">
        <v>66</v>
      </c>
      <c r="B6" s="31" t="n">
        <f aca="false">SUMIFS(Détail!$E:$E,Détail!$D:$D,"FOMO STAR CAFE",Détail!$A:$A,"&gt;="&amp;DATE(2025,2,1),Détail!$A:$A,"&lt;"&amp;EDATE(DATE(2025,2,1),1))</f>
        <v>0</v>
      </c>
    </row>
    <row r="7" customFormat="false" ht="15" hidden="false" customHeight="true" outlineLevel="0" collapsed="false">
      <c r="A7" s="8" t="s">
        <v>69</v>
      </c>
      <c r="B7" s="31" t="n">
        <f aca="false">SUMIFS(Détail!$E:$E,Détail!$D:$D,"FOMO STAR CAFE",Détail!$A:$A,"&gt;="&amp;DATE(2025,5,1),Détail!$A:$A,"&lt;"&amp;EDATE(DATE(2025,5,1),1))</f>
        <v>0</v>
      </c>
    </row>
    <row r="8" customFormat="false" ht="15" hidden="false" customHeight="true" outlineLevel="0" collapsed="false">
      <c r="A8" s="8" t="s">
        <v>70</v>
      </c>
      <c r="B8" s="31" t="n">
        <f aca="false">SUMIFS(Détail!$E:$E,Détail!$D:$D,"FOMO STAR CAFE",Détail!$A:$A,"&gt;="&amp;DATE(2025,6,1),Détail!$A:$A,"&lt;"&amp;EDATE(DATE(2025,6,1),1))</f>
        <v>0</v>
      </c>
    </row>
    <row r="9" customFormat="false" ht="15" hidden="false" customHeight="true" outlineLevel="0" collapsed="false">
      <c r="A9" s="8" t="s">
        <v>71</v>
      </c>
      <c r="B9" s="31" t="n">
        <f aca="false">SUMIFS(Détail!$E:$E,Détail!$D:$D,"FOMO STAR CAFE",Détail!$A:$A,"&gt;="&amp;DATE(2025,7,1),Détail!$A:$A,"&lt;"&amp;EDATE(DATE(2025,7,1),1))</f>
        <v>0</v>
      </c>
    </row>
    <row r="10" customFormat="false" ht="15" hidden="false" customHeight="true" outlineLevel="0" collapsed="false">
      <c r="A10" s="8" t="s">
        <v>72</v>
      </c>
      <c r="B10" s="31" t="n">
        <f aca="false">SUMIFS(Détail!$E:$E,Détail!$D:$D,"FOMO STAR CAFE",Détail!$A:$A,"&gt;="&amp;DATE(2025,8,1),Détail!$A:$A,"&lt;"&amp;EDATE(DATE(2025,8,1),1))</f>
        <v>0</v>
      </c>
    </row>
    <row r="11" customFormat="false" ht="15" hidden="false" customHeight="true" outlineLevel="0" collapsed="false">
      <c r="A11" s="8" t="s">
        <v>73</v>
      </c>
      <c r="B11" s="31" t="n">
        <f aca="false">SUMIFS(Détail!$E:$E,Détail!$D:$D,"FOMO STAR CAFE",Détail!$A:$A,"&gt;="&amp;DATE(2025,9,1),Détail!$A:$A,"&lt;"&amp;EDATE(DATE(2025,9,1),1))</f>
        <v>0</v>
      </c>
    </row>
    <row r="12" customFormat="false" ht="15" hidden="false" customHeight="true" outlineLevel="0" collapsed="false">
      <c r="A12" s="8" t="s">
        <v>74</v>
      </c>
      <c r="B12" s="31" t="n">
        <f aca="false">SUMIFS(Détail!$E:$E,Détail!$D:$D,"FOMO STAR CAFE",Détail!$A:$A,"&gt;="&amp;DATE(2025,10,1),Détail!$A:$A,"&lt;"&amp;EDATE(DATE(2025,10,1),1))</f>
        <v>-176.1</v>
      </c>
    </row>
    <row r="13" customFormat="false" ht="15" hidden="false" customHeight="true" outlineLevel="0" collapsed="false">
      <c r="A13" s="8" t="s">
        <v>75</v>
      </c>
      <c r="B13" s="31" t="n">
        <f aca="false">SUMIFS(Détail!$E:$E,Détail!$D:$D,"FOMO STAR CAFE",Détail!$A:$A,"&gt;="&amp;DATE(2025,11,1),Détail!$A:$A,"&lt;"&amp;EDATE(DATE(2025,11,1),1))</f>
        <v>0</v>
      </c>
    </row>
    <row r="16" customFormat="false" ht="15" hidden="false" customHeight="true" outlineLevel="0" collapsed="false">
      <c r="A16" s="29" t="s">
        <v>257</v>
      </c>
      <c r="B16" s="29"/>
      <c r="C16" s="30" t="n">
        <f aca="false">SUMIF(Détail!$D:$D,"AZURE RESTAURAN",Détail!$E:$E)</f>
        <v>-174.28</v>
      </c>
    </row>
    <row r="17" customFormat="false" ht="15" hidden="false" customHeight="true" outlineLevel="0" collapsed="false">
      <c r="A17" s="24" t="s">
        <v>63</v>
      </c>
      <c r="B17" s="24" t="s">
        <v>64</v>
      </c>
    </row>
    <row r="18" customFormat="false" ht="15" hidden="false" customHeight="true" outlineLevel="0" collapsed="false">
      <c r="A18" s="8" t="s">
        <v>65</v>
      </c>
      <c r="B18" s="31" t="n">
        <f aca="false">SUMIFS(Détail!$E:$E,Détail!$D:$D,"AZURE RESTAURAN",Détail!$A:$A,"&gt;="&amp;DATE(2025,1,1),Détail!$A:$A,"&lt;"&amp;EDATE(DATE(2025,1,1),1))</f>
        <v>0</v>
      </c>
    </row>
    <row r="19" customFormat="false" ht="15" hidden="false" customHeight="true" outlineLevel="0" collapsed="false">
      <c r="A19" s="8" t="s">
        <v>66</v>
      </c>
      <c r="B19" s="31" t="n">
        <f aca="false">SUMIFS(Détail!$E:$E,Détail!$D:$D,"AZURE RESTAURAN",Détail!$A:$A,"&gt;="&amp;DATE(2025,2,1),Détail!$A:$A,"&lt;"&amp;EDATE(DATE(2025,2,1),1))</f>
        <v>0</v>
      </c>
    </row>
    <row r="20" customFormat="false" ht="15" hidden="false" customHeight="true" outlineLevel="0" collapsed="false">
      <c r="A20" s="8" t="s">
        <v>69</v>
      </c>
      <c r="B20" s="31" t="n">
        <f aca="false">SUMIFS(Détail!$E:$E,Détail!$D:$D,"AZURE RESTAURAN",Détail!$A:$A,"&gt;="&amp;DATE(2025,5,1),Détail!$A:$A,"&lt;"&amp;EDATE(DATE(2025,5,1),1))</f>
        <v>0</v>
      </c>
    </row>
    <row r="21" customFormat="false" ht="15" hidden="false" customHeight="true" outlineLevel="0" collapsed="false">
      <c r="A21" s="8" t="s">
        <v>70</v>
      </c>
      <c r="B21" s="31" t="n">
        <f aca="false">SUMIFS(Détail!$E:$E,Détail!$D:$D,"AZURE RESTAURAN",Détail!$A:$A,"&gt;="&amp;DATE(2025,6,1),Détail!$A:$A,"&lt;"&amp;EDATE(DATE(2025,6,1),1))</f>
        <v>0</v>
      </c>
    </row>
    <row r="22" customFormat="false" ht="15" hidden="false" customHeight="true" outlineLevel="0" collapsed="false">
      <c r="A22" s="8" t="s">
        <v>71</v>
      </c>
      <c r="B22" s="31" t="n">
        <f aca="false">SUMIFS(Détail!$E:$E,Détail!$D:$D,"AZURE RESTAURAN",Détail!$A:$A,"&gt;="&amp;DATE(2025,7,1),Détail!$A:$A,"&lt;"&amp;EDATE(DATE(2025,7,1),1))</f>
        <v>0</v>
      </c>
    </row>
    <row r="23" customFormat="false" ht="15" hidden="false" customHeight="true" outlineLevel="0" collapsed="false">
      <c r="A23" s="8" t="s">
        <v>72</v>
      </c>
      <c r="B23" s="31" t="n">
        <f aca="false">SUMIFS(Détail!$E:$E,Détail!$D:$D,"AZURE RESTAURAN",Détail!$A:$A,"&gt;="&amp;DATE(2025,8,1),Détail!$A:$A,"&lt;"&amp;EDATE(DATE(2025,8,1),1))</f>
        <v>0</v>
      </c>
    </row>
    <row r="24" customFormat="false" ht="15" hidden="false" customHeight="true" outlineLevel="0" collapsed="false">
      <c r="A24" s="8" t="s">
        <v>73</v>
      </c>
      <c r="B24" s="31" t="n">
        <f aca="false">SUMIFS(Détail!$E:$E,Détail!$D:$D,"AZURE RESTAURAN",Détail!$A:$A,"&gt;="&amp;DATE(2025,9,1),Détail!$A:$A,"&lt;"&amp;EDATE(DATE(2025,9,1),1))</f>
        <v>0</v>
      </c>
    </row>
    <row r="25" customFormat="false" ht="15" hidden="false" customHeight="true" outlineLevel="0" collapsed="false">
      <c r="A25" s="8" t="s">
        <v>74</v>
      </c>
      <c r="B25" s="31" t="n">
        <f aca="false">SUMIFS(Détail!$E:$E,Détail!$D:$D,"AZURE RESTAURAN",Détail!$A:$A,"&gt;="&amp;DATE(2025,10,1),Détail!$A:$A,"&lt;"&amp;EDATE(DATE(2025,10,1),1))</f>
        <v>0</v>
      </c>
    </row>
    <row r="26" customFormat="false" ht="15" hidden="false" customHeight="true" outlineLevel="0" collapsed="false">
      <c r="A26" s="8" t="s">
        <v>75</v>
      </c>
      <c r="B26" s="31" t="n">
        <f aca="false">SUMIFS(Détail!$E:$E,Détail!$D:$D,"AZURE RESTAURAN",Détail!$A:$A,"&gt;="&amp;DATE(2025,11,1),Détail!$A:$A,"&lt;"&amp;EDATE(DATE(2025,11,1),1))</f>
        <v>-174.28</v>
      </c>
    </row>
    <row r="29" customFormat="false" ht="15" hidden="false" customHeight="true" outlineLevel="0" collapsed="false">
      <c r="A29" s="29" t="s">
        <v>258</v>
      </c>
      <c r="B29" s="29"/>
      <c r="C29" s="30" t="n">
        <f aca="false">SUMIF(Détail!$D:$D,"ILOLI RESTAURAN",Détail!$E:$E)</f>
        <v>-148.37</v>
      </c>
    </row>
    <row r="30" customFormat="false" ht="15" hidden="false" customHeight="true" outlineLevel="0" collapsed="false">
      <c r="A30" s="24" t="s">
        <v>63</v>
      </c>
      <c r="B30" s="24" t="s">
        <v>64</v>
      </c>
    </row>
    <row r="31" customFormat="false" ht="15" hidden="false" customHeight="true" outlineLevel="0" collapsed="false">
      <c r="A31" s="8" t="s">
        <v>65</v>
      </c>
      <c r="B31" s="31" t="n">
        <f aca="false">SUMIFS(Détail!$E:$E,Détail!$D:$D,"ILOLI RESTAURAN",Détail!$A:$A,"&gt;="&amp;DATE(2025,1,1),Détail!$A:$A,"&lt;"&amp;EDATE(DATE(2025,1,1),1))</f>
        <v>0</v>
      </c>
    </row>
    <row r="32" customFormat="false" ht="15" hidden="false" customHeight="true" outlineLevel="0" collapsed="false">
      <c r="A32" s="8" t="s">
        <v>66</v>
      </c>
      <c r="B32" s="31" t="n">
        <f aca="false">SUMIFS(Détail!$E:$E,Détail!$D:$D,"ILOLI RESTAURAN",Détail!$A:$A,"&gt;="&amp;DATE(2025,2,1),Détail!$A:$A,"&lt;"&amp;EDATE(DATE(2025,2,1),1))</f>
        <v>0</v>
      </c>
    </row>
    <row r="33" customFormat="false" ht="15" hidden="false" customHeight="true" outlineLevel="0" collapsed="false">
      <c r="A33" s="8" t="s">
        <v>69</v>
      </c>
      <c r="B33" s="31" t="n">
        <f aca="false">SUMIFS(Détail!$E:$E,Détail!$D:$D,"ILOLI RESTAURAN",Détail!$A:$A,"&gt;="&amp;DATE(2025,5,1),Détail!$A:$A,"&lt;"&amp;EDATE(DATE(2025,5,1),1))</f>
        <v>0</v>
      </c>
    </row>
    <row r="34" customFormat="false" ht="15" hidden="false" customHeight="true" outlineLevel="0" collapsed="false">
      <c r="A34" s="8" t="s">
        <v>70</v>
      </c>
      <c r="B34" s="31" t="n">
        <f aca="false">SUMIFS(Détail!$E:$E,Détail!$D:$D,"ILOLI RESTAURAN",Détail!$A:$A,"&gt;="&amp;DATE(2025,6,1),Détail!$A:$A,"&lt;"&amp;EDATE(DATE(2025,6,1),1))</f>
        <v>0</v>
      </c>
    </row>
    <row r="35" customFormat="false" ht="15" hidden="false" customHeight="true" outlineLevel="0" collapsed="false">
      <c r="A35" s="8" t="s">
        <v>71</v>
      </c>
      <c r="B35" s="31" t="n">
        <f aca="false">SUMIFS(Détail!$E:$E,Détail!$D:$D,"ILOLI RESTAURAN",Détail!$A:$A,"&gt;="&amp;DATE(2025,7,1),Détail!$A:$A,"&lt;"&amp;EDATE(DATE(2025,7,1),1))</f>
        <v>0</v>
      </c>
    </row>
    <row r="36" customFormat="false" ht="15" hidden="false" customHeight="true" outlineLevel="0" collapsed="false">
      <c r="A36" s="8" t="s">
        <v>72</v>
      </c>
      <c r="B36" s="31" t="n">
        <f aca="false">SUMIFS(Détail!$E:$E,Détail!$D:$D,"ILOLI RESTAURAN",Détail!$A:$A,"&gt;="&amp;DATE(2025,8,1),Détail!$A:$A,"&lt;"&amp;EDATE(DATE(2025,8,1),1))</f>
        <v>0</v>
      </c>
    </row>
    <row r="37" customFormat="false" ht="15" hidden="false" customHeight="true" outlineLevel="0" collapsed="false">
      <c r="A37" s="8" t="s">
        <v>73</v>
      </c>
      <c r="B37" s="31" t="n">
        <f aca="false">SUMIFS(Détail!$E:$E,Détail!$D:$D,"ILOLI RESTAURAN",Détail!$A:$A,"&gt;="&amp;DATE(2025,9,1),Détail!$A:$A,"&lt;"&amp;EDATE(DATE(2025,9,1),1))</f>
        <v>0</v>
      </c>
    </row>
    <row r="38" customFormat="false" ht="15" hidden="false" customHeight="true" outlineLevel="0" collapsed="false">
      <c r="A38" s="8" t="s">
        <v>74</v>
      </c>
      <c r="B38" s="31" t="n">
        <f aca="false">SUMIFS(Détail!$E:$E,Détail!$D:$D,"ILOLI RESTAURAN",Détail!$A:$A,"&gt;="&amp;DATE(2025,10,1),Détail!$A:$A,"&lt;"&amp;EDATE(DATE(2025,10,1),1))</f>
        <v>-148.37</v>
      </c>
    </row>
    <row r="39" customFormat="false" ht="15" hidden="false" customHeight="true" outlineLevel="0" collapsed="false">
      <c r="A39" s="8" t="s">
        <v>75</v>
      </c>
      <c r="B39" s="31" t="n">
        <f aca="false">SUMIFS(Détail!$E:$E,Détail!$D:$D,"ILOLI RESTAURAN",Détail!$A:$A,"&gt;="&amp;DATE(2025,11,1),Détail!$A:$A,"&lt;"&amp;EDATE(DATE(2025,11,1),1))</f>
        <v>0</v>
      </c>
    </row>
    <row r="42" customFormat="false" ht="15" hidden="false" customHeight="true" outlineLevel="0" collapsed="false">
      <c r="A42" s="29" t="s">
        <v>259</v>
      </c>
      <c r="B42" s="29"/>
      <c r="C42" s="30" t="n">
        <f aca="false">SUMIF(Détail!$D:$D,"TRIBES CARNIVOR",Détail!$E:$E)</f>
        <v>-145.2</v>
      </c>
    </row>
    <row r="43" customFormat="false" ht="15" hidden="false" customHeight="true" outlineLevel="0" collapsed="false">
      <c r="A43" s="24" t="s">
        <v>63</v>
      </c>
      <c r="B43" s="24" t="s">
        <v>64</v>
      </c>
    </row>
    <row r="44" customFormat="false" ht="15" hidden="false" customHeight="true" outlineLevel="0" collapsed="false">
      <c r="A44" s="8" t="s">
        <v>65</v>
      </c>
      <c r="B44" s="31" t="n">
        <f aca="false">SUMIFS(Détail!$E:$E,Détail!$D:$D,"TRIBES CARNIVOR",Détail!$A:$A,"&gt;="&amp;DATE(2025,1,1),Détail!$A:$A,"&lt;"&amp;EDATE(DATE(2025,1,1),1))</f>
        <v>0</v>
      </c>
    </row>
    <row r="45" customFormat="false" ht="15" hidden="false" customHeight="true" outlineLevel="0" collapsed="false">
      <c r="A45" s="8" t="s">
        <v>66</v>
      </c>
      <c r="B45" s="31" t="n">
        <f aca="false">SUMIFS(Détail!$E:$E,Détail!$D:$D,"TRIBES CARNIVOR",Détail!$A:$A,"&gt;="&amp;DATE(2025,2,1),Détail!$A:$A,"&lt;"&amp;EDATE(DATE(2025,2,1),1))</f>
        <v>0</v>
      </c>
    </row>
    <row r="46" customFormat="false" ht="15" hidden="false" customHeight="true" outlineLevel="0" collapsed="false">
      <c r="A46" s="8" t="s">
        <v>69</v>
      </c>
      <c r="B46" s="31" t="n">
        <f aca="false">SUMIFS(Détail!$E:$E,Détail!$D:$D,"TRIBES CARNIVOR",Détail!$A:$A,"&gt;="&amp;DATE(2025,5,1),Détail!$A:$A,"&lt;"&amp;EDATE(DATE(2025,5,1),1))</f>
        <v>0</v>
      </c>
    </row>
    <row r="47" customFormat="false" ht="15" hidden="false" customHeight="true" outlineLevel="0" collapsed="false">
      <c r="A47" s="8" t="s">
        <v>70</v>
      </c>
      <c r="B47" s="31" t="n">
        <f aca="false">SUMIFS(Détail!$E:$E,Détail!$D:$D,"TRIBES CARNIVOR",Détail!$A:$A,"&gt;="&amp;DATE(2025,6,1),Détail!$A:$A,"&lt;"&amp;EDATE(DATE(2025,6,1),1))</f>
        <v>0</v>
      </c>
    </row>
    <row r="48" customFormat="false" ht="15" hidden="false" customHeight="true" outlineLevel="0" collapsed="false">
      <c r="A48" s="8" t="s">
        <v>71</v>
      </c>
      <c r="B48" s="31" t="n">
        <f aca="false">SUMIFS(Détail!$E:$E,Détail!$D:$D,"TRIBES CARNIVOR",Détail!$A:$A,"&gt;="&amp;DATE(2025,7,1),Détail!$A:$A,"&lt;"&amp;EDATE(DATE(2025,7,1),1))</f>
        <v>0</v>
      </c>
    </row>
    <row r="49" customFormat="false" ht="15" hidden="false" customHeight="true" outlineLevel="0" collapsed="false">
      <c r="A49" s="8" t="s">
        <v>72</v>
      </c>
      <c r="B49" s="31" t="n">
        <f aca="false">SUMIFS(Détail!$E:$E,Détail!$D:$D,"TRIBES CARNIVOR",Détail!$A:$A,"&gt;="&amp;DATE(2025,8,1),Détail!$A:$A,"&lt;"&amp;EDATE(DATE(2025,8,1),1))</f>
        <v>0</v>
      </c>
    </row>
    <row r="50" customFormat="false" ht="15" hidden="false" customHeight="true" outlineLevel="0" collapsed="false">
      <c r="A50" s="8" t="s">
        <v>73</v>
      </c>
      <c r="B50" s="31" t="n">
        <f aca="false">SUMIFS(Détail!$E:$E,Détail!$D:$D,"TRIBES CARNIVOR",Détail!$A:$A,"&gt;="&amp;DATE(2025,9,1),Détail!$A:$A,"&lt;"&amp;EDATE(DATE(2025,9,1),1))</f>
        <v>0</v>
      </c>
    </row>
    <row r="51" customFormat="false" ht="15" hidden="false" customHeight="true" outlineLevel="0" collapsed="false">
      <c r="A51" s="8" t="s">
        <v>74</v>
      </c>
      <c r="B51" s="31" t="n">
        <f aca="false">SUMIFS(Détail!$E:$E,Détail!$D:$D,"TRIBES CARNIVOR",Détail!$A:$A,"&gt;="&amp;DATE(2025,10,1),Détail!$A:$A,"&lt;"&amp;EDATE(DATE(2025,10,1),1))</f>
        <v>-145.2</v>
      </c>
    </row>
    <row r="52" customFormat="false" ht="15" hidden="false" customHeight="true" outlineLevel="0" collapsed="false">
      <c r="A52" s="8" t="s">
        <v>75</v>
      </c>
      <c r="B52" s="31" t="n">
        <f aca="false">SUMIFS(Détail!$E:$E,Détail!$D:$D,"TRIBES CARNIVOR",Détail!$A:$A,"&gt;="&amp;DATE(2025,11,1),Détail!$A:$A,"&lt;"&amp;EDATE(DATE(2025,11,1),1))</f>
        <v>0</v>
      </c>
    </row>
    <row r="55" customFormat="false" ht="15" hidden="false" customHeight="true" outlineLevel="0" collapsed="false">
      <c r="A55" s="29" t="s">
        <v>260</v>
      </c>
      <c r="B55" s="29"/>
      <c r="C55" s="30" t="n">
        <f aca="false">SUMIF(Détail!$D:$D,"MCDONALD'S",Détail!$E:$E)</f>
        <v>-132.16</v>
      </c>
    </row>
    <row r="56" customFormat="false" ht="15" hidden="false" customHeight="true" outlineLevel="0" collapsed="false">
      <c r="A56" s="24" t="s">
        <v>63</v>
      </c>
      <c r="B56" s="24" t="s">
        <v>64</v>
      </c>
    </row>
    <row r="57" customFormat="false" ht="15" hidden="false" customHeight="true" outlineLevel="0" collapsed="false">
      <c r="A57" s="8" t="s">
        <v>65</v>
      </c>
      <c r="B57" s="31" t="n">
        <f aca="false">SUMIFS(Détail!$E:$E,Détail!$D:$D,"MCDONALD'S",Détail!$A:$A,"&gt;="&amp;DATE(2025,1,1),Détail!$A:$A,"&lt;"&amp;EDATE(DATE(2025,1,1),1))</f>
        <v>-25.8</v>
      </c>
    </row>
    <row r="58" customFormat="false" ht="15" hidden="false" customHeight="true" outlineLevel="0" collapsed="false">
      <c r="A58" s="8" t="s">
        <v>66</v>
      </c>
      <c r="B58" s="31" t="n">
        <f aca="false">SUMIFS(Détail!$E:$E,Détail!$D:$D,"MCDONALD'S",Détail!$A:$A,"&gt;="&amp;DATE(2025,2,1),Détail!$A:$A,"&lt;"&amp;EDATE(DATE(2025,2,1),1))</f>
        <v>-35.6</v>
      </c>
    </row>
    <row r="59" customFormat="false" ht="15" hidden="false" customHeight="true" outlineLevel="0" collapsed="false">
      <c r="A59" s="8" t="s">
        <v>69</v>
      </c>
      <c r="B59" s="31" t="n">
        <f aca="false">SUMIFS(Détail!$E:$E,Détail!$D:$D,"MCDONALD'S",Détail!$A:$A,"&gt;="&amp;DATE(2025,5,1),Détail!$A:$A,"&lt;"&amp;EDATE(DATE(2025,5,1),1))</f>
        <v>0</v>
      </c>
    </row>
    <row r="60" customFormat="false" ht="15" hidden="false" customHeight="true" outlineLevel="0" collapsed="false">
      <c r="A60" s="8" t="s">
        <v>70</v>
      </c>
      <c r="B60" s="31" t="n">
        <f aca="false">SUMIFS(Détail!$E:$E,Détail!$D:$D,"MCDONALD'S",Détail!$A:$A,"&gt;="&amp;DATE(2025,6,1),Détail!$A:$A,"&lt;"&amp;EDATE(DATE(2025,6,1),1))</f>
        <v>0</v>
      </c>
    </row>
    <row r="61" customFormat="false" ht="15" hidden="false" customHeight="true" outlineLevel="0" collapsed="false">
      <c r="A61" s="8" t="s">
        <v>71</v>
      </c>
      <c r="B61" s="31" t="n">
        <f aca="false">SUMIFS(Détail!$E:$E,Détail!$D:$D,"MCDONALD'S",Détail!$A:$A,"&gt;="&amp;DATE(2025,7,1),Détail!$A:$A,"&lt;"&amp;EDATE(DATE(2025,7,1),1))</f>
        <v>0</v>
      </c>
    </row>
    <row r="62" customFormat="false" ht="15" hidden="false" customHeight="true" outlineLevel="0" collapsed="false">
      <c r="A62" s="8" t="s">
        <v>72</v>
      </c>
      <c r="B62" s="31" t="n">
        <f aca="false">SUMIFS(Détail!$E:$E,Détail!$D:$D,"MCDONALD'S",Détail!$A:$A,"&gt;="&amp;DATE(2025,8,1),Détail!$A:$A,"&lt;"&amp;EDATE(DATE(2025,8,1),1))</f>
        <v>0</v>
      </c>
    </row>
    <row r="63" customFormat="false" ht="15" hidden="false" customHeight="true" outlineLevel="0" collapsed="false">
      <c r="A63" s="8" t="s">
        <v>73</v>
      </c>
      <c r="B63" s="31" t="n">
        <f aca="false">SUMIFS(Détail!$E:$E,Détail!$D:$D,"MCDONALD'S",Détail!$A:$A,"&gt;="&amp;DATE(2025,9,1),Détail!$A:$A,"&lt;"&amp;EDATE(DATE(2025,9,1),1))</f>
        <v>0</v>
      </c>
    </row>
    <row r="64" customFormat="false" ht="15" hidden="false" customHeight="true" outlineLevel="0" collapsed="false">
      <c r="A64" s="8" t="s">
        <v>74</v>
      </c>
      <c r="B64" s="31" t="n">
        <f aca="false">SUMIFS(Détail!$E:$E,Détail!$D:$D,"MCDONALD'S",Détail!$A:$A,"&gt;="&amp;DATE(2025,10,1),Détail!$A:$A,"&lt;"&amp;EDATE(DATE(2025,10,1),1))</f>
        <v>-70.76</v>
      </c>
    </row>
    <row r="65" customFormat="false" ht="15" hidden="false" customHeight="true" outlineLevel="0" collapsed="false">
      <c r="A65" s="8" t="s">
        <v>75</v>
      </c>
      <c r="B65" s="31" t="n">
        <f aca="false">SUMIFS(Détail!$E:$E,Détail!$D:$D,"MCDONALD'S",Détail!$A:$A,"&gt;="&amp;DATE(2025,11,1),Détail!$A:$A,"&lt;"&amp;EDATE(DATE(2025,11,1),1))</f>
        <v>0</v>
      </c>
    </row>
    <row r="68" customFormat="false" ht="15" hidden="false" customHeight="true" outlineLevel="0" collapsed="false">
      <c r="A68" s="29" t="s">
        <v>261</v>
      </c>
      <c r="B68" s="29"/>
      <c r="C68" s="30" t="n">
        <f aca="false">SUMIF(Détail!$D:$D,"DELIVEROO",Détail!$E:$E)</f>
        <v>-110.92</v>
      </c>
    </row>
    <row r="69" customFormat="false" ht="15" hidden="false" customHeight="true" outlineLevel="0" collapsed="false">
      <c r="A69" s="24" t="s">
        <v>63</v>
      </c>
      <c r="B69" s="24" t="s">
        <v>64</v>
      </c>
    </row>
    <row r="70" customFormat="false" ht="15" hidden="false" customHeight="true" outlineLevel="0" collapsed="false">
      <c r="A70" s="8" t="s">
        <v>65</v>
      </c>
      <c r="B70" s="31" t="n">
        <f aca="false">SUMIFS(Détail!$E:$E,Détail!$D:$D,"DELIVEROO",Détail!$A:$A,"&gt;="&amp;DATE(2025,1,1),Détail!$A:$A,"&lt;"&amp;EDATE(DATE(2025,1,1),1))</f>
        <v>0</v>
      </c>
    </row>
    <row r="71" customFormat="false" ht="15" hidden="false" customHeight="true" outlineLevel="0" collapsed="false">
      <c r="A71" s="8" t="s">
        <v>66</v>
      </c>
      <c r="B71" s="31" t="n">
        <f aca="false">SUMIFS(Détail!$E:$E,Détail!$D:$D,"DELIVEROO",Détail!$A:$A,"&gt;="&amp;DATE(2025,2,1),Détail!$A:$A,"&lt;"&amp;EDATE(DATE(2025,2,1),1))</f>
        <v>0</v>
      </c>
    </row>
    <row r="72" customFormat="false" ht="15" hidden="false" customHeight="true" outlineLevel="0" collapsed="false">
      <c r="A72" s="8" t="s">
        <v>69</v>
      </c>
      <c r="B72" s="31" t="n">
        <f aca="false">SUMIFS(Détail!$E:$E,Détail!$D:$D,"DELIVEROO",Détail!$A:$A,"&gt;="&amp;DATE(2025,5,1),Détail!$A:$A,"&lt;"&amp;EDATE(DATE(2025,5,1),1))</f>
        <v>0</v>
      </c>
    </row>
    <row r="73" customFormat="false" ht="15" hidden="false" customHeight="true" outlineLevel="0" collapsed="false">
      <c r="A73" s="8" t="s">
        <v>70</v>
      </c>
      <c r="B73" s="31" t="n">
        <f aca="false">SUMIFS(Détail!$E:$E,Détail!$D:$D,"DELIVEROO",Détail!$A:$A,"&gt;="&amp;DATE(2025,6,1),Détail!$A:$A,"&lt;"&amp;EDATE(DATE(2025,6,1),1))</f>
        <v>0</v>
      </c>
    </row>
    <row r="74" customFormat="false" ht="15" hidden="false" customHeight="true" outlineLevel="0" collapsed="false">
      <c r="A74" s="8" t="s">
        <v>71</v>
      </c>
      <c r="B74" s="31" t="n">
        <f aca="false">SUMIFS(Détail!$E:$E,Détail!$D:$D,"DELIVEROO",Détail!$A:$A,"&gt;="&amp;DATE(2025,7,1),Détail!$A:$A,"&lt;"&amp;EDATE(DATE(2025,7,1),1))</f>
        <v>-22.57</v>
      </c>
    </row>
    <row r="75" customFormat="false" ht="15" hidden="false" customHeight="true" outlineLevel="0" collapsed="false">
      <c r="A75" s="8" t="s">
        <v>72</v>
      </c>
      <c r="B75" s="31" t="n">
        <f aca="false">SUMIFS(Détail!$E:$E,Détail!$D:$D,"DELIVEROO",Détail!$A:$A,"&gt;="&amp;DATE(2025,8,1),Détail!$A:$A,"&lt;"&amp;EDATE(DATE(2025,8,1),1))</f>
        <v>0</v>
      </c>
    </row>
    <row r="76" customFormat="false" ht="15" hidden="false" customHeight="true" outlineLevel="0" collapsed="false">
      <c r="A76" s="8" t="s">
        <v>73</v>
      </c>
      <c r="B76" s="31" t="n">
        <f aca="false">SUMIFS(Détail!$E:$E,Détail!$D:$D,"DELIVEROO",Détail!$A:$A,"&gt;="&amp;DATE(2025,9,1),Détail!$A:$A,"&lt;"&amp;EDATE(DATE(2025,9,1),1))</f>
        <v>-88.35</v>
      </c>
    </row>
    <row r="77" customFormat="false" ht="15" hidden="false" customHeight="true" outlineLevel="0" collapsed="false">
      <c r="A77" s="8" t="s">
        <v>74</v>
      </c>
      <c r="B77" s="31" t="n">
        <f aca="false">SUMIFS(Détail!$E:$E,Détail!$D:$D,"DELIVEROO",Détail!$A:$A,"&gt;="&amp;DATE(2025,10,1),Détail!$A:$A,"&lt;"&amp;EDATE(DATE(2025,10,1),1))</f>
        <v>0</v>
      </c>
    </row>
    <row r="78" customFormat="false" ht="15" hidden="false" customHeight="true" outlineLevel="0" collapsed="false">
      <c r="A78" s="8" t="s">
        <v>75</v>
      </c>
      <c r="B78" s="31" t="n">
        <f aca="false">SUMIFS(Détail!$E:$E,Détail!$D:$D,"DELIVEROO",Détail!$A:$A,"&gt;="&amp;DATE(2025,11,1),Détail!$A:$A,"&lt;"&amp;EDATE(DATE(2025,11,1),1))</f>
        <v>0</v>
      </c>
    </row>
    <row r="81" customFormat="false" ht="15" hidden="false" customHeight="true" outlineLevel="0" collapsed="false">
      <c r="A81" s="29" t="s">
        <v>262</v>
      </c>
      <c r="B81" s="29"/>
      <c r="C81" s="30" t="n">
        <f aca="false">SUMIF(Détail!$D:$D,"LA TAVERNA",Détail!$E:$E)</f>
        <v>-105.5</v>
      </c>
    </row>
    <row r="82" customFormat="false" ht="15" hidden="false" customHeight="true" outlineLevel="0" collapsed="false">
      <c r="A82" s="24" t="s">
        <v>63</v>
      </c>
      <c r="B82" s="24" t="s">
        <v>64</v>
      </c>
    </row>
    <row r="83" customFormat="false" ht="15" hidden="false" customHeight="true" outlineLevel="0" collapsed="false">
      <c r="A83" s="8" t="s">
        <v>65</v>
      </c>
      <c r="B83" s="31" t="n">
        <f aca="false">SUMIFS(Détail!$E:$E,Détail!$D:$D,"LA TAVERNA",Détail!$A:$A,"&gt;="&amp;DATE(2025,1,1),Détail!$A:$A,"&lt;"&amp;EDATE(DATE(2025,1,1),1))</f>
        <v>-105.5</v>
      </c>
    </row>
    <row r="84" customFormat="false" ht="15" hidden="false" customHeight="true" outlineLevel="0" collapsed="false">
      <c r="A84" s="8" t="s">
        <v>66</v>
      </c>
      <c r="B84" s="31" t="n">
        <f aca="false">SUMIFS(Détail!$E:$E,Détail!$D:$D,"LA TAVERNA",Détail!$A:$A,"&gt;="&amp;DATE(2025,2,1),Détail!$A:$A,"&lt;"&amp;EDATE(DATE(2025,2,1),1))</f>
        <v>0</v>
      </c>
    </row>
    <row r="85" customFormat="false" ht="15" hidden="false" customHeight="true" outlineLevel="0" collapsed="false">
      <c r="A85" s="8" t="s">
        <v>69</v>
      </c>
      <c r="B85" s="31" t="n">
        <f aca="false">SUMIFS(Détail!$E:$E,Détail!$D:$D,"LA TAVERNA",Détail!$A:$A,"&gt;="&amp;DATE(2025,5,1),Détail!$A:$A,"&lt;"&amp;EDATE(DATE(2025,5,1),1))</f>
        <v>0</v>
      </c>
    </row>
    <row r="86" customFormat="false" ht="15" hidden="false" customHeight="true" outlineLevel="0" collapsed="false">
      <c r="A86" s="8" t="s">
        <v>70</v>
      </c>
      <c r="B86" s="31" t="n">
        <f aca="false">SUMIFS(Détail!$E:$E,Détail!$D:$D,"LA TAVERNA",Détail!$A:$A,"&gt;="&amp;DATE(2025,6,1),Détail!$A:$A,"&lt;"&amp;EDATE(DATE(2025,6,1),1))</f>
        <v>0</v>
      </c>
    </row>
    <row r="87" customFormat="false" ht="15" hidden="false" customHeight="true" outlineLevel="0" collapsed="false">
      <c r="A87" s="8" t="s">
        <v>71</v>
      </c>
      <c r="B87" s="31" t="n">
        <f aca="false">SUMIFS(Détail!$E:$E,Détail!$D:$D,"LA TAVERNA",Détail!$A:$A,"&gt;="&amp;DATE(2025,7,1),Détail!$A:$A,"&lt;"&amp;EDATE(DATE(2025,7,1),1))</f>
        <v>0</v>
      </c>
    </row>
    <row r="88" customFormat="false" ht="15" hidden="false" customHeight="true" outlineLevel="0" collapsed="false">
      <c r="A88" s="8" t="s">
        <v>72</v>
      </c>
      <c r="B88" s="31" t="n">
        <f aca="false">SUMIFS(Détail!$E:$E,Détail!$D:$D,"LA TAVERNA",Détail!$A:$A,"&gt;="&amp;DATE(2025,8,1),Détail!$A:$A,"&lt;"&amp;EDATE(DATE(2025,8,1),1))</f>
        <v>0</v>
      </c>
    </row>
    <row r="89" customFormat="false" ht="15" hidden="false" customHeight="true" outlineLevel="0" collapsed="false">
      <c r="A89" s="8" t="s">
        <v>73</v>
      </c>
      <c r="B89" s="31" t="n">
        <f aca="false">SUMIFS(Détail!$E:$E,Détail!$D:$D,"LA TAVERNA",Détail!$A:$A,"&gt;="&amp;DATE(2025,9,1),Détail!$A:$A,"&lt;"&amp;EDATE(DATE(2025,9,1),1))</f>
        <v>0</v>
      </c>
    </row>
    <row r="90" customFormat="false" ht="15" hidden="false" customHeight="true" outlineLevel="0" collapsed="false">
      <c r="A90" s="8" t="s">
        <v>74</v>
      </c>
      <c r="B90" s="31" t="n">
        <f aca="false">SUMIFS(Détail!$E:$E,Détail!$D:$D,"LA TAVERNA",Détail!$A:$A,"&gt;="&amp;DATE(2025,10,1),Détail!$A:$A,"&lt;"&amp;EDATE(DATE(2025,10,1),1))</f>
        <v>0</v>
      </c>
    </row>
    <row r="91" customFormat="false" ht="15" hidden="false" customHeight="true" outlineLevel="0" collapsed="false">
      <c r="A91" s="8" t="s">
        <v>75</v>
      </c>
      <c r="B91" s="31" t="n">
        <f aca="false">SUMIFS(Détail!$E:$E,Détail!$D:$D,"LA TAVERNA",Détail!$A:$A,"&gt;="&amp;DATE(2025,11,1),Détail!$A:$A,"&lt;"&amp;EDATE(DATE(2025,11,1),1))</f>
        <v>0</v>
      </c>
    </row>
    <row r="94" customFormat="false" ht="15" hidden="false" customHeight="true" outlineLevel="0" collapsed="false">
      <c r="A94" s="29" t="s">
        <v>263</v>
      </c>
      <c r="B94" s="29"/>
      <c r="C94" s="30" t="n">
        <f aca="false">SUMIF(Détail!$D:$D,"CAFE DE PARIS R",Détail!$E:$E)</f>
        <v>-104.7</v>
      </c>
    </row>
    <row r="95" customFormat="false" ht="15" hidden="false" customHeight="true" outlineLevel="0" collapsed="false">
      <c r="A95" s="24" t="s">
        <v>63</v>
      </c>
      <c r="B95" s="24" t="s">
        <v>64</v>
      </c>
    </row>
    <row r="96" customFormat="false" ht="15" hidden="false" customHeight="true" outlineLevel="0" collapsed="false">
      <c r="A96" s="8" t="s">
        <v>65</v>
      </c>
      <c r="B96" s="31" t="n">
        <f aca="false">SUMIFS(Détail!$E:$E,Détail!$D:$D,"CAFE DE PARIS R",Détail!$A:$A,"&gt;="&amp;DATE(2025,1,1),Détail!$A:$A,"&lt;"&amp;EDATE(DATE(2025,1,1),1))</f>
        <v>0</v>
      </c>
    </row>
    <row r="97" customFormat="false" ht="15" hidden="false" customHeight="true" outlineLevel="0" collapsed="false">
      <c r="A97" s="8" t="s">
        <v>66</v>
      </c>
      <c r="B97" s="31" t="n">
        <f aca="false">SUMIFS(Détail!$E:$E,Détail!$D:$D,"CAFE DE PARIS R",Détail!$A:$A,"&gt;="&amp;DATE(2025,2,1),Détail!$A:$A,"&lt;"&amp;EDATE(DATE(2025,2,1),1))</f>
        <v>0</v>
      </c>
    </row>
    <row r="98" customFormat="false" ht="15" hidden="false" customHeight="true" outlineLevel="0" collapsed="false">
      <c r="A98" s="8" t="s">
        <v>69</v>
      </c>
      <c r="B98" s="31" t="n">
        <f aca="false">SUMIFS(Détail!$E:$E,Détail!$D:$D,"CAFE DE PARIS R",Détail!$A:$A,"&gt;="&amp;DATE(2025,5,1),Détail!$A:$A,"&lt;"&amp;EDATE(DATE(2025,5,1),1))</f>
        <v>0</v>
      </c>
    </row>
    <row r="99" customFormat="false" ht="15" hidden="false" customHeight="true" outlineLevel="0" collapsed="false">
      <c r="A99" s="8" t="s">
        <v>70</v>
      </c>
      <c r="B99" s="31" t="n">
        <f aca="false">SUMIFS(Détail!$E:$E,Détail!$D:$D,"CAFE DE PARIS R",Détail!$A:$A,"&gt;="&amp;DATE(2025,6,1),Détail!$A:$A,"&lt;"&amp;EDATE(DATE(2025,6,1),1))</f>
        <v>0</v>
      </c>
    </row>
    <row r="100" customFormat="false" ht="15" hidden="false" customHeight="true" outlineLevel="0" collapsed="false">
      <c r="A100" s="8" t="s">
        <v>71</v>
      </c>
      <c r="B100" s="31" t="n">
        <f aca="false">SUMIFS(Détail!$E:$E,Détail!$D:$D,"CAFE DE PARIS R",Détail!$A:$A,"&gt;="&amp;DATE(2025,7,1),Détail!$A:$A,"&lt;"&amp;EDATE(DATE(2025,7,1),1))</f>
        <v>0</v>
      </c>
    </row>
    <row r="101" customFormat="false" ht="15" hidden="false" customHeight="true" outlineLevel="0" collapsed="false">
      <c r="A101" s="8" t="s">
        <v>72</v>
      </c>
      <c r="B101" s="31" t="n">
        <f aca="false">SUMIFS(Détail!$E:$E,Détail!$D:$D,"CAFE DE PARIS R",Détail!$A:$A,"&gt;="&amp;DATE(2025,8,1),Détail!$A:$A,"&lt;"&amp;EDATE(DATE(2025,8,1),1))</f>
        <v>0</v>
      </c>
    </row>
    <row r="102" customFormat="false" ht="15" hidden="false" customHeight="true" outlineLevel="0" collapsed="false">
      <c r="A102" s="8" t="s">
        <v>73</v>
      </c>
      <c r="B102" s="31" t="n">
        <f aca="false">SUMIFS(Détail!$E:$E,Détail!$D:$D,"CAFE DE PARIS R",Détail!$A:$A,"&gt;="&amp;DATE(2025,9,1),Détail!$A:$A,"&lt;"&amp;EDATE(DATE(2025,9,1),1))</f>
        <v>0</v>
      </c>
    </row>
    <row r="103" customFormat="false" ht="15" hidden="false" customHeight="true" outlineLevel="0" collapsed="false">
      <c r="A103" s="8" t="s">
        <v>74</v>
      </c>
      <c r="B103" s="31" t="n">
        <f aca="false">SUMIFS(Détail!$E:$E,Détail!$D:$D,"CAFE DE PARIS R",Détail!$A:$A,"&gt;="&amp;DATE(2025,10,1),Détail!$A:$A,"&lt;"&amp;EDATE(DATE(2025,10,1),1))</f>
        <v>-104.7</v>
      </c>
    </row>
    <row r="104" customFormat="false" ht="15" hidden="false" customHeight="true" outlineLevel="0" collapsed="false">
      <c r="A104" s="8" t="s">
        <v>75</v>
      </c>
      <c r="B104" s="31" t="n">
        <f aca="false">SUMIFS(Détail!$E:$E,Détail!$D:$D,"CAFE DE PARIS R",Détail!$A:$A,"&gt;="&amp;DATE(2025,11,1),Détail!$A:$A,"&lt;"&amp;EDATE(DATE(2025,11,1),1))</f>
        <v>0</v>
      </c>
    </row>
    <row r="107" customFormat="false" ht="15" hidden="false" customHeight="true" outlineLevel="0" collapsed="false">
      <c r="A107" s="29" t="s">
        <v>264</v>
      </c>
      <c r="B107" s="29"/>
      <c r="C107" s="30" t="n">
        <f aca="false">SUMIF(Détail!$D:$D,"YULA LOUNGE",Détail!$E:$E)</f>
        <v>-100.94</v>
      </c>
    </row>
    <row r="108" customFormat="false" ht="15" hidden="false" customHeight="true" outlineLevel="0" collapsed="false">
      <c r="A108" s="24" t="s">
        <v>63</v>
      </c>
      <c r="B108" s="24" t="s">
        <v>64</v>
      </c>
    </row>
    <row r="109" customFormat="false" ht="15" hidden="false" customHeight="true" outlineLevel="0" collapsed="false">
      <c r="A109" s="8" t="s">
        <v>65</v>
      </c>
      <c r="B109" s="31" t="n">
        <f aca="false">SUMIFS(Détail!$E:$E,Détail!$D:$D,"YULA LOUNGE",Détail!$A:$A,"&gt;="&amp;DATE(2025,1,1),Détail!$A:$A,"&lt;"&amp;EDATE(DATE(2025,1,1),1))</f>
        <v>0</v>
      </c>
    </row>
    <row r="110" customFormat="false" ht="15" hidden="false" customHeight="true" outlineLevel="0" collapsed="false">
      <c r="A110" s="8" t="s">
        <v>66</v>
      </c>
      <c r="B110" s="31" t="n">
        <f aca="false">SUMIFS(Détail!$E:$E,Détail!$D:$D,"YULA LOUNGE",Détail!$A:$A,"&gt;="&amp;DATE(2025,2,1),Détail!$A:$A,"&lt;"&amp;EDATE(DATE(2025,2,1),1))</f>
        <v>0</v>
      </c>
    </row>
    <row r="111" customFormat="false" ht="15" hidden="false" customHeight="true" outlineLevel="0" collapsed="false">
      <c r="A111" s="8" t="s">
        <v>69</v>
      </c>
      <c r="B111" s="31" t="n">
        <f aca="false">SUMIFS(Détail!$E:$E,Détail!$D:$D,"YULA LOUNGE",Détail!$A:$A,"&gt;="&amp;DATE(2025,5,1),Détail!$A:$A,"&lt;"&amp;EDATE(DATE(2025,5,1),1))</f>
        <v>0</v>
      </c>
    </row>
    <row r="112" customFormat="false" ht="15" hidden="false" customHeight="true" outlineLevel="0" collapsed="false">
      <c r="A112" s="8" t="s">
        <v>70</v>
      </c>
      <c r="B112" s="31" t="n">
        <f aca="false">SUMIFS(Détail!$E:$E,Détail!$D:$D,"YULA LOUNGE",Détail!$A:$A,"&gt;="&amp;DATE(2025,6,1),Détail!$A:$A,"&lt;"&amp;EDATE(DATE(2025,6,1),1))</f>
        <v>0</v>
      </c>
    </row>
    <row r="113" customFormat="false" ht="15" hidden="false" customHeight="true" outlineLevel="0" collapsed="false">
      <c r="A113" s="8" t="s">
        <v>71</v>
      </c>
      <c r="B113" s="31" t="n">
        <f aca="false">SUMIFS(Détail!$E:$E,Détail!$D:$D,"YULA LOUNGE",Détail!$A:$A,"&gt;="&amp;DATE(2025,7,1),Détail!$A:$A,"&lt;"&amp;EDATE(DATE(2025,7,1),1))</f>
        <v>0</v>
      </c>
    </row>
    <row r="114" customFormat="false" ht="15" hidden="false" customHeight="true" outlineLevel="0" collapsed="false">
      <c r="A114" s="8" t="s">
        <v>72</v>
      </c>
      <c r="B114" s="31" t="n">
        <f aca="false">SUMIFS(Détail!$E:$E,Détail!$D:$D,"YULA LOUNGE",Détail!$A:$A,"&gt;="&amp;DATE(2025,8,1),Détail!$A:$A,"&lt;"&amp;EDATE(DATE(2025,8,1),1))</f>
        <v>0</v>
      </c>
    </row>
    <row r="115" customFormat="false" ht="15" hidden="false" customHeight="true" outlineLevel="0" collapsed="false">
      <c r="A115" s="8" t="s">
        <v>73</v>
      </c>
      <c r="B115" s="31" t="n">
        <f aca="false">SUMIFS(Détail!$E:$E,Détail!$D:$D,"YULA LOUNGE",Détail!$A:$A,"&gt;="&amp;DATE(2025,9,1),Détail!$A:$A,"&lt;"&amp;EDATE(DATE(2025,9,1),1))</f>
        <v>0</v>
      </c>
    </row>
    <row r="116" customFormat="false" ht="15" hidden="false" customHeight="true" outlineLevel="0" collapsed="false">
      <c r="A116" s="8" t="s">
        <v>74</v>
      </c>
      <c r="B116" s="31" t="n">
        <f aca="false">SUMIFS(Détail!$E:$E,Détail!$D:$D,"YULA LOUNGE",Détail!$A:$A,"&gt;="&amp;DATE(2025,10,1),Détail!$A:$A,"&lt;"&amp;EDATE(DATE(2025,10,1),1))</f>
        <v>-100.94</v>
      </c>
    </row>
    <row r="117" customFormat="false" ht="15" hidden="false" customHeight="true" outlineLevel="0" collapsed="false">
      <c r="A117" s="8" t="s">
        <v>75</v>
      </c>
      <c r="B117" s="31" t="n">
        <f aca="false">SUMIFS(Détail!$E:$E,Détail!$D:$D,"YULA LOUNGE",Détail!$A:$A,"&gt;="&amp;DATE(2025,11,1),Détail!$A:$A,"&lt;"&amp;EDATE(DATE(2025,11,1),1))</f>
        <v>0</v>
      </c>
    </row>
    <row r="120" customFormat="false" ht="15" hidden="false" customHeight="true" outlineLevel="0" collapsed="false">
      <c r="A120" s="29" t="s">
        <v>265</v>
      </c>
      <c r="B120" s="29"/>
      <c r="C120" s="30" t="n">
        <f aca="false">SUMIF(Détail!$D:$D,"YOMASA VEMARS",Détail!$E:$E)</f>
        <v>-95</v>
      </c>
    </row>
    <row r="121" customFormat="false" ht="15" hidden="false" customHeight="true" outlineLevel="0" collapsed="false">
      <c r="A121" s="24" t="s">
        <v>63</v>
      </c>
      <c r="B121" s="24" t="s">
        <v>64</v>
      </c>
    </row>
    <row r="122" customFormat="false" ht="15" hidden="false" customHeight="true" outlineLevel="0" collapsed="false">
      <c r="A122" s="8" t="s">
        <v>65</v>
      </c>
      <c r="B122" s="31" t="n">
        <f aca="false">SUMIFS(Détail!$E:$E,Détail!$D:$D,"YOMASA VEMARS",Détail!$A:$A,"&gt;="&amp;DATE(2025,1,1),Détail!$A:$A,"&lt;"&amp;EDATE(DATE(2025,1,1),1))</f>
        <v>0</v>
      </c>
    </row>
    <row r="123" customFormat="false" ht="15" hidden="false" customHeight="true" outlineLevel="0" collapsed="false">
      <c r="A123" s="8" t="s">
        <v>66</v>
      </c>
      <c r="B123" s="31" t="n">
        <f aca="false">SUMIFS(Détail!$E:$E,Détail!$D:$D,"YOMASA VEMARS",Détail!$A:$A,"&gt;="&amp;DATE(2025,2,1),Détail!$A:$A,"&lt;"&amp;EDATE(DATE(2025,2,1),1))</f>
        <v>0</v>
      </c>
    </row>
    <row r="124" customFormat="false" ht="15" hidden="false" customHeight="true" outlineLevel="0" collapsed="false">
      <c r="A124" s="8" t="s">
        <v>69</v>
      </c>
      <c r="B124" s="31" t="n">
        <f aca="false">SUMIFS(Détail!$E:$E,Détail!$D:$D,"YOMASA VEMARS",Détail!$A:$A,"&gt;="&amp;DATE(2025,5,1),Détail!$A:$A,"&lt;"&amp;EDATE(DATE(2025,5,1),1))</f>
        <v>0</v>
      </c>
    </row>
    <row r="125" customFormat="false" ht="15" hidden="false" customHeight="true" outlineLevel="0" collapsed="false">
      <c r="A125" s="8" t="s">
        <v>70</v>
      </c>
      <c r="B125" s="31" t="n">
        <f aca="false">SUMIFS(Détail!$E:$E,Détail!$D:$D,"YOMASA VEMARS",Détail!$A:$A,"&gt;="&amp;DATE(2025,6,1),Détail!$A:$A,"&lt;"&amp;EDATE(DATE(2025,6,1),1))</f>
        <v>0</v>
      </c>
    </row>
    <row r="126" customFormat="false" ht="15" hidden="false" customHeight="true" outlineLevel="0" collapsed="false">
      <c r="A126" s="8" t="s">
        <v>71</v>
      </c>
      <c r="B126" s="31" t="n">
        <f aca="false">SUMIFS(Détail!$E:$E,Détail!$D:$D,"YOMASA VEMARS",Détail!$A:$A,"&gt;="&amp;DATE(2025,7,1),Détail!$A:$A,"&lt;"&amp;EDATE(DATE(2025,7,1),1))</f>
        <v>-95</v>
      </c>
    </row>
    <row r="127" customFormat="false" ht="15" hidden="false" customHeight="true" outlineLevel="0" collapsed="false">
      <c r="A127" s="8" t="s">
        <v>72</v>
      </c>
      <c r="B127" s="31" t="n">
        <f aca="false">SUMIFS(Détail!$E:$E,Détail!$D:$D,"YOMASA VEMARS",Détail!$A:$A,"&gt;="&amp;DATE(2025,8,1),Détail!$A:$A,"&lt;"&amp;EDATE(DATE(2025,8,1),1))</f>
        <v>0</v>
      </c>
    </row>
    <row r="128" customFormat="false" ht="15" hidden="false" customHeight="true" outlineLevel="0" collapsed="false">
      <c r="A128" s="8" t="s">
        <v>73</v>
      </c>
      <c r="B128" s="31" t="n">
        <f aca="false">SUMIFS(Détail!$E:$E,Détail!$D:$D,"YOMASA VEMARS",Détail!$A:$A,"&gt;="&amp;DATE(2025,9,1),Détail!$A:$A,"&lt;"&amp;EDATE(DATE(2025,9,1),1))</f>
        <v>0</v>
      </c>
    </row>
    <row r="129" customFormat="false" ht="15" hidden="false" customHeight="true" outlineLevel="0" collapsed="false">
      <c r="A129" s="8" t="s">
        <v>74</v>
      </c>
      <c r="B129" s="31" t="n">
        <f aca="false">SUMIFS(Détail!$E:$E,Détail!$D:$D,"YOMASA VEMARS",Détail!$A:$A,"&gt;="&amp;DATE(2025,10,1),Détail!$A:$A,"&lt;"&amp;EDATE(DATE(2025,10,1),1))</f>
        <v>0</v>
      </c>
    </row>
    <row r="130" customFormat="false" ht="15" hidden="false" customHeight="true" outlineLevel="0" collapsed="false">
      <c r="A130" s="8" t="s">
        <v>75</v>
      </c>
      <c r="B130" s="31" t="n">
        <f aca="false">SUMIFS(Détail!$E:$E,Détail!$D:$D,"YOMASA VEMARS",Détail!$A:$A,"&gt;="&amp;DATE(2025,11,1),Détail!$A:$A,"&lt;"&amp;EDATE(DATE(2025,11,1),1))</f>
        <v>0</v>
      </c>
    </row>
    <row r="133" customFormat="false" ht="15" hidden="false" customHeight="true" outlineLevel="0" collapsed="false">
      <c r="A133" s="29" t="s">
        <v>266</v>
      </c>
      <c r="B133" s="29"/>
      <c r="C133" s="30" t="n">
        <f aca="false">SUMIF(Détail!$D:$D,"TARDENOIS NORD",Détail!$E:$E)</f>
        <v>-80</v>
      </c>
    </row>
    <row r="134" customFormat="false" ht="15" hidden="false" customHeight="true" outlineLevel="0" collapsed="false">
      <c r="A134" s="24" t="s">
        <v>63</v>
      </c>
      <c r="B134" s="24" t="s">
        <v>64</v>
      </c>
    </row>
    <row r="135" customFormat="false" ht="15" hidden="false" customHeight="true" outlineLevel="0" collapsed="false">
      <c r="A135" s="8" t="s">
        <v>65</v>
      </c>
      <c r="B135" s="31" t="n">
        <f aca="false">SUMIFS(Détail!$E:$E,Détail!$D:$D,"TARDENOIS NORD",Détail!$A:$A,"&gt;="&amp;DATE(2025,1,1),Détail!$A:$A,"&lt;"&amp;EDATE(DATE(2025,1,1),1))</f>
        <v>0</v>
      </c>
    </row>
    <row r="136" customFormat="false" ht="15" hidden="false" customHeight="true" outlineLevel="0" collapsed="false">
      <c r="A136" s="8" t="s">
        <v>66</v>
      </c>
      <c r="B136" s="31" t="n">
        <f aca="false">SUMIFS(Détail!$E:$E,Détail!$D:$D,"TARDENOIS NORD",Détail!$A:$A,"&gt;="&amp;DATE(2025,2,1),Détail!$A:$A,"&lt;"&amp;EDATE(DATE(2025,2,1),1))</f>
        <v>0</v>
      </c>
    </row>
    <row r="137" customFormat="false" ht="15" hidden="false" customHeight="true" outlineLevel="0" collapsed="false">
      <c r="A137" s="8" t="s">
        <v>69</v>
      </c>
      <c r="B137" s="31" t="n">
        <f aca="false">SUMIFS(Détail!$E:$E,Détail!$D:$D,"TARDENOIS NORD",Détail!$A:$A,"&gt;="&amp;DATE(2025,5,1),Détail!$A:$A,"&lt;"&amp;EDATE(DATE(2025,5,1),1))</f>
        <v>-80</v>
      </c>
    </row>
    <row r="138" customFormat="false" ht="15" hidden="false" customHeight="true" outlineLevel="0" collapsed="false">
      <c r="A138" s="8" t="s">
        <v>70</v>
      </c>
      <c r="B138" s="31" t="n">
        <f aca="false">SUMIFS(Détail!$E:$E,Détail!$D:$D,"TARDENOIS NORD",Détail!$A:$A,"&gt;="&amp;DATE(2025,6,1),Détail!$A:$A,"&lt;"&amp;EDATE(DATE(2025,6,1),1))</f>
        <v>0</v>
      </c>
    </row>
    <row r="139" customFormat="false" ht="15" hidden="false" customHeight="true" outlineLevel="0" collapsed="false">
      <c r="A139" s="8" t="s">
        <v>71</v>
      </c>
      <c r="B139" s="31" t="n">
        <f aca="false">SUMIFS(Détail!$E:$E,Détail!$D:$D,"TARDENOIS NORD",Détail!$A:$A,"&gt;="&amp;DATE(2025,7,1),Détail!$A:$A,"&lt;"&amp;EDATE(DATE(2025,7,1),1))</f>
        <v>0</v>
      </c>
    </row>
    <row r="140" customFormat="false" ht="15" hidden="false" customHeight="true" outlineLevel="0" collapsed="false">
      <c r="A140" s="8" t="s">
        <v>72</v>
      </c>
      <c r="B140" s="31" t="n">
        <f aca="false">SUMIFS(Détail!$E:$E,Détail!$D:$D,"TARDENOIS NORD",Détail!$A:$A,"&gt;="&amp;DATE(2025,8,1),Détail!$A:$A,"&lt;"&amp;EDATE(DATE(2025,8,1),1))</f>
        <v>0</v>
      </c>
    </row>
    <row r="141" customFormat="false" ht="15" hidden="false" customHeight="true" outlineLevel="0" collapsed="false">
      <c r="A141" s="8" t="s">
        <v>73</v>
      </c>
      <c r="B141" s="31" t="n">
        <f aca="false">SUMIFS(Détail!$E:$E,Détail!$D:$D,"TARDENOIS NORD",Détail!$A:$A,"&gt;="&amp;DATE(2025,9,1),Détail!$A:$A,"&lt;"&amp;EDATE(DATE(2025,9,1),1))</f>
        <v>0</v>
      </c>
    </row>
    <row r="142" customFormat="false" ht="15" hidden="false" customHeight="true" outlineLevel="0" collapsed="false">
      <c r="A142" s="8" t="s">
        <v>74</v>
      </c>
      <c r="B142" s="31" t="n">
        <f aca="false">SUMIFS(Détail!$E:$E,Détail!$D:$D,"TARDENOIS NORD",Détail!$A:$A,"&gt;="&amp;DATE(2025,10,1),Détail!$A:$A,"&lt;"&amp;EDATE(DATE(2025,10,1),1))</f>
        <v>0</v>
      </c>
    </row>
    <row r="143" customFormat="false" ht="15" hidden="false" customHeight="true" outlineLevel="0" collapsed="false">
      <c r="A143" s="8" t="s">
        <v>75</v>
      </c>
      <c r="B143" s="31" t="n">
        <f aca="false">SUMIFS(Détail!$E:$E,Détail!$D:$D,"TARDENOIS NORD",Détail!$A:$A,"&gt;="&amp;DATE(2025,11,1),Détail!$A:$A,"&lt;"&amp;EDATE(DATE(2025,11,1),1))</f>
        <v>0</v>
      </c>
    </row>
    <row r="146" customFormat="false" ht="15" hidden="false" customHeight="true" outlineLevel="0" collapsed="false">
      <c r="A146" s="29" t="s">
        <v>267</v>
      </c>
      <c r="B146" s="29"/>
      <c r="C146" s="30" t="n">
        <f aca="false">SUMIF(Détail!$D:$D,"TOP GOLF REST",Détail!$E:$E)</f>
        <v>-51.62</v>
      </c>
    </row>
    <row r="147" customFormat="false" ht="15" hidden="false" customHeight="true" outlineLevel="0" collapsed="false">
      <c r="A147" s="24" t="s">
        <v>63</v>
      </c>
      <c r="B147" s="24" t="s">
        <v>64</v>
      </c>
    </row>
    <row r="148" customFormat="false" ht="15" hidden="false" customHeight="true" outlineLevel="0" collapsed="false">
      <c r="A148" s="8" t="s">
        <v>65</v>
      </c>
      <c r="B148" s="31" t="n">
        <f aca="false">SUMIFS(Détail!$E:$E,Détail!$D:$D,"TOP GOLF REST",Détail!$A:$A,"&gt;="&amp;DATE(2025,1,1),Détail!$A:$A,"&lt;"&amp;EDATE(DATE(2025,1,1),1))</f>
        <v>0</v>
      </c>
    </row>
    <row r="149" customFormat="false" ht="15" hidden="false" customHeight="true" outlineLevel="0" collapsed="false">
      <c r="A149" s="8" t="s">
        <v>66</v>
      </c>
      <c r="B149" s="31" t="n">
        <f aca="false">SUMIFS(Détail!$E:$E,Détail!$D:$D,"TOP GOLF REST",Détail!$A:$A,"&gt;="&amp;DATE(2025,2,1),Détail!$A:$A,"&lt;"&amp;EDATE(DATE(2025,2,1),1))</f>
        <v>0</v>
      </c>
    </row>
    <row r="150" customFormat="false" ht="15" hidden="false" customHeight="true" outlineLevel="0" collapsed="false">
      <c r="A150" s="8" t="s">
        <v>69</v>
      </c>
      <c r="B150" s="31" t="n">
        <f aca="false">SUMIFS(Détail!$E:$E,Détail!$D:$D,"TOP GOLF REST",Détail!$A:$A,"&gt;="&amp;DATE(2025,5,1),Détail!$A:$A,"&lt;"&amp;EDATE(DATE(2025,5,1),1))</f>
        <v>0</v>
      </c>
    </row>
    <row r="151" customFormat="false" ht="15" hidden="false" customHeight="true" outlineLevel="0" collapsed="false">
      <c r="A151" s="8" t="s">
        <v>70</v>
      </c>
      <c r="B151" s="31" t="n">
        <f aca="false">SUMIFS(Détail!$E:$E,Détail!$D:$D,"TOP GOLF REST",Détail!$A:$A,"&gt;="&amp;DATE(2025,6,1),Détail!$A:$A,"&lt;"&amp;EDATE(DATE(2025,6,1),1))</f>
        <v>0</v>
      </c>
    </row>
    <row r="152" customFormat="false" ht="15" hidden="false" customHeight="true" outlineLevel="0" collapsed="false">
      <c r="A152" s="8" t="s">
        <v>71</v>
      </c>
      <c r="B152" s="31" t="n">
        <f aca="false">SUMIFS(Détail!$E:$E,Détail!$D:$D,"TOP GOLF REST",Détail!$A:$A,"&gt;="&amp;DATE(2025,7,1),Détail!$A:$A,"&lt;"&amp;EDATE(DATE(2025,7,1),1))</f>
        <v>0</v>
      </c>
    </row>
    <row r="153" customFormat="false" ht="15" hidden="false" customHeight="true" outlineLevel="0" collapsed="false">
      <c r="A153" s="8" t="s">
        <v>72</v>
      </c>
      <c r="B153" s="31" t="n">
        <f aca="false">SUMIFS(Détail!$E:$E,Détail!$D:$D,"TOP GOLF REST",Détail!$A:$A,"&gt;="&amp;DATE(2025,8,1),Détail!$A:$A,"&lt;"&amp;EDATE(DATE(2025,8,1),1))</f>
        <v>0</v>
      </c>
    </row>
    <row r="154" customFormat="false" ht="15" hidden="false" customHeight="true" outlineLevel="0" collapsed="false">
      <c r="A154" s="8" t="s">
        <v>73</v>
      </c>
      <c r="B154" s="31" t="n">
        <f aca="false">SUMIFS(Détail!$E:$E,Détail!$D:$D,"TOP GOLF REST",Détail!$A:$A,"&gt;="&amp;DATE(2025,9,1),Détail!$A:$A,"&lt;"&amp;EDATE(DATE(2025,9,1),1))</f>
        <v>0</v>
      </c>
    </row>
    <row r="155" customFormat="false" ht="15" hidden="false" customHeight="true" outlineLevel="0" collapsed="false">
      <c r="A155" s="8" t="s">
        <v>74</v>
      </c>
      <c r="B155" s="31" t="n">
        <f aca="false">SUMIFS(Détail!$E:$E,Détail!$D:$D,"TOP GOLF REST",Détail!$A:$A,"&gt;="&amp;DATE(2025,10,1),Détail!$A:$A,"&lt;"&amp;EDATE(DATE(2025,10,1),1))</f>
        <v>-51.62</v>
      </c>
    </row>
    <row r="156" customFormat="false" ht="15" hidden="false" customHeight="true" outlineLevel="0" collapsed="false">
      <c r="A156" s="8" t="s">
        <v>75</v>
      </c>
      <c r="B156" s="31" t="n">
        <f aca="false">SUMIFS(Détail!$E:$E,Détail!$D:$D,"TOP GOLF REST",Détail!$A:$A,"&gt;="&amp;DATE(2025,11,1),Détail!$A:$A,"&lt;"&amp;EDATE(DATE(2025,11,1),1))</f>
        <v>0</v>
      </c>
    </row>
    <row r="159" customFormat="false" ht="15" hidden="false" customHeight="true" outlineLevel="0" collapsed="false">
      <c r="A159" s="29" t="s">
        <v>268</v>
      </c>
      <c r="B159" s="29"/>
      <c r="C159" s="30" t="n">
        <f aca="false">SUMIF(Détail!$D:$D,"FIVE GUYS-(BR O",Détail!$E:$E)</f>
        <v>-41.79</v>
      </c>
    </row>
    <row r="160" customFormat="false" ht="15" hidden="false" customHeight="true" outlineLevel="0" collapsed="false">
      <c r="A160" s="24" t="s">
        <v>63</v>
      </c>
      <c r="B160" s="24" t="s">
        <v>64</v>
      </c>
    </row>
    <row r="161" customFormat="false" ht="15" hidden="false" customHeight="true" outlineLevel="0" collapsed="false">
      <c r="A161" s="8" t="s">
        <v>65</v>
      </c>
      <c r="B161" s="31" t="n">
        <f aca="false">SUMIFS(Détail!$E:$E,Détail!$D:$D,"FIVE GUYS-(BR O",Détail!$A:$A,"&gt;="&amp;DATE(2025,1,1),Détail!$A:$A,"&lt;"&amp;EDATE(DATE(2025,1,1),1))</f>
        <v>0</v>
      </c>
    </row>
    <row r="162" customFormat="false" ht="15" hidden="false" customHeight="true" outlineLevel="0" collapsed="false">
      <c r="A162" s="8" t="s">
        <v>66</v>
      </c>
      <c r="B162" s="31" t="n">
        <f aca="false">SUMIFS(Détail!$E:$E,Détail!$D:$D,"FIVE GUYS-(BR O",Détail!$A:$A,"&gt;="&amp;DATE(2025,2,1),Détail!$A:$A,"&lt;"&amp;EDATE(DATE(2025,2,1),1))</f>
        <v>0</v>
      </c>
    </row>
    <row r="163" customFormat="false" ht="15" hidden="false" customHeight="true" outlineLevel="0" collapsed="false">
      <c r="A163" s="8" t="s">
        <v>69</v>
      </c>
      <c r="B163" s="31" t="n">
        <f aca="false">SUMIFS(Détail!$E:$E,Détail!$D:$D,"FIVE GUYS-(BR O",Détail!$A:$A,"&gt;="&amp;DATE(2025,5,1),Détail!$A:$A,"&lt;"&amp;EDATE(DATE(2025,5,1),1))</f>
        <v>0</v>
      </c>
    </row>
    <row r="164" customFormat="false" ht="15" hidden="false" customHeight="true" outlineLevel="0" collapsed="false">
      <c r="A164" s="8" t="s">
        <v>70</v>
      </c>
      <c r="B164" s="31" t="n">
        <f aca="false">SUMIFS(Détail!$E:$E,Détail!$D:$D,"FIVE GUYS-(BR O",Détail!$A:$A,"&gt;="&amp;DATE(2025,6,1),Détail!$A:$A,"&lt;"&amp;EDATE(DATE(2025,6,1),1))</f>
        <v>0</v>
      </c>
    </row>
    <row r="165" customFormat="false" ht="15" hidden="false" customHeight="true" outlineLevel="0" collapsed="false">
      <c r="A165" s="8" t="s">
        <v>71</v>
      </c>
      <c r="B165" s="31" t="n">
        <f aca="false">SUMIFS(Détail!$E:$E,Détail!$D:$D,"FIVE GUYS-(BR O",Détail!$A:$A,"&gt;="&amp;DATE(2025,7,1),Détail!$A:$A,"&lt;"&amp;EDATE(DATE(2025,7,1),1))</f>
        <v>0</v>
      </c>
    </row>
    <row r="166" customFormat="false" ht="15" hidden="false" customHeight="true" outlineLevel="0" collapsed="false">
      <c r="A166" s="8" t="s">
        <v>72</v>
      </c>
      <c r="B166" s="31" t="n">
        <f aca="false">SUMIFS(Détail!$E:$E,Détail!$D:$D,"FIVE GUYS-(BR O",Détail!$A:$A,"&gt;="&amp;DATE(2025,8,1),Détail!$A:$A,"&lt;"&amp;EDATE(DATE(2025,8,1),1))</f>
        <v>0</v>
      </c>
    </row>
    <row r="167" customFormat="false" ht="15" hidden="false" customHeight="true" outlineLevel="0" collapsed="false">
      <c r="A167" s="8" t="s">
        <v>73</v>
      </c>
      <c r="B167" s="31" t="n">
        <f aca="false">SUMIFS(Détail!$E:$E,Détail!$D:$D,"FIVE GUYS-(BR O",Détail!$A:$A,"&gt;="&amp;DATE(2025,9,1),Détail!$A:$A,"&lt;"&amp;EDATE(DATE(2025,9,1),1))</f>
        <v>0</v>
      </c>
    </row>
    <row r="168" customFormat="false" ht="15" hidden="false" customHeight="true" outlineLevel="0" collapsed="false">
      <c r="A168" s="8" t="s">
        <v>74</v>
      </c>
      <c r="B168" s="31" t="n">
        <f aca="false">SUMIFS(Détail!$E:$E,Détail!$D:$D,"FIVE GUYS-(BR O",Détail!$A:$A,"&gt;="&amp;DATE(2025,10,1),Détail!$A:$A,"&lt;"&amp;EDATE(DATE(2025,10,1),1))</f>
        <v>-41.79</v>
      </c>
    </row>
    <row r="169" customFormat="false" ht="15" hidden="false" customHeight="true" outlineLevel="0" collapsed="false">
      <c r="A169" s="8" t="s">
        <v>75</v>
      </c>
      <c r="B169" s="31" t="n">
        <f aca="false">SUMIFS(Détail!$E:$E,Détail!$D:$D,"FIVE GUYS-(BR O",Détail!$A:$A,"&gt;="&amp;DATE(2025,11,1),Détail!$A:$A,"&lt;"&amp;EDATE(DATE(2025,11,1),1))</f>
        <v>0</v>
      </c>
    </row>
    <row r="172" customFormat="false" ht="15" hidden="false" customHeight="true" outlineLevel="0" collapsed="false">
      <c r="A172" s="29" t="s">
        <v>269</v>
      </c>
      <c r="B172" s="29"/>
      <c r="C172" s="30" t="n">
        <f aca="false">SUMIF(Détail!$D:$D,"UMAMI RESTAURAN",Détail!$E:$E)</f>
        <v>-39.37</v>
      </c>
    </row>
    <row r="173" customFormat="false" ht="15" hidden="false" customHeight="true" outlineLevel="0" collapsed="false">
      <c r="A173" s="24" t="s">
        <v>63</v>
      </c>
      <c r="B173" s="24" t="s">
        <v>64</v>
      </c>
    </row>
    <row r="174" customFormat="false" ht="15" hidden="false" customHeight="true" outlineLevel="0" collapsed="false">
      <c r="A174" s="8" t="s">
        <v>65</v>
      </c>
      <c r="B174" s="31" t="n">
        <f aca="false">SUMIFS(Détail!$E:$E,Détail!$D:$D,"UMAMI RESTAURAN",Détail!$A:$A,"&gt;="&amp;DATE(2025,1,1),Détail!$A:$A,"&lt;"&amp;EDATE(DATE(2025,1,1),1))</f>
        <v>0</v>
      </c>
    </row>
    <row r="175" customFormat="false" ht="15" hidden="false" customHeight="true" outlineLevel="0" collapsed="false">
      <c r="A175" s="8" t="s">
        <v>66</v>
      </c>
      <c r="B175" s="31" t="n">
        <f aca="false">SUMIFS(Détail!$E:$E,Détail!$D:$D,"UMAMI RESTAURAN",Détail!$A:$A,"&gt;="&amp;DATE(2025,2,1),Détail!$A:$A,"&lt;"&amp;EDATE(DATE(2025,2,1),1))</f>
        <v>0</v>
      </c>
    </row>
    <row r="176" customFormat="false" ht="15" hidden="false" customHeight="true" outlineLevel="0" collapsed="false">
      <c r="A176" s="8" t="s">
        <v>69</v>
      </c>
      <c r="B176" s="31" t="n">
        <f aca="false">SUMIFS(Détail!$E:$E,Détail!$D:$D,"UMAMI RESTAURAN",Détail!$A:$A,"&gt;="&amp;DATE(2025,5,1),Détail!$A:$A,"&lt;"&amp;EDATE(DATE(2025,5,1),1))</f>
        <v>0</v>
      </c>
    </row>
    <row r="177" customFormat="false" ht="15" hidden="false" customHeight="true" outlineLevel="0" collapsed="false">
      <c r="A177" s="8" t="s">
        <v>70</v>
      </c>
      <c r="B177" s="31" t="n">
        <f aca="false">SUMIFS(Détail!$E:$E,Détail!$D:$D,"UMAMI RESTAURAN",Détail!$A:$A,"&gt;="&amp;DATE(2025,6,1),Détail!$A:$A,"&lt;"&amp;EDATE(DATE(2025,6,1),1))</f>
        <v>0</v>
      </c>
    </row>
    <row r="178" customFormat="false" ht="15" hidden="false" customHeight="true" outlineLevel="0" collapsed="false">
      <c r="A178" s="8" t="s">
        <v>71</v>
      </c>
      <c r="B178" s="31" t="n">
        <f aca="false">SUMIFS(Détail!$E:$E,Détail!$D:$D,"UMAMI RESTAURAN",Détail!$A:$A,"&gt;="&amp;DATE(2025,7,1),Détail!$A:$A,"&lt;"&amp;EDATE(DATE(2025,7,1),1))</f>
        <v>0</v>
      </c>
    </row>
    <row r="179" customFormat="false" ht="15" hidden="false" customHeight="true" outlineLevel="0" collapsed="false">
      <c r="A179" s="8" t="s">
        <v>72</v>
      </c>
      <c r="B179" s="31" t="n">
        <f aca="false">SUMIFS(Détail!$E:$E,Détail!$D:$D,"UMAMI RESTAURAN",Détail!$A:$A,"&gt;="&amp;DATE(2025,8,1),Détail!$A:$A,"&lt;"&amp;EDATE(DATE(2025,8,1),1))</f>
        <v>0</v>
      </c>
    </row>
    <row r="180" customFormat="false" ht="15" hidden="false" customHeight="true" outlineLevel="0" collapsed="false">
      <c r="A180" s="8" t="s">
        <v>73</v>
      </c>
      <c r="B180" s="31" t="n">
        <f aca="false">SUMIFS(Détail!$E:$E,Détail!$D:$D,"UMAMI RESTAURAN",Détail!$A:$A,"&gt;="&amp;DATE(2025,9,1),Détail!$A:$A,"&lt;"&amp;EDATE(DATE(2025,9,1),1))</f>
        <v>0</v>
      </c>
    </row>
    <row r="181" customFormat="false" ht="15" hidden="false" customHeight="true" outlineLevel="0" collapsed="false">
      <c r="A181" s="8" t="s">
        <v>74</v>
      </c>
      <c r="B181" s="31" t="n">
        <f aca="false">SUMIFS(Détail!$E:$E,Détail!$D:$D,"UMAMI RESTAURAN",Détail!$A:$A,"&gt;="&amp;DATE(2025,10,1),Détail!$A:$A,"&lt;"&amp;EDATE(DATE(2025,10,1),1))</f>
        <v>-39.37</v>
      </c>
    </row>
    <row r="182" customFormat="false" ht="15" hidden="false" customHeight="true" outlineLevel="0" collapsed="false">
      <c r="A182" s="8" t="s">
        <v>75</v>
      </c>
      <c r="B182" s="31" t="n">
        <f aca="false">SUMIFS(Détail!$E:$E,Détail!$D:$D,"UMAMI RESTAURAN",Détail!$A:$A,"&gt;="&amp;DATE(2025,11,1),Détail!$A:$A,"&lt;"&amp;EDATE(DATE(2025,11,1),1))</f>
        <v>0</v>
      </c>
    </row>
    <row r="185" customFormat="false" ht="15" hidden="false" customHeight="true" outlineLevel="0" collapsed="false">
      <c r="A185" s="29" t="s">
        <v>270</v>
      </c>
      <c r="B185" s="29"/>
      <c r="C185" s="30" t="n">
        <f aca="false">SUMIF(Détail!$D:$D,"786 CHAMPIGNY S",Détail!$E:$E)</f>
        <v>-32.3</v>
      </c>
    </row>
    <row r="186" customFormat="false" ht="15" hidden="false" customHeight="true" outlineLevel="0" collapsed="false">
      <c r="A186" s="24" t="s">
        <v>63</v>
      </c>
      <c r="B186" s="24" t="s">
        <v>64</v>
      </c>
    </row>
    <row r="187" customFormat="false" ht="15" hidden="false" customHeight="true" outlineLevel="0" collapsed="false">
      <c r="A187" s="8" t="s">
        <v>65</v>
      </c>
      <c r="B187" s="31" t="n">
        <f aca="false">SUMIFS(Détail!$E:$E,Détail!$D:$D,"786 CHAMPIGNY S",Détail!$A:$A,"&gt;="&amp;DATE(2025,1,1),Détail!$A:$A,"&lt;"&amp;EDATE(DATE(2025,1,1),1))</f>
        <v>0</v>
      </c>
    </row>
    <row r="188" customFormat="false" ht="15" hidden="false" customHeight="true" outlineLevel="0" collapsed="false">
      <c r="A188" s="8" t="s">
        <v>66</v>
      </c>
      <c r="B188" s="31" t="n">
        <f aca="false">SUMIFS(Détail!$E:$E,Détail!$D:$D,"786 CHAMPIGNY S",Détail!$A:$A,"&gt;="&amp;DATE(2025,2,1),Détail!$A:$A,"&lt;"&amp;EDATE(DATE(2025,2,1),1))</f>
        <v>0</v>
      </c>
    </row>
    <row r="189" customFormat="false" ht="15" hidden="false" customHeight="true" outlineLevel="0" collapsed="false">
      <c r="A189" s="8" t="s">
        <v>69</v>
      </c>
      <c r="B189" s="31" t="n">
        <f aca="false">SUMIFS(Détail!$E:$E,Détail!$D:$D,"786 CHAMPIGNY S",Détail!$A:$A,"&gt;="&amp;DATE(2025,5,1),Détail!$A:$A,"&lt;"&amp;EDATE(DATE(2025,5,1),1))</f>
        <v>0</v>
      </c>
    </row>
    <row r="190" customFormat="false" ht="15" hidden="false" customHeight="true" outlineLevel="0" collapsed="false">
      <c r="A190" s="8" t="s">
        <v>70</v>
      </c>
      <c r="B190" s="31" t="n">
        <f aca="false">SUMIFS(Détail!$E:$E,Détail!$D:$D,"786 CHAMPIGNY S",Détail!$A:$A,"&gt;="&amp;DATE(2025,6,1),Détail!$A:$A,"&lt;"&amp;EDATE(DATE(2025,6,1),1))</f>
        <v>0</v>
      </c>
    </row>
    <row r="191" customFormat="false" ht="15" hidden="false" customHeight="true" outlineLevel="0" collapsed="false">
      <c r="A191" s="8" t="s">
        <v>71</v>
      </c>
      <c r="B191" s="31" t="n">
        <f aca="false">SUMIFS(Détail!$E:$E,Détail!$D:$D,"786 CHAMPIGNY S",Détail!$A:$A,"&gt;="&amp;DATE(2025,7,1),Détail!$A:$A,"&lt;"&amp;EDATE(DATE(2025,7,1),1))</f>
        <v>0</v>
      </c>
    </row>
    <row r="192" customFormat="false" ht="15" hidden="false" customHeight="true" outlineLevel="0" collapsed="false">
      <c r="A192" s="8" t="s">
        <v>72</v>
      </c>
      <c r="B192" s="31" t="n">
        <f aca="false">SUMIFS(Détail!$E:$E,Détail!$D:$D,"786 CHAMPIGNY S",Détail!$A:$A,"&gt;="&amp;DATE(2025,8,1),Détail!$A:$A,"&lt;"&amp;EDATE(DATE(2025,8,1),1))</f>
        <v>0</v>
      </c>
    </row>
    <row r="193" customFormat="false" ht="15" hidden="false" customHeight="true" outlineLevel="0" collapsed="false">
      <c r="A193" s="8" t="s">
        <v>73</v>
      </c>
      <c r="B193" s="31" t="n">
        <f aca="false">SUMIFS(Détail!$E:$E,Détail!$D:$D,"786 CHAMPIGNY S",Détail!$A:$A,"&gt;="&amp;DATE(2025,9,1),Détail!$A:$A,"&lt;"&amp;EDATE(DATE(2025,9,1),1))</f>
        <v>-32.3</v>
      </c>
    </row>
    <row r="194" customFormat="false" ht="15" hidden="false" customHeight="true" outlineLevel="0" collapsed="false">
      <c r="A194" s="8" t="s">
        <v>74</v>
      </c>
      <c r="B194" s="31" t="n">
        <f aca="false">SUMIFS(Détail!$E:$E,Détail!$D:$D,"786 CHAMPIGNY S",Détail!$A:$A,"&gt;="&amp;DATE(2025,10,1),Détail!$A:$A,"&lt;"&amp;EDATE(DATE(2025,10,1),1))</f>
        <v>0</v>
      </c>
    </row>
    <row r="195" customFormat="false" ht="15" hidden="false" customHeight="true" outlineLevel="0" collapsed="false">
      <c r="A195" s="8" t="s">
        <v>75</v>
      </c>
      <c r="B195" s="31" t="n">
        <f aca="false">SUMIFS(Détail!$E:$E,Détail!$D:$D,"786 CHAMPIGNY S",Détail!$A:$A,"&gt;="&amp;DATE(2025,11,1),Détail!$A:$A,"&lt;"&amp;EDATE(DATE(2025,11,1),1))</f>
        <v>0</v>
      </c>
    </row>
    <row r="198" customFormat="false" ht="15" hidden="false" customHeight="true" outlineLevel="0" collapsed="false">
      <c r="A198" s="29" t="s">
        <v>271</v>
      </c>
      <c r="B198" s="29"/>
      <c r="C198" s="30" t="n">
        <f aca="false">SUMIF(Détail!$D:$D,"ILKA COMPTOIR",Détail!$E:$E)</f>
        <v>-31.5</v>
      </c>
    </row>
    <row r="199" customFormat="false" ht="15" hidden="false" customHeight="true" outlineLevel="0" collapsed="false">
      <c r="A199" s="24" t="s">
        <v>63</v>
      </c>
      <c r="B199" s="24" t="s">
        <v>64</v>
      </c>
    </row>
    <row r="200" customFormat="false" ht="15" hidden="false" customHeight="true" outlineLevel="0" collapsed="false">
      <c r="A200" s="8" t="s">
        <v>65</v>
      </c>
      <c r="B200" s="31" t="n">
        <f aca="false">SUMIFS(Détail!$E:$E,Détail!$D:$D,"ILKA COMPTOIR",Détail!$A:$A,"&gt;="&amp;DATE(2025,1,1),Détail!$A:$A,"&lt;"&amp;EDATE(DATE(2025,1,1),1))</f>
        <v>0</v>
      </c>
    </row>
    <row r="201" customFormat="false" ht="15" hidden="false" customHeight="true" outlineLevel="0" collapsed="false">
      <c r="A201" s="8" t="s">
        <v>66</v>
      </c>
      <c r="B201" s="31" t="n">
        <f aca="false">SUMIFS(Détail!$E:$E,Détail!$D:$D,"ILKA COMPTOIR",Détail!$A:$A,"&gt;="&amp;DATE(2025,2,1),Détail!$A:$A,"&lt;"&amp;EDATE(DATE(2025,2,1),1))</f>
        <v>0</v>
      </c>
    </row>
    <row r="202" customFormat="false" ht="15" hidden="false" customHeight="true" outlineLevel="0" collapsed="false">
      <c r="A202" s="8" t="s">
        <v>69</v>
      </c>
      <c r="B202" s="31" t="n">
        <f aca="false">SUMIFS(Détail!$E:$E,Détail!$D:$D,"ILKA COMPTOIR",Détail!$A:$A,"&gt;="&amp;DATE(2025,5,1),Détail!$A:$A,"&lt;"&amp;EDATE(DATE(2025,5,1),1))</f>
        <v>0</v>
      </c>
    </row>
    <row r="203" customFormat="false" ht="15" hidden="false" customHeight="true" outlineLevel="0" collapsed="false">
      <c r="A203" s="8" t="s">
        <v>70</v>
      </c>
      <c r="B203" s="31" t="n">
        <f aca="false">SUMIFS(Détail!$E:$E,Détail!$D:$D,"ILKA COMPTOIR",Détail!$A:$A,"&gt;="&amp;DATE(2025,6,1),Détail!$A:$A,"&lt;"&amp;EDATE(DATE(2025,6,1),1))</f>
        <v>0</v>
      </c>
    </row>
    <row r="204" customFormat="false" ht="15" hidden="false" customHeight="true" outlineLevel="0" collapsed="false">
      <c r="A204" s="8" t="s">
        <v>71</v>
      </c>
      <c r="B204" s="31" t="n">
        <f aca="false">SUMIFS(Détail!$E:$E,Détail!$D:$D,"ILKA COMPTOIR",Détail!$A:$A,"&gt;="&amp;DATE(2025,7,1),Détail!$A:$A,"&lt;"&amp;EDATE(DATE(2025,7,1),1))</f>
        <v>0</v>
      </c>
    </row>
    <row r="205" customFormat="false" ht="15" hidden="false" customHeight="true" outlineLevel="0" collapsed="false">
      <c r="A205" s="8" t="s">
        <v>72</v>
      </c>
      <c r="B205" s="31" t="n">
        <f aca="false">SUMIFS(Détail!$E:$E,Détail!$D:$D,"ILKA COMPTOIR",Détail!$A:$A,"&gt;="&amp;DATE(2025,8,1),Détail!$A:$A,"&lt;"&amp;EDATE(DATE(2025,8,1),1))</f>
        <v>0</v>
      </c>
    </row>
    <row r="206" customFormat="false" ht="15" hidden="false" customHeight="true" outlineLevel="0" collapsed="false">
      <c r="A206" s="8" t="s">
        <v>73</v>
      </c>
      <c r="B206" s="31" t="n">
        <f aca="false">SUMIFS(Détail!$E:$E,Détail!$D:$D,"ILKA COMPTOIR",Détail!$A:$A,"&gt;="&amp;DATE(2025,9,1),Détail!$A:$A,"&lt;"&amp;EDATE(DATE(2025,9,1),1))</f>
        <v>0</v>
      </c>
    </row>
    <row r="207" customFormat="false" ht="15" hidden="false" customHeight="true" outlineLevel="0" collapsed="false">
      <c r="A207" s="8" t="s">
        <v>74</v>
      </c>
      <c r="B207" s="31" t="n">
        <f aca="false">SUMIFS(Détail!$E:$E,Détail!$D:$D,"ILKA COMPTOIR",Détail!$A:$A,"&gt;="&amp;DATE(2025,10,1),Détail!$A:$A,"&lt;"&amp;EDATE(DATE(2025,10,1),1))</f>
        <v>-31.5</v>
      </c>
    </row>
    <row r="208" customFormat="false" ht="15" hidden="false" customHeight="true" outlineLevel="0" collapsed="false">
      <c r="A208" s="8" t="s">
        <v>75</v>
      </c>
      <c r="B208" s="31" t="n">
        <f aca="false">SUMIFS(Détail!$E:$E,Détail!$D:$D,"ILKA COMPTOIR",Détail!$A:$A,"&gt;="&amp;DATE(2025,11,1),Détail!$A:$A,"&lt;"&amp;EDATE(DATE(2025,11,1),1))</f>
        <v>0</v>
      </c>
    </row>
    <row r="211" customFormat="false" ht="15" hidden="false" customHeight="true" outlineLevel="0" collapsed="false">
      <c r="A211" s="29" t="s">
        <v>272</v>
      </c>
      <c r="B211" s="29"/>
      <c r="C211" s="30" t="n">
        <f aca="false">SUMIF(Détail!$D:$D,"MINUTES QUICK S",Détail!$E:$E)</f>
        <v>-17.39</v>
      </c>
    </row>
    <row r="212" customFormat="false" ht="15" hidden="false" customHeight="true" outlineLevel="0" collapsed="false">
      <c r="A212" s="24" t="s">
        <v>63</v>
      </c>
      <c r="B212" s="24" t="s">
        <v>64</v>
      </c>
    </row>
    <row r="213" customFormat="false" ht="15" hidden="false" customHeight="true" outlineLevel="0" collapsed="false">
      <c r="A213" s="8" t="s">
        <v>65</v>
      </c>
      <c r="B213" s="31" t="n">
        <f aca="false">SUMIFS(Détail!$E:$E,Détail!$D:$D,"MINUTES QUICK S",Détail!$A:$A,"&gt;="&amp;DATE(2025,1,1),Détail!$A:$A,"&lt;"&amp;EDATE(DATE(2025,1,1),1))</f>
        <v>0</v>
      </c>
    </row>
    <row r="214" customFormat="false" ht="15" hidden="false" customHeight="true" outlineLevel="0" collapsed="false">
      <c r="A214" s="8" t="s">
        <v>66</v>
      </c>
      <c r="B214" s="31" t="n">
        <f aca="false">SUMIFS(Détail!$E:$E,Détail!$D:$D,"MINUTES QUICK S",Détail!$A:$A,"&gt;="&amp;DATE(2025,2,1),Détail!$A:$A,"&lt;"&amp;EDATE(DATE(2025,2,1),1))</f>
        <v>0</v>
      </c>
    </row>
    <row r="215" customFormat="false" ht="15" hidden="false" customHeight="true" outlineLevel="0" collapsed="false">
      <c r="A215" s="8" t="s">
        <v>69</v>
      </c>
      <c r="B215" s="31" t="n">
        <f aca="false">SUMIFS(Détail!$E:$E,Détail!$D:$D,"MINUTES QUICK S",Détail!$A:$A,"&gt;="&amp;DATE(2025,5,1),Détail!$A:$A,"&lt;"&amp;EDATE(DATE(2025,5,1),1))</f>
        <v>0</v>
      </c>
    </row>
    <row r="216" customFormat="false" ht="15" hidden="false" customHeight="true" outlineLevel="0" collapsed="false">
      <c r="A216" s="8" t="s">
        <v>70</v>
      </c>
      <c r="B216" s="31" t="n">
        <f aca="false">SUMIFS(Détail!$E:$E,Détail!$D:$D,"MINUTES QUICK S",Détail!$A:$A,"&gt;="&amp;DATE(2025,6,1),Détail!$A:$A,"&lt;"&amp;EDATE(DATE(2025,6,1),1))</f>
        <v>0</v>
      </c>
    </row>
    <row r="217" customFormat="false" ht="15" hidden="false" customHeight="true" outlineLevel="0" collapsed="false">
      <c r="A217" s="8" t="s">
        <v>71</v>
      </c>
      <c r="B217" s="31" t="n">
        <f aca="false">SUMIFS(Détail!$E:$E,Détail!$D:$D,"MINUTES QUICK S",Détail!$A:$A,"&gt;="&amp;DATE(2025,7,1),Détail!$A:$A,"&lt;"&amp;EDATE(DATE(2025,7,1),1))</f>
        <v>0</v>
      </c>
    </row>
    <row r="218" customFormat="false" ht="15" hidden="false" customHeight="true" outlineLevel="0" collapsed="false">
      <c r="A218" s="8" t="s">
        <v>72</v>
      </c>
      <c r="B218" s="31" t="n">
        <f aca="false">SUMIFS(Détail!$E:$E,Détail!$D:$D,"MINUTES QUICK S",Détail!$A:$A,"&gt;="&amp;DATE(2025,8,1),Détail!$A:$A,"&lt;"&amp;EDATE(DATE(2025,8,1),1))</f>
        <v>0</v>
      </c>
    </row>
    <row r="219" customFormat="false" ht="15" hidden="false" customHeight="true" outlineLevel="0" collapsed="false">
      <c r="A219" s="8" t="s">
        <v>73</v>
      </c>
      <c r="B219" s="31" t="n">
        <f aca="false">SUMIFS(Détail!$E:$E,Détail!$D:$D,"MINUTES QUICK S",Détail!$A:$A,"&gt;="&amp;DATE(2025,9,1),Détail!$A:$A,"&lt;"&amp;EDATE(DATE(2025,9,1),1))</f>
        <v>0</v>
      </c>
    </row>
    <row r="220" customFormat="false" ht="15" hidden="false" customHeight="true" outlineLevel="0" collapsed="false">
      <c r="A220" s="8" t="s">
        <v>74</v>
      </c>
      <c r="B220" s="31" t="n">
        <f aca="false">SUMIFS(Détail!$E:$E,Détail!$D:$D,"MINUTES QUICK S",Détail!$A:$A,"&gt;="&amp;DATE(2025,10,1),Détail!$A:$A,"&lt;"&amp;EDATE(DATE(2025,10,1),1))</f>
        <v>-17.39</v>
      </c>
    </row>
    <row r="221" customFormat="false" ht="15" hidden="false" customHeight="true" outlineLevel="0" collapsed="false">
      <c r="A221" s="8" t="s">
        <v>75</v>
      </c>
      <c r="B221" s="31" t="n">
        <f aca="false">SUMIFS(Détail!$E:$E,Détail!$D:$D,"MINUTES QUICK S",Détail!$A:$A,"&gt;="&amp;DATE(2025,11,1),Détail!$A:$A,"&lt;"&amp;EDATE(DATE(2025,11,1),1))</f>
        <v>0</v>
      </c>
    </row>
    <row r="224" customFormat="false" ht="15" hidden="false" customHeight="true" outlineLevel="0" collapsed="false">
      <c r="A224" s="29" t="s">
        <v>273</v>
      </c>
      <c r="B224" s="29"/>
      <c r="C224" s="30" t="n">
        <f aca="false">SUMIF(Détail!$D:$D,"QUICK",Détail!$E:$E)</f>
        <v>-16.85</v>
      </c>
    </row>
    <row r="225" customFormat="false" ht="15" hidden="false" customHeight="true" outlineLevel="0" collapsed="false">
      <c r="A225" s="24" t="s">
        <v>63</v>
      </c>
      <c r="B225" s="24" t="s">
        <v>64</v>
      </c>
    </row>
    <row r="226" customFormat="false" ht="15" hidden="false" customHeight="true" outlineLevel="0" collapsed="false">
      <c r="A226" s="8" t="s">
        <v>65</v>
      </c>
      <c r="B226" s="31" t="n">
        <f aca="false">SUMIFS(Détail!$E:$E,Détail!$D:$D,"QUICK",Détail!$A:$A,"&gt;="&amp;DATE(2025,1,1),Détail!$A:$A,"&lt;"&amp;EDATE(DATE(2025,1,1),1))</f>
        <v>-16.85</v>
      </c>
    </row>
    <row r="227" customFormat="false" ht="15" hidden="false" customHeight="true" outlineLevel="0" collapsed="false">
      <c r="A227" s="8" t="s">
        <v>66</v>
      </c>
      <c r="B227" s="31" t="n">
        <f aca="false">SUMIFS(Détail!$E:$E,Détail!$D:$D,"QUICK",Détail!$A:$A,"&gt;="&amp;DATE(2025,2,1),Détail!$A:$A,"&lt;"&amp;EDATE(DATE(2025,2,1),1))</f>
        <v>0</v>
      </c>
    </row>
    <row r="228" customFormat="false" ht="15" hidden="false" customHeight="true" outlineLevel="0" collapsed="false">
      <c r="A228" s="8" t="s">
        <v>69</v>
      </c>
      <c r="B228" s="31" t="n">
        <f aca="false">SUMIFS(Détail!$E:$E,Détail!$D:$D,"QUICK",Détail!$A:$A,"&gt;="&amp;DATE(2025,5,1),Détail!$A:$A,"&lt;"&amp;EDATE(DATE(2025,5,1),1))</f>
        <v>0</v>
      </c>
    </row>
    <row r="229" customFormat="false" ht="15" hidden="false" customHeight="true" outlineLevel="0" collapsed="false">
      <c r="A229" s="8" t="s">
        <v>70</v>
      </c>
      <c r="B229" s="31" t="n">
        <f aca="false">SUMIFS(Détail!$E:$E,Détail!$D:$D,"QUICK",Détail!$A:$A,"&gt;="&amp;DATE(2025,6,1),Détail!$A:$A,"&lt;"&amp;EDATE(DATE(2025,6,1),1))</f>
        <v>0</v>
      </c>
    </row>
    <row r="230" customFormat="false" ht="15" hidden="false" customHeight="true" outlineLevel="0" collapsed="false">
      <c r="A230" s="8" t="s">
        <v>71</v>
      </c>
      <c r="B230" s="31" t="n">
        <f aca="false">SUMIFS(Détail!$E:$E,Détail!$D:$D,"QUICK",Détail!$A:$A,"&gt;="&amp;DATE(2025,7,1),Détail!$A:$A,"&lt;"&amp;EDATE(DATE(2025,7,1),1))</f>
        <v>0</v>
      </c>
    </row>
    <row r="231" customFormat="false" ht="15" hidden="false" customHeight="true" outlineLevel="0" collapsed="false">
      <c r="A231" s="8" t="s">
        <v>72</v>
      </c>
      <c r="B231" s="31" t="n">
        <f aca="false">SUMIFS(Détail!$E:$E,Détail!$D:$D,"QUICK",Détail!$A:$A,"&gt;="&amp;DATE(2025,8,1),Détail!$A:$A,"&lt;"&amp;EDATE(DATE(2025,8,1),1))</f>
        <v>0</v>
      </c>
    </row>
    <row r="232" customFormat="false" ht="15" hidden="false" customHeight="true" outlineLevel="0" collapsed="false">
      <c r="A232" s="8" t="s">
        <v>73</v>
      </c>
      <c r="B232" s="31" t="n">
        <f aca="false">SUMIFS(Détail!$E:$E,Détail!$D:$D,"QUICK",Détail!$A:$A,"&gt;="&amp;DATE(2025,9,1),Détail!$A:$A,"&lt;"&amp;EDATE(DATE(2025,9,1),1))</f>
        <v>0</v>
      </c>
    </row>
    <row r="233" customFormat="false" ht="15" hidden="false" customHeight="true" outlineLevel="0" collapsed="false">
      <c r="A233" s="8" t="s">
        <v>74</v>
      </c>
      <c r="B233" s="31" t="n">
        <f aca="false">SUMIFS(Détail!$E:$E,Détail!$D:$D,"QUICK",Détail!$A:$A,"&gt;="&amp;DATE(2025,10,1),Détail!$A:$A,"&lt;"&amp;EDATE(DATE(2025,10,1),1))</f>
        <v>0</v>
      </c>
    </row>
    <row r="234" customFormat="false" ht="15" hidden="false" customHeight="true" outlineLevel="0" collapsed="false">
      <c r="A234" s="8" t="s">
        <v>75</v>
      </c>
      <c r="B234" s="31" t="n">
        <f aca="false">SUMIFS(Détail!$E:$E,Détail!$D:$D,"QUICK",Détail!$A:$A,"&gt;="&amp;DATE(2025,11,1),Détail!$A:$A,"&lt;"&amp;EDATE(DATE(2025,11,1),1))</f>
        <v>0</v>
      </c>
    </row>
    <row r="237" customFormat="false" ht="15" hidden="false" customHeight="true" outlineLevel="0" collapsed="false">
      <c r="A237" s="29" t="s">
        <v>274</v>
      </c>
      <c r="B237" s="29"/>
      <c r="C237" s="30" t="n">
        <f aca="false">SUMIF(Détail!$D:$D,"WAFFLE FATORY",Détail!$E:$E)</f>
        <v>-15.6</v>
      </c>
    </row>
    <row r="238" customFormat="false" ht="15" hidden="false" customHeight="true" outlineLevel="0" collapsed="false">
      <c r="A238" s="24" t="s">
        <v>63</v>
      </c>
      <c r="B238" s="24" t="s">
        <v>64</v>
      </c>
    </row>
    <row r="239" customFormat="false" ht="15" hidden="false" customHeight="true" outlineLevel="0" collapsed="false">
      <c r="A239" s="8" t="s">
        <v>65</v>
      </c>
      <c r="B239" s="31" t="n">
        <f aca="false">SUMIFS(Détail!$E:$E,Détail!$D:$D,"WAFFLE FATORY",Détail!$A:$A,"&gt;="&amp;DATE(2025,1,1),Détail!$A:$A,"&lt;"&amp;EDATE(DATE(2025,1,1),1))</f>
        <v>0</v>
      </c>
    </row>
    <row r="240" customFormat="false" ht="15" hidden="false" customHeight="true" outlineLevel="0" collapsed="false">
      <c r="A240" s="8" t="s">
        <v>66</v>
      </c>
      <c r="B240" s="31" t="n">
        <f aca="false">SUMIFS(Détail!$E:$E,Détail!$D:$D,"WAFFLE FATORY",Détail!$A:$A,"&gt;="&amp;DATE(2025,2,1),Détail!$A:$A,"&lt;"&amp;EDATE(DATE(2025,2,1),1))</f>
        <v>0</v>
      </c>
    </row>
    <row r="241" customFormat="false" ht="15" hidden="false" customHeight="true" outlineLevel="0" collapsed="false">
      <c r="A241" s="8" t="s">
        <v>69</v>
      </c>
      <c r="B241" s="31" t="n">
        <f aca="false">SUMIFS(Détail!$E:$E,Détail!$D:$D,"WAFFLE FATORY",Détail!$A:$A,"&gt;="&amp;DATE(2025,5,1),Détail!$A:$A,"&lt;"&amp;EDATE(DATE(2025,5,1),1))</f>
        <v>0</v>
      </c>
    </row>
    <row r="242" customFormat="false" ht="15" hidden="false" customHeight="true" outlineLevel="0" collapsed="false">
      <c r="A242" s="8" t="s">
        <v>70</v>
      </c>
      <c r="B242" s="31" t="n">
        <f aca="false">SUMIFS(Détail!$E:$E,Détail!$D:$D,"WAFFLE FATORY",Détail!$A:$A,"&gt;="&amp;DATE(2025,6,1),Détail!$A:$A,"&lt;"&amp;EDATE(DATE(2025,6,1),1))</f>
        <v>-15.6</v>
      </c>
    </row>
    <row r="243" customFormat="false" ht="15" hidden="false" customHeight="true" outlineLevel="0" collapsed="false">
      <c r="A243" s="8" t="s">
        <v>71</v>
      </c>
      <c r="B243" s="31" t="n">
        <f aca="false">SUMIFS(Détail!$E:$E,Détail!$D:$D,"WAFFLE FATORY",Détail!$A:$A,"&gt;="&amp;DATE(2025,7,1),Détail!$A:$A,"&lt;"&amp;EDATE(DATE(2025,7,1),1))</f>
        <v>0</v>
      </c>
    </row>
    <row r="244" customFormat="false" ht="15" hidden="false" customHeight="true" outlineLevel="0" collapsed="false">
      <c r="A244" s="8" t="s">
        <v>72</v>
      </c>
      <c r="B244" s="31" t="n">
        <f aca="false">SUMIFS(Détail!$E:$E,Détail!$D:$D,"WAFFLE FATORY",Détail!$A:$A,"&gt;="&amp;DATE(2025,8,1),Détail!$A:$A,"&lt;"&amp;EDATE(DATE(2025,8,1),1))</f>
        <v>0</v>
      </c>
    </row>
    <row r="245" customFormat="false" ht="15" hidden="false" customHeight="true" outlineLevel="0" collapsed="false">
      <c r="A245" s="8" t="s">
        <v>73</v>
      </c>
      <c r="B245" s="31" t="n">
        <f aca="false">SUMIFS(Détail!$E:$E,Détail!$D:$D,"WAFFLE FATORY",Détail!$A:$A,"&gt;="&amp;DATE(2025,9,1),Détail!$A:$A,"&lt;"&amp;EDATE(DATE(2025,9,1),1))</f>
        <v>0</v>
      </c>
    </row>
    <row r="246" customFormat="false" ht="15" hidden="false" customHeight="true" outlineLevel="0" collapsed="false">
      <c r="A246" s="8" t="s">
        <v>74</v>
      </c>
      <c r="B246" s="31" t="n">
        <f aca="false">SUMIFS(Détail!$E:$E,Détail!$D:$D,"WAFFLE FATORY",Détail!$A:$A,"&gt;="&amp;DATE(2025,10,1),Détail!$A:$A,"&lt;"&amp;EDATE(DATE(2025,10,1),1))</f>
        <v>0</v>
      </c>
    </row>
    <row r="247" customFormat="false" ht="15" hidden="false" customHeight="true" outlineLevel="0" collapsed="false">
      <c r="A247" s="8" t="s">
        <v>75</v>
      </c>
      <c r="B247" s="31" t="n">
        <f aca="false">SUMIFS(Détail!$E:$E,Détail!$D:$D,"WAFFLE FATORY",Détail!$A:$A,"&gt;="&amp;DATE(2025,11,1),Détail!$A:$A,"&lt;"&amp;EDATE(DATE(2025,11,1),1))</f>
        <v>0</v>
      </c>
    </row>
    <row r="250" customFormat="false" ht="15" hidden="false" customHeight="true" outlineLevel="0" collapsed="false">
      <c r="A250" s="29" t="s">
        <v>275</v>
      </c>
      <c r="B250" s="29"/>
      <c r="C250" s="30" t="n">
        <f aca="false">SUMIF(Détail!$D:$D,"PIZZA POWER",Détail!$E:$E)</f>
        <v>-11.5</v>
      </c>
    </row>
    <row r="251" customFormat="false" ht="15" hidden="false" customHeight="true" outlineLevel="0" collapsed="false">
      <c r="A251" s="24" t="s">
        <v>63</v>
      </c>
      <c r="B251" s="24" t="s">
        <v>64</v>
      </c>
    </row>
    <row r="252" customFormat="false" ht="15" hidden="false" customHeight="true" outlineLevel="0" collapsed="false">
      <c r="A252" s="8" t="s">
        <v>65</v>
      </c>
      <c r="B252" s="31" t="n">
        <f aca="false">SUMIFS(Détail!$E:$E,Détail!$D:$D,"PIZZA POWER",Détail!$A:$A,"&gt;="&amp;DATE(2025,1,1),Détail!$A:$A,"&lt;"&amp;EDATE(DATE(2025,1,1),1))</f>
        <v>0</v>
      </c>
    </row>
    <row r="253" customFormat="false" ht="15" hidden="false" customHeight="true" outlineLevel="0" collapsed="false">
      <c r="A253" s="8" t="s">
        <v>66</v>
      </c>
      <c r="B253" s="31" t="n">
        <f aca="false">SUMIFS(Détail!$E:$E,Détail!$D:$D,"PIZZA POWER",Détail!$A:$A,"&gt;="&amp;DATE(2025,2,1),Détail!$A:$A,"&lt;"&amp;EDATE(DATE(2025,2,1),1))</f>
        <v>-11.5</v>
      </c>
    </row>
    <row r="254" customFormat="false" ht="15" hidden="false" customHeight="true" outlineLevel="0" collapsed="false">
      <c r="A254" s="8" t="s">
        <v>69</v>
      </c>
      <c r="B254" s="31" t="n">
        <f aca="false">SUMIFS(Détail!$E:$E,Détail!$D:$D,"PIZZA POWER",Détail!$A:$A,"&gt;="&amp;DATE(2025,5,1),Détail!$A:$A,"&lt;"&amp;EDATE(DATE(2025,5,1),1))</f>
        <v>0</v>
      </c>
    </row>
    <row r="255" customFormat="false" ht="15" hidden="false" customHeight="true" outlineLevel="0" collapsed="false">
      <c r="A255" s="8" t="s">
        <v>70</v>
      </c>
      <c r="B255" s="31" t="n">
        <f aca="false">SUMIFS(Détail!$E:$E,Détail!$D:$D,"PIZZA POWER",Détail!$A:$A,"&gt;="&amp;DATE(2025,6,1),Détail!$A:$A,"&lt;"&amp;EDATE(DATE(2025,6,1),1))</f>
        <v>0</v>
      </c>
    </row>
    <row r="256" customFormat="false" ht="15" hidden="false" customHeight="true" outlineLevel="0" collapsed="false">
      <c r="A256" s="8" t="s">
        <v>71</v>
      </c>
      <c r="B256" s="31" t="n">
        <f aca="false">SUMIFS(Détail!$E:$E,Détail!$D:$D,"PIZZA POWER",Détail!$A:$A,"&gt;="&amp;DATE(2025,7,1),Détail!$A:$A,"&lt;"&amp;EDATE(DATE(2025,7,1),1))</f>
        <v>0</v>
      </c>
    </row>
    <row r="257" customFormat="false" ht="15" hidden="false" customHeight="true" outlineLevel="0" collapsed="false">
      <c r="A257" s="8" t="s">
        <v>72</v>
      </c>
      <c r="B257" s="31" t="n">
        <f aca="false">SUMIFS(Détail!$E:$E,Détail!$D:$D,"PIZZA POWER",Détail!$A:$A,"&gt;="&amp;DATE(2025,8,1),Détail!$A:$A,"&lt;"&amp;EDATE(DATE(2025,8,1),1))</f>
        <v>0</v>
      </c>
    </row>
    <row r="258" customFormat="false" ht="15" hidden="false" customHeight="true" outlineLevel="0" collapsed="false">
      <c r="A258" s="8" t="s">
        <v>73</v>
      </c>
      <c r="B258" s="31" t="n">
        <f aca="false">SUMIFS(Détail!$E:$E,Détail!$D:$D,"PIZZA POWER",Détail!$A:$A,"&gt;="&amp;DATE(2025,9,1),Détail!$A:$A,"&lt;"&amp;EDATE(DATE(2025,9,1),1))</f>
        <v>0</v>
      </c>
    </row>
    <row r="259" customFormat="false" ht="15" hidden="false" customHeight="true" outlineLevel="0" collapsed="false">
      <c r="A259" s="8" t="s">
        <v>74</v>
      </c>
      <c r="B259" s="31" t="n">
        <f aca="false">SUMIFS(Détail!$E:$E,Détail!$D:$D,"PIZZA POWER",Détail!$A:$A,"&gt;="&amp;DATE(2025,10,1),Détail!$A:$A,"&lt;"&amp;EDATE(DATE(2025,10,1),1))</f>
        <v>0</v>
      </c>
    </row>
    <row r="260" customFormat="false" ht="15" hidden="false" customHeight="true" outlineLevel="0" collapsed="false">
      <c r="A260" s="8" t="s">
        <v>75</v>
      </c>
      <c r="B260" s="31" t="n">
        <f aca="false">SUMIFS(Détail!$E:$E,Détail!$D:$D,"PIZZA POWER",Détail!$A:$A,"&gt;="&amp;DATE(2025,11,1),Détail!$A:$A,"&lt;"&amp;EDATE(DATE(2025,11,1),1))</f>
        <v>0</v>
      </c>
    </row>
    <row r="263" customFormat="false" ht="15" hidden="false" customHeight="true" outlineLevel="0" collapsed="false">
      <c r="A263" s="29" t="s">
        <v>276</v>
      </c>
      <c r="B263" s="29"/>
      <c r="C263" s="30" t="n">
        <f aca="false">SUMIF(Détail!$D:$D,"ISTAMBUL KEBAP",Détail!$E:$E)</f>
        <v>-10</v>
      </c>
    </row>
    <row r="264" customFormat="false" ht="15" hidden="false" customHeight="true" outlineLevel="0" collapsed="false">
      <c r="A264" s="24" t="s">
        <v>63</v>
      </c>
      <c r="B264" s="24" t="s">
        <v>64</v>
      </c>
    </row>
    <row r="265" customFormat="false" ht="15" hidden="false" customHeight="true" outlineLevel="0" collapsed="false">
      <c r="A265" s="8" t="s">
        <v>65</v>
      </c>
      <c r="B265" s="31" t="n">
        <f aca="false">SUMIFS(Détail!$E:$E,Détail!$D:$D,"ISTAMBUL KEBAP",Détail!$A:$A,"&gt;="&amp;DATE(2025,1,1),Détail!$A:$A,"&lt;"&amp;EDATE(DATE(2025,1,1),1))</f>
        <v>0</v>
      </c>
    </row>
    <row r="266" customFormat="false" ht="15" hidden="false" customHeight="true" outlineLevel="0" collapsed="false">
      <c r="A266" s="8" t="s">
        <v>66</v>
      </c>
      <c r="B266" s="31" t="n">
        <f aca="false">SUMIFS(Détail!$E:$E,Détail!$D:$D,"ISTAMBUL KEBAP",Détail!$A:$A,"&gt;="&amp;DATE(2025,2,1),Détail!$A:$A,"&lt;"&amp;EDATE(DATE(2025,2,1),1))</f>
        <v>-10</v>
      </c>
    </row>
    <row r="267" customFormat="false" ht="15" hidden="false" customHeight="true" outlineLevel="0" collapsed="false">
      <c r="A267" s="8" t="s">
        <v>69</v>
      </c>
      <c r="B267" s="31" t="n">
        <f aca="false">SUMIFS(Détail!$E:$E,Détail!$D:$D,"ISTAMBUL KEBAP",Détail!$A:$A,"&gt;="&amp;DATE(2025,5,1),Détail!$A:$A,"&lt;"&amp;EDATE(DATE(2025,5,1),1))</f>
        <v>0</v>
      </c>
    </row>
    <row r="268" customFormat="false" ht="15" hidden="false" customHeight="true" outlineLevel="0" collapsed="false">
      <c r="A268" s="8" t="s">
        <v>70</v>
      </c>
      <c r="B268" s="31" t="n">
        <f aca="false">SUMIFS(Détail!$E:$E,Détail!$D:$D,"ISTAMBUL KEBAP",Détail!$A:$A,"&gt;="&amp;DATE(2025,6,1),Détail!$A:$A,"&lt;"&amp;EDATE(DATE(2025,6,1),1))</f>
        <v>0</v>
      </c>
    </row>
    <row r="269" customFormat="false" ht="15" hidden="false" customHeight="true" outlineLevel="0" collapsed="false">
      <c r="A269" s="8" t="s">
        <v>71</v>
      </c>
      <c r="B269" s="31" t="n">
        <f aca="false">SUMIFS(Détail!$E:$E,Détail!$D:$D,"ISTAMBUL KEBAP",Détail!$A:$A,"&gt;="&amp;DATE(2025,7,1),Détail!$A:$A,"&lt;"&amp;EDATE(DATE(2025,7,1),1))</f>
        <v>0</v>
      </c>
    </row>
    <row r="270" customFormat="false" ht="15" hidden="false" customHeight="true" outlineLevel="0" collapsed="false">
      <c r="A270" s="8" t="s">
        <v>72</v>
      </c>
      <c r="B270" s="31" t="n">
        <f aca="false">SUMIFS(Détail!$E:$E,Détail!$D:$D,"ISTAMBUL KEBAP",Détail!$A:$A,"&gt;="&amp;DATE(2025,8,1),Détail!$A:$A,"&lt;"&amp;EDATE(DATE(2025,8,1),1))</f>
        <v>0</v>
      </c>
    </row>
    <row r="271" customFormat="false" ht="15" hidden="false" customHeight="true" outlineLevel="0" collapsed="false">
      <c r="A271" s="8" t="s">
        <v>73</v>
      </c>
      <c r="B271" s="31" t="n">
        <f aca="false">SUMIFS(Détail!$E:$E,Détail!$D:$D,"ISTAMBUL KEBAP",Détail!$A:$A,"&gt;="&amp;DATE(2025,9,1),Détail!$A:$A,"&lt;"&amp;EDATE(DATE(2025,9,1),1))</f>
        <v>0</v>
      </c>
    </row>
    <row r="272" customFormat="false" ht="15" hidden="false" customHeight="true" outlineLevel="0" collapsed="false">
      <c r="A272" s="8" t="s">
        <v>74</v>
      </c>
      <c r="B272" s="31" t="n">
        <f aca="false">SUMIFS(Détail!$E:$E,Détail!$D:$D,"ISTAMBUL KEBAP",Détail!$A:$A,"&gt;="&amp;DATE(2025,10,1),Détail!$A:$A,"&lt;"&amp;EDATE(DATE(2025,10,1),1))</f>
        <v>0</v>
      </c>
    </row>
    <row r="273" customFormat="false" ht="15" hidden="false" customHeight="true" outlineLevel="0" collapsed="false">
      <c r="A273" s="8" t="s">
        <v>75</v>
      </c>
      <c r="B273" s="31" t="n">
        <f aca="false">SUMIFS(Détail!$E:$E,Détail!$D:$D,"ISTAMBUL KEBAP",Détail!$A:$A,"&gt;="&amp;DATE(2025,11,1),Détail!$A:$A,"&lt;"&amp;EDATE(DATE(2025,11,1),1))</f>
        <v>0</v>
      </c>
    </row>
    <row r="276" customFormat="false" ht="15" hidden="false" customHeight="true" outlineLevel="0" collapsed="false">
      <c r="A276" s="29" t="s">
        <v>277</v>
      </c>
      <c r="B276" s="29"/>
      <c r="C276" s="30" t="n">
        <f aca="false">SUMIF(Détail!$D:$D,"SUBWAY",Détail!$E:$E)</f>
        <v>-9.6</v>
      </c>
    </row>
    <row r="277" customFormat="false" ht="15" hidden="false" customHeight="true" outlineLevel="0" collapsed="false">
      <c r="A277" s="24" t="s">
        <v>63</v>
      </c>
      <c r="B277" s="24" t="s">
        <v>64</v>
      </c>
    </row>
    <row r="278" customFormat="false" ht="15" hidden="false" customHeight="true" outlineLevel="0" collapsed="false">
      <c r="A278" s="8" t="s">
        <v>65</v>
      </c>
      <c r="B278" s="31" t="n">
        <f aca="false">SUMIFS(Détail!$E:$E,Détail!$D:$D,"SUBWAY",Détail!$A:$A,"&gt;="&amp;DATE(2025,1,1),Détail!$A:$A,"&lt;"&amp;EDATE(DATE(2025,1,1),1))</f>
        <v>-9.6</v>
      </c>
    </row>
    <row r="279" customFormat="false" ht="15" hidden="false" customHeight="true" outlineLevel="0" collapsed="false">
      <c r="A279" s="8" t="s">
        <v>66</v>
      </c>
      <c r="B279" s="31" t="n">
        <f aca="false">SUMIFS(Détail!$E:$E,Détail!$D:$D,"SUBWAY",Détail!$A:$A,"&gt;="&amp;DATE(2025,2,1),Détail!$A:$A,"&lt;"&amp;EDATE(DATE(2025,2,1),1))</f>
        <v>0</v>
      </c>
    </row>
    <row r="280" customFormat="false" ht="15" hidden="false" customHeight="true" outlineLevel="0" collapsed="false">
      <c r="A280" s="8" t="s">
        <v>69</v>
      </c>
      <c r="B280" s="31" t="n">
        <f aca="false">SUMIFS(Détail!$E:$E,Détail!$D:$D,"SUBWAY",Détail!$A:$A,"&gt;="&amp;DATE(2025,5,1),Détail!$A:$A,"&lt;"&amp;EDATE(DATE(2025,5,1),1))</f>
        <v>0</v>
      </c>
    </row>
    <row r="281" customFormat="false" ht="15" hidden="false" customHeight="true" outlineLevel="0" collapsed="false">
      <c r="A281" s="8" t="s">
        <v>70</v>
      </c>
      <c r="B281" s="31" t="n">
        <f aca="false">SUMIFS(Détail!$E:$E,Détail!$D:$D,"SUBWAY",Détail!$A:$A,"&gt;="&amp;DATE(2025,6,1),Détail!$A:$A,"&lt;"&amp;EDATE(DATE(2025,6,1),1))</f>
        <v>0</v>
      </c>
    </row>
    <row r="282" customFormat="false" ht="15" hidden="false" customHeight="true" outlineLevel="0" collapsed="false">
      <c r="A282" s="8" t="s">
        <v>71</v>
      </c>
      <c r="B282" s="31" t="n">
        <f aca="false">SUMIFS(Détail!$E:$E,Détail!$D:$D,"SUBWAY",Détail!$A:$A,"&gt;="&amp;DATE(2025,7,1),Détail!$A:$A,"&lt;"&amp;EDATE(DATE(2025,7,1),1))</f>
        <v>0</v>
      </c>
    </row>
    <row r="283" customFormat="false" ht="15" hidden="false" customHeight="true" outlineLevel="0" collapsed="false">
      <c r="A283" s="8" t="s">
        <v>72</v>
      </c>
      <c r="B283" s="31" t="n">
        <f aca="false">SUMIFS(Détail!$E:$E,Détail!$D:$D,"SUBWAY",Détail!$A:$A,"&gt;="&amp;DATE(2025,8,1),Détail!$A:$A,"&lt;"&amp;EDATE(DATE(2025,8,1),1))</f>
        <v>0</v>
      </c>
    </row>
    <row r="284" customFormat="false" ht="15" hidden="false" customHeight="true" outlineLevel="0" collapsed="false">
      <c r="A284" s="8" t="s">
        <v>73</v>
      </c>
      <c r="B284" s="31" t="n">
        <f aca="false">SUMIFS(Détail!$E:$E,Détail!$D:$D,"SUBWAY",Détail!$A:$A,"&gt;="&amp;DATE(2025,9,1),Détail!$A:$A,"&lt;"&amp;EDATE(DATE(2025,9,1),1))</f>
        <v>0</v>
      </c>
    </row>
    <row r="285" customFormat="false" ht="15" hidden="false" customHeight="true" outlineLevel="0" collapsed="false">
      <c r="A285" s="8" t="s">
        <v>74</v>
      </c>
      <c r="B285" s="31" t="n">
        <f aca="false">SUMIFS(Détail!$E:$E,Détail!$D:$D,"SUBWAY",Détail!$A:$A,"&gt;="&amp;DATE(2025,10,1),Détail!$A:$A,"&lt;"&amp;EDATE(DATE(2025,10,1),1))</f>
        <v>0</v>
      </c>
    </row>
    <row r="286" customFormat="false" ht="15" hidden="false" customHeight="true" outlineLevel="0" collapsed="false">
      <c r="A286" s="8" t="s">
        <v>75</v>
      </c>
      <c r="B286" s="31" t="n">
        <f aca="false">SUMIFS(Détail!$E:$E,Détail!$D:$D,"SUBWAY",Détail!$A:$A,"&gt;="&amp;DATE(2025,11,1),Détail!$A:$A,"&lt;"&amp;EDATE(DATE(2025,11,1),1))</f>
        <v>0</v>
      </c>
    </row>
    <row r="289" customFormat="false" ht="15" hidden="false" customHeight="true" outlineLevel="0" collapsed="false">
      <c r="A289" s="29" t="s">
        <v>278</v>
      </c>
      <c r="B289" s="29"/>
      <c r="C289" s="30" t="n">
        <f aca="false">SUMIF(Détail!$D:$D,"AUTOGRILL 0064",Détail!$E:$E)</f>
        <v>-8.7</v>
      </c>
    </row>
    <row r="290" customFormat="false" ht="15" hidden="false" customHeight="true" outlineLevel="0" collapsed="false">
      <c r="A290" s="24" t="s">
        <v>63</v>
      </c>
      <c r="B290" s="24" t="s">
        <v>64</v>
      </c>
    </row>
    <row r="291" customFormat="false" ht="15" hidden="false" customHeight="true" outlineLevel="0" collapsed="false">
      <c r="A291" s="8" t="s">
        <v>65</v>
      </c>
      <c r="B291" s="31" t="n">
        <f aca="false">SUMIFS(Détail!$E:$E,Détail!$D:$D,"AUTOGRILL 0064",Détail!$A:$A,"&gt;="&amp;DATE(2025,1,1),Détail!$A:$A,"&lt;"&amp;EDATE(DATE(2025,1,1),1))</f>
        <v>0</v>
      </c>
    </row>
    <row r="292" customFormat="false" ht="15" hidden="false" customHeight="true" outlineLevel="0" collapsed="false">
      <c r="A292" s="8" t="s">
        <v>66</v>
      </c>
      <c r="B292" s="31" t="n">
        <f aca="false">SUMIFS(Détail!$E:$E,Détail!$D:$D,"AUTOGRILL 0064",Détail!$A:$A,"&gt;="&amp;DATE(2025,2,1),Détail!$A:$A,"&lt;"&amp;EDATE(DATE(2025,2,1),1))</f>
        <v>-8.7</v>
      </c>
    </row>
    <row r="293" customFormat="false" ht="15" hidden="false" customHeight="true" outlineLevel="0" collapsed="false">
      <c r="A293" s="8" t="s">
        <v>69</v>
      </c>
      <c r="B293" s="31" t="n">
        <f aca="false">SUMIFS(Détail!$E:$E,Détail!$D:$D,"AUTOGRILL 0064",Détail!$A:$A,"&gt;="&amp;DATE(2025,5,1),Détail!$A:$A,"&lt;"&amp;EDATE(DATE(2025,5,1),1))</f>
        <v>0</v>
      </c>
    </row>
    <row r="294" customFormat="false" ht="15" hidden="false" customHeight="true" outlineLevel="0" collapsed="false">
      <c r="A294" s="8" t="s">
        <v>70</v>
      </c>
      <c r="B294" s="31" t="n">
        <f aca="false">SUMIFS(Détail!$E:$E,Détail!$D:$D,"AUTOGRILL 0064",Détail!$A:$A,"&gt;="&amp;DATE(2025,6,1),Détail!$A:$A,"&lt;"&amp;EDATE(DATE(2025,6,1),1))</f>
        <v>0</v>
      </c>
    </row>
    <row r="295" customFormat="false" ht="15" hidden="false" customHeight="true" outlineLevel="0" collapsed="false">
      <c r="A295" s="8" t="s">
        <v>71</v>
      </c>
      <c r="B295" s="31" t="n">
        <f aca="false">SUMIFS(Détail!$E:$E,Détail!$D:$D,"AUTOGRILL 0064",Détail!$A:$A,"&gt;="&amp;DATE(2025,7,1),Détail!$A:$A,"&lt;"&amp;EDATE(DATE(2025,7,1),1))</f>
        <v>0</v>
      </c>
    </row>
    <row r="296" customFormat="false" ht="15" hidden="false" customHeight="true" outlineLevel="0" collapsed="false">
      <c r="A296" s="8" t="s">
        <v>72</v>
      </c>
      <c r="B296" s="31" t="n">
        <f aca="false">SUMIFS(Détail!$E:$E,Détail!$D:$D,"AUTOGRILL 0064",Détail!$A:$A,"&gt;="&amp;DATE(2025,8,1),Détail!$A:$A,"&lt;"&amp;EDATE(DATE(2025,8,1),1))</f>
        <v>0</v>
      </c>
    </row>
    <row r="297" customFormat="false" ht="15" hidden="false" customHeight="true" outlineLevel="0" collapsed="false">
      <c r="A297" s="8" t="s">
        <v>73</v>
      </c>
      <c r="B297" s="31" t="n">
        <f aca="false">SUMIFS(Détail!$E:$E,Détail!$D:$D,"AUTOGRILL 0064",Détail!$A:$A,"&gt;="&amp;DATE(2025,9,1),Détail!$A:$A,"&lt;"&amp;EDATE(DATE(2025,9,1),1))</f>
        <v>0</v>
      </c>
    </row>
    <row r="298" customFormat="false" ht="15" hidden="false" customHeight="true" outlineLevel="0" collapsed="false">
      <c r="A298" s="8" t="s">
        <v>74</v>
      </c>
      <c r="B298" s="31" t="n">
        <f aca="false">SUMIFS(Détail!$E:$E,Détail!$D:$D,"AUTOGRILL 0064",Détail!$A:$A,"&gt;="&amp;DATE(2025,10,1),Détail!$A:$A,"&lt;"&amp;EDATE(DATE(2025,10,1),1))</f>
        <v>0</v>
      </c>
    </row>
    <row r="299" customFormat="false" ht="15" hidden="false" customHeight="true" outlineLevel="0" collapsed="false">
      <c r="A299" s="8" t="s">
        <v>75</v>
      </c>
      <c r="B299" s="31" t="n">
        <f aca="false">SUMIFS(Détail!$E:$E,Détail!$D:$D,"AUTOGRILL 0064",Détail!$A:$A,"&gt;="&amp;DATE(2025,11,1),Détail!$A:$A,"&lt;"&amp;EDATE(DATE(2025,11,1),1))</f>
        <v>0</v>
      </c>
    </row>
    <row r="302" customFormat="false" ht="15" hidden="false" customHeight="true" outlineLevel="0" collapsed="false">
      <c r="A302" s="29" t="s">
        <v>279</v>
      </c>
      <c r="B302" s="29"/>
      <c r="C302" s="30" t="n">
        <f aca="false">SUMIF(Détail!$D:$D,"BARCELONETA POR",Détail!$E:$E)</f>
        <v>-7.25</v>
      </c>
    </row>
    <row r="303" customFormat="false" ht="15" hidden="false" customHeight="true" outlineLevel="0" collapsed="false">
      <c r="A303" s="24" t="s">
        <v>63</v>
      </c>
      <c r="B303" s="24" t="s">
        <v>64</v>
      </c>
    </row>
    <row r="304" customFormat="false" ht="15" hidden="false" customHeight="true" outlineLevel="0" collapsed="false">
      <c r="A304" s="8" t="s">
        <v>65</v>
      </c>
      <c r="B304" s="31" t="n">
        <f aca="false">SUMIFS(Détail!$E:$E,Détail!$D:$D,"BARCELONETA POR",Détail!$A:$A,"&gt;="&amp;DATE(2025,1,1),Détail!$A:$A,"&lt;"&amp;EDATE(DATE(2025,1,1),1))</f>
        <v>0</v>
      </c>
    </row>
    <row r="305" customFormat="false" ht="15" hidden="false" customHeight="true" outlineLevel="0" collapsed="false">
      <c r="A305" s="8" t="s">
        <v>66</v>
      </c>
      <c r="B305" s="31" t="n">
        <f aca="false">SUMIFS(Détail!$E:$E,Détail!$D:$D,"BARCELONETA POR",Détail!$A:$A,"&gt;="&amp;DATE(2025,2,1),Détail!$A:$A,"&lt;"&amp;EDATE(DATE(2025,2,1),1))</f>
        <v>0</v>
      </c>
    </row>
    <row r="306" customFormat="false" ht="15" hidden="false" customHeight="true" outlineLevel="0" collapsed="false">
      <c r="A306" s="8" t="s">
        <v>69</v>
      </c>
      <c r="B306" s="31" t="n">
        <f aca="false">SUMIFS(Détail!$E:$E,Détail!$D:$D,"BARCELONETA POR",Détail!$A:$A,"&gt;="&amp;DATE(2025,5,1),Détail!$A:$A,"&lt;"&amp;EDATE(DATE(2025,5,1),1))</f>
        <v>0</v>
      </c>
    </row>
    <row r="307" customFormat="false" ht="15" hidden="false" customHeight="true" outlineLevel="0" collapsed="false">
      <c r="A307" s="8" t="s">
        <v>70</v>
      </c>
      <c r="B307" s="31" t="n">
        <f aca="false">SUMIFS(Détail!$E:$E,Détail!$D:$D,"BARCELONETA POR",Détail!$A:$A,"&gt;="&amp;DATE(2025,6,1),Détail!$A:$A,"&lt;"&amp;EDATE(DATE(2025,6,1),1))</f>
        <v>0</v>
      </c>
    </row>
    <row r="308" customFormat="false" ht="15" hidden="false" customHeight="true" outlineLevel="0" collapsed="false">
      <c r="A308" s="8" t="s">
        <v>71</v>
      </c>
      <c r="B308" s="31" t="n">
        <f aca="false">SUMIFS(Détail!$E:$E,Détail!$D:$D,"BARCELONETA POR",Détail!$A:$A,"&gt;="&amp;DATE(2025,7,1),Détail!$A:$A,"&lt;"&amp;EDATE(DATE(2025,7,1),1))</f>
        <v>0</v>
      </c>
    </row>
    <row r="309" customFormat="false" ht="15" hidden="false" customHeight="true" outlineLevel="0" collapsed="false">
      <c r="A309" s="8" t="s">
        <v>72</v>
      </c>
      <c r="B309" s="31" t="n">
        <f aca="false">SUMIFS(Détail!$E:$E,Détail!$D:$D,"BARCELONETA POR",Détail!$A:$A,"&gt;="&amp;DATE(2025,8,1),Détail!$A:$A,"&lt;"&amp;EDATE(DATE(2025,8,1),1))</f>
        <v>-7.25</v>
      </c>
    </row>
    <row r="310" customFormat="false" ht="15" hidden="false" customHeight="true" outlineLevel="0" collapsed="false">
      <c r="A310" s="8" t="s">
        <v>73</v>
      </c>
      <c r="B310" s="31" t="n">
        <f aca="false">SUMIFS(Détail!$E:$E,Détail!$D:$D,"BARCELONETA POR",Détail!$A:$A,"&gt;="&amp;DATE(2025,9,1),Détail!$A:$A,"&lt;"&amp;EDATE(DATE(2025,9,1),1))</f>
        <v>0</v>
      </c>
    </row>
    <row r="311" customFormat="false" ht="15" hidden="false" customHeight="true" outlineLevel="0" collapsed="false">
      <c r="A311" s="8" t="s">
        <v>74</v>
      </c>
      <c r="B311" s="31" t="n">
        <f aca="false">SUMIFS(Détail!$E:$E,Détail!$D:$D,"BARCELONETA POR",Détail!$A:$A,"&gt;="&amp;DATE(2025,10,1),Détail!$A:$A,"&lt;"&amp;EDATE(DATE(2025,10,1),1))</f>
        <v>0</v>
      </c>
    </row>
    <row r="312" customFormat="false" ht="15" hidden="false" customHeight="true" outlineLevel="0" collapsed="false">
      <c r="A312" s="8" t="s">
        <v>75</v>
      </c>
      <c r="B312" s="31" t="n">
        <f aca="false">SUMIFS(Détail!$E:$E,Détail!$D:$D,"BARCELONETA POR",Détail!$A:$A,"&gt;="&amp;DATE(2025,11,1),Détail!$A:$A,"&lt;"&amp;EDATE(DATE(2025,11,1),1))</f>
        <v>0</v>
      </c>
    </row>
  </sheetData>
  <mergeCells count="24">
    <mergeCell ref="A3:B3"/>
    <mergeCell ref="A16:B16"/>
    <mergeCell ref="A29:B29"/>
    <mergeCell ref="A42:B42"/>
    <mergeCell ref="A55:B55"/>
    <mergeCell ref="A68:B68"/>
    <mergeCell ref="A81:B81"/>
    <mergeCell ref="A94:B94"/>
    <mergeCell ref="A107:B107"/>
    <mergeCell ref="A120:B120"/>
    <mergeCell ref="A133:B133"/>
    <mergeCell ref="A146:B146"/>
    <mergeCell ref="A159:B159"/>
    <mergeCell ref="A172:B172"/>
    <mergeCell ref="A185:B185"/>
    <mergeCell ref="A198:B198"/>
    <mergeCell ref="A211:B211"/>
    <mergeCell ref="A224:B224"/>
    <mergeCell ref="A237:B237"/>
    <mergeCell ref="A250:B250"/>
    <mergeCell ref="A263:B263"/>
    <mergeCell ref="A276:B276"/>
    <mergeCell ref="A289:B289"/>
    <mergeCell ref="A302:B3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16"/>
  </cols>
  <sheetData>
    <row r="1" customFormat="false" ht="15.75" hidden="false" customHeight="true" outlineLevel="0" collapsed="false">
      <c r="A1" s="28" t="s">
        <v>280</v>
      </c>
    </row>
    <row r="2" customFormat="false" ht="15" hidden="false" customHeight="true" outlineLevel="0" collapsed="false">
      <c r="A2" s="33" t="s">
        <v>281</v>
      </c>
    </row>
    <row r="4" customFormat="false" ht="15" hidden="false" customHeight="true" outlineLevel="0" collapsed="false">
      <c r="A4" s="29" t="s">
        <v>282</v>
      </c>
      <c r="B4" s="29"/>
      <c r="C4" s="30" t="n">
        <f aca="false">SUMIF(Détail!$D:$D,"VW BANK FRANCE",Détail!$E:$E)</f>
        <v>-10472.04</v>
      </c>
    </row>
    <row r="5" customFormat="false" ht="15" hidden="false" customHeight="true" outlineLevel="0" collapsed="false">
      <c r="A5" s="24" t="s">
        <v>63</v>
      </c>
      <c r="B5" s="24" t="s">
        <v>64</v>
      </c>
    </row>
    <row r="6" customFormat="false" ht="15" hidden="false" customHeight="true" outlineLevel="0" collapsed="false">
      <c r="A6" s="8" t="s">
        <v>65</v>
      </c>
      <c r="B6" s="31" t="n">
        <f aca="false">SUMIFS(Détail!$E:$E,Détail!$D:$D,"VW BANK FRANCE",Détail!$A:$A,"&gt;="&amp;DATE(2025,1,1),Détail!$A:$A,"&lt;"&amp;EDATE(DATE(2025,1,1),1))</f>
        <v>-872.67</v>
      </c>
    </row>
    <row r="7" customFormat="false" ht="15" hidden="false" customHeight="true" outlineLevel="0" collapsed="false">
      <c r="A7" s="8" t="s">
        <v>66</v>
      </c>
      <c r="B7" s="31" t="n">
        <f aca="false">SUMIFS(Détail!$E:$E,Détail!$D:$D,"VW BANK FRANCE",Détail!$A:$A,"&gt;="&amp;DATE(2025,2,1),Détail!$A:$A,"&lt;"&amp;EDATE(DATE(2025,2,1),1))</f>
        <v>-872.67</v>
      </c>
    </row>
    <row r="8" customFormat="false" ht="15" hidden="false" customHeight="true" outlineLevel="0" collapsed="false">
      <c r="A8" s="8" t="s">
        <v>67</v>
      </c>
      <c r="B8" s="31" t="n">
        <f aca="false">SUMIFS(Détail!$E:$E,Détail!$D:$D,"VW BANK FRANCE",Détail!$A:$A,"&gt;="&amp;DATE(2025,3,1),Détail!$A:$A,"&lt;"&amp;EDATE(DATE(2025,3,1),1))</f>
        <v>-872.67</v>
      </c>
    </row>
    <row r="9" customFormat="false" ht="15" hidden="false" customHeight="true" outlineLevel="0" collapsed="false">
      <c r="A9" s="8" t="s">
        <v>68</v>
      </c>
      <c r="B9" s="31" t="n">
        <f aca="false">SUMIFS(Détail!$E:$E,Détail!$D:$D,"VW BANK FRANCE",Détail!$A:$A,"&gt;="&amp;DATE(2025,4,1),Détail!$A:$A,"&lt;"&amp;EDATE(DATE(2025,4,1),1))</f>
        <v>-872.67</v>
      </c>
    </row>
    <row r="10" customFormat="false" ht="15" hidden="false" customHeight="true" outlineLevel="0" collapsed="false">
      <c r="A10" s="8" t="s">
        <v>69</v>
      </c>
      <c r="B10" s="31" t="n">
        <f aca="false">SUMIFS(Détail!$E:$E,Détail!$D:$D,"VW BANK FRANCE",Détail!$A:$A,"&gt;="&amp;DATE(2025,5,1),Détail!$A:$A,"&lt;"&amp;EDATE(DATE(2025,5,1),1))</f>
        <v>-872.67</v>
      </c>
    </row>
    <row r="11" customFormat="false" ht="15" hidden="false" customHeight="true" outlineLevel="0" collapsed="false">
      <c r="A11" s="8" t="s">
        <v>70</v>
      </c>
      <c r="B11" s="31" t="n">
        <f aca="false">SUMIFS(Détail!$E:$E,Détail!$D:$D,"VW BANK FRANCE",Détail!$A:$A,"&gt;="&amp;DATE(2025,6,1),Détail!$A:$A,"&lt;"&amp;EDATE(DATE(2025,6,1),1))</f>
        <v>-872.67</v>
      </c>
    </row>
    <row r="12" customFormat="false" ht="15" hidden="false" customHeight="true" outlineLevel="0" collapsed="false">
      <c r="A12" s="8" t="s">
        <v>71</v>
      </c>
      <c r="B12" s="31" t="n">
        <f aca="false">SUMIFS(Détail!$E:$E,Détail!$D:$D,"VW BANK FRANCE",Détail!$A:$A,"&gt;="&amp;DATE(2025,7,1),Détail!$A:$A,"&lt;"&amp;EDATE(DATE(2025,7,1),1))</f>
        <v>-872.67</v>
      </c>
    </row>
    <row r="13" customFormat="false" ht="15" hidden="false" customHeight="true" outlineLevel="0" collapsed="false">
      <c r="A13" s="8" t="s">
        <v>72</v>
      </c>
      <c r="B13" s="31" t="n">
        <f aca="false">SUMIFS(Détail!$E:$E,Détail!$D:$D,"VW BANK FRANCE",Détail!$A:$A,"&gt;="&amp;DATE(2025,8,1),Détail!$A:$A,"&lt;"&amp;EDATE(DATE(2025,8,1),1))</f>
        <v>-872.67</v>
      </c>
    </row>
    <row r="14" customFormat="false" ht="15" hidden="false" customHeight="true" outlineLevel="0" collapsed="false">
      <c r="A14" s="8" t="s">
        <v>73</v>
      </c>
      <c r="B14" s="31" t="n">
        <f aca="false">SUMIFS(Détail!$E:$E,Détail!$D:$D,"VW BANK FRANCE",Détail!$A:$A,"&gt;="&amp;DATE(2025,9,1),Détail!$A:$A,"&lt;"&amp;EDATE(DATE(2025,9,1),1))</f>
        <v>-872.67</v>
      </c>
    </row>
    <row r="15" customFormat="false" ht="15" hidden="false" customHeight="true" outlineLevel="0" collapsed="false">
      <c r="A15" s="8" t="s">
        <v>74</v>
      </c>
      <c r="B15" s="31" t="n">
        <f aca="false">SUMIFS(Détail!$E:$E,Détail!$D:$D,"VW BANK FRANCE",Détail!$A:$A,"&gt;="&amp;DATE(2025,10,1),Détail!$A:$A,"&lt;"&amp;EDATE(DATE(2025,10,1),1))</f>
        <v>-872.67</v>
      </c>
    </row>
    <row r="16" customFormat="false" ht="15" hidden="false" customHeight="true" outlineLevel="0" collapsed="false">
      <c r="A16" s="8" t="s">
        <v>75</v>
      </c>
      <c r="B16" s="31" t="n">
        <f aca="false">SUMIFS(Détail!$E:$E,Détail!$D:$D,"VW BANK FRANCE",Détail!$A:$A,"&gt;="&amp;DATE(2025,11,1),Détail!$A:$A,"&lt;"&amp;EDATE(DATE(2025,11,1),1))</f>
        <v>-872.67</v>
      </c>
    </row>
    <row r="17" customFormat="false" ht="15" hidden="false" customHeight="true" outlineLevel="0" collapsed="false">
      <c r="A17" s="8" t="s">
        <v>76</v>
      </c>
      <c r="B17" s="31" t="n">
        <f aca="false">SUMIFS(Détail!$E:$E,Détail!$D:$D,"VW BANK FRANCE",Détail!$A:$A,"&gt;="&amp;DATE(2025,12,1),Détail!$A:$A,"&lt;"&amp;EDATE(DATE(2025,12,1),1))</f>
        <v>-872.67</v>
      </c>
    </row>
    <row r="19" customFormat="false" ht="15" hidden="false" customHeight="true" outlineLevel="0" collapsed="false">
      <c r="A19" s="29" t="s">
        <v>283</v>
      </c>
      <c r="B19" s="29"/>
      <c r="C19" s="30" t="n">
        <f aca="false">SUMIF(Détail!$D:$D,"TOTAL",Détail!$E:$E)</f>
        <v>-4043.49</v>
      </c>
    </row>
    <row r="20" customFormat="false" ht="15" hidden="false" customHeight="true" outlineLevel="0" collapsed="false">
      <c r="A20" s="24" t="s">
        <v>63</v>
      </c>
      <c r="B20" s="24" t="s">
        <v>64</v>
      </c>
    </row>
    <row r="21" customFormat="false" ht="15" hidden="false" customHeight="true" outlineLevel="0" collapsed="false">
      <c r="A21" s="8" t="s">
        <v>65</v>
      </c>
      <c r="B21" s="31" t="n">
        <f aca="false">SUMIFS(Détail!$E:$E,Détail!$D:$D,"TOTAL",Détail!$A:$A,"&gt;="&amp;DATE(2025,1,1),Détail!$A:$A,"&lt;"&amp;EDATE(DATE(2025,1,1),1))</f>
        <v>-343.16</v>
      </c>
    </row>
    <row r="22" customFormat="false" ht="15" hidden="false" customHeight="true" outlineLevel="0" collapsed="false">
      <c r="A22" s="8" t="s">
        <v>66</v>
      </c>
      <c r="B22" s="31" t="n">
        <f aca="false">SUMIFS(Détail!$E:$E,Détail!$D:$D,"TOTAL",Détail!$A:$A,"&gt;="&amp;DATE(2025,2,1),Détail!$A:$A,"&lt;"&amp;EDATE(DATE(2025,2,1),1))</f>
        <v>-282.01</v>
      </c>
    </row>
    <row r="23" customFormat="false" ht="15" hidden="false" customHeight="true" outlineLevel="0" collapsed="false">
      <c r="A23" s="8" t="s">
        <v>67</v>
      </c>
      <c r="B23" s="31" t="n">
        <f aca="false">SUMIFS(Détail!$E:$E,Détail!$D:$D,"TOTAL",Détail!$A:$A,"&gt;="&amp;DATE(2025,3,1),Détail!$A:$A,"&lt;"&amp;EDATE(DATE(2025,3,1),1))</f>
        <v>-271.28</v>
      </c>
    </row>
    <row r="24" customFormat="false" ht="15" hidden="false" customHeight="true" outlineLevel="0" collapsed="false">
      <c r="A24" s="8" t="s">
        <v>68</v>
      </c>
      <c r="B24" s="31" t="n">
        <f aca="false">SUMIFS(Détail!$E:$E,Détail!$D:$D,"TOTAL",Détail!$A:$A,"&gt;="&amp;DATE(2025,4,1),Détail!$A:$A,"&lt;"&amp;EDATE(DATE(2025,4,1),1))</f>
        <v>-189.62</v>
      </c>
    </row>
    <row r="25" customFormat="false" ht="15" hidden="false" customHeight="true" outlineLevel="0" collapsed="false">
      <c r="A25" s="8" t="s">
        <v>69</v>
      </c>
      <c r="B25" s="31" t="n">
        <f aca="false">SUMIFS(Détail!$E:$E,Détail!$D:$D,"TOTAL",Détail!$A:$A,"&gt;="&amp;DATE(2025,5,1),Détail!$A:$A,"&lt;"&amp;EDATE(DATE(2025,5,1),1))</f>
        <v>-451.3</v>
      </c>
    </row>
    <row r="26" customFormat="false" ht="15" hidden="false" customHeight="true" outlineLevel="0" collapsed="false">
      <c r="A26" s="8" t="s">
        <v>70</v>
      </c>
      <c r="B26" s="31" t="n">
        <f aca="false">SUMIFS(Détail!$E:$E,Détail!$D:$D,"TOTAL",Détail!$A:$A,"&gt;="&amp;DATE(2025,6,1),Détail!$A:$A,"&lt;"&amp;EDATE(DATE(2025,6,1),1))</f>
        <v>-456.05</v>
      </c>
    </row>
    <row r="27" customFormat="false" ht="15" hidden="false" customHeight="true" outlineLevel="0" collapsed="false">
      <c r="A27" s="8" t="s">
        <v>71</v>
      </c>
      <c r="B27" s="31" t="n">
        <f aca="false">SUMIFS(Détail!$E:$E,Détail!$D:$D,"TOTAL",Détail!$A:$A,"&gt;="&amp;DATE(2025,7,1),Détail!$A:$A,"&lt;"&amp;EDATE(DATE(2025,7,1),1))</f>
        <v>-566.09</v>
      </c>
    </row>
    <row r="28" customFormat="false" ht="15" hidden="false" customHeight="true" outlineLevel="0" collapsed="false">
      <c r="A28" s="8" t="s">
        <v>72</v>
      </c>
      <c r="B28" s="31" t="n">
        <f aca="false">SUMIFS(Détail!$E:$E,Détail!$D:$D,"TOTAL",Détail!$A:$A,"&gt;="&amp;DATE(2025,8,1),Détail!$A:$A,"&lt;"&amp;EDATE(DATE(2025,8,1),1))</f>
        <v>-229.45</v>
      </c>
    </row>
    <row r="29" customFormat="false" ht="15" hidden="false" customHeight="true" outlineLevel="0" collapsed="false">
      <c r="A29" s="8" t="s">
        <v>73</v>
      </c>
      <c r="B29" s="31" t="n">
        <f aca="false">SUMIFS(Détail!$E:$E,Détail!$D:$D,"TOTAL",Détail!$A:$A,"&gt;="&amp;DATE(2025,9,1),Détail!$A:$A,"&lt;"&amp;EDATE(DATE(2025,9,1),1))</f>
        <v>-525.42</v>
      </c>
    </row>
    <row r="30" customFormat="false" ht="15" hidden="false" customHeight="true" outlineLevel="0" collapsed="false">
      <c r="A30" s="8" t="s">
        <v>74</v>
      </c>
      <c r="B30" s="31" t="n">
        <f aca="false">SUMIFS(Détail!$E:$E,Détail!$D:$D,"TOTAL",Détail!$A:$A,"&gt;="&amp;DATE(2025,10,1),Détail!$A:$A,"&lt;"&amp;EDATE(DATE(2025,10,1),1))</f>
        <v>-295.96</v>
      </c>
    </row>
    <row r="31" customFormat="false" ht="15" hidden="false" customHeight="true" outlineLevel="0" collapsed="false">
      <c r="A31" s="8" t="s">
        <v>75</v>
      </c>
      <c r="B31" s="31" t="n">
        <f aca="false">SUMIFS(Détail!$E:$E,Détail!$D:$D,"TOTAL",Détail!$A:$A,"&gt;="&amp;DATE(2025,11,1),Détail!$A:$A,"&lt;"&amp;EDATE(DATE(2025,11,1),1))</f>
        <v>-390.86</v>
      </c>
    </row>
    <row r="32" customFormat="false" ht="15" hidden="false" customHeight="true" outlineLevel="0" collapsed="false">
      <c r="A32" s="8" t="s">
        <v>76</v>
      </c>
      <c r="B32" s="31" t="n">
        <f aca="false">SUMIFS(Détail!$E:$E,Détail!$D:$D,"TOTAL",Détail!$A:$A,"&gt;="&amp;DATE(2025,12,1),Détail!$A:$A,"&lt;"&amp;EDATE(DATE(2025,12,1),1))</f>
        <v>-42.29</v>
      </c>
    </row>
    <row r="34" customFormat="false" ht="15" hidden="false" customHeight="true" outlineLevel="0" collapsed="false">
      <c r="A34" s="29" t="s">
        <v>284</v>
      </c>
      <c r="B34" s="29"/>
      <c r="C34" s="30" t="n">
        <f aca="false">SUMIF(Détail!$D:$D,"ESSO CHAMPIGNY",Détail!$E:$E)+SUMIF(Détail!$D:$D,"ESSO ST THIBAUL",Détail!$E:$E)+SUMIF(Détail!$D:$D,"ESSO31817ROC1",Détail!$E:$E)+SUMIF(Détail!$D:$D,"ESSO AULNAY",Détail!$E:$E)+SUMIF(Détail!$D:$D,"ESSO31735ROC3",Détail!$E:$E)+SUMIF(Détail!$D:$D,"ESSO ATTAINVILL",Détail!$E:$E)+SUMIF(Détail!$D:$D,"ESSO31775ROC3",Détail!$E:$E)+SUMIF(Détail!$D:$D,"ESSO31753ROC1",Détail!$E:$E)+SUMIF(Détail!$D:$D,"ESSO CHAMPILAVA",Détail!$E:$E)</f>
        <v>-2915</v>
      </c>
    </row>
    <row r="35" customFormat="false" ht="15" hidden="false" customHeight="true" outlineLevel="0" collapsed="false">
      <c r="A35" s="24" t="s">
        <v>63</v>
      </c>
      <c r="B35" s="24" t="s">
        <v>64</v>
      </c>
    </row>
    <row r="36" customFormat="false" ht="15" hidden="false" customHeight="true" outlineLevel="0" collapsed="false">
      <c r="A36" s="8" t="s">
        <v>65</v>
      </c>
      <c r="B36" s="31" t="n">
        <f aca="false">SUMIFS(Détail!$E:$E,Détail!$D:$D,"ESSO CHAMPIGNY",Détail!$A:$A,"&gt;="&amp;DATE(2025,1,1),Détail!$A:$A,"&lt;"&amp;EDATE(DATE(2025,1,1),1))+SUMIFS(Détail!$E:$E,Détail!$D:$D,"ESSO ST THIBAUL",Détail!$A:$A,"&gt;="&amp;DATE(2025,1,1),Détail!$A:$A,"&lt;"&amp;EDATE(DATE(2025,1,1),1))+SUMIFS(Détail!$E:$E,Détail!$D:$D,"ESSO31817ROC1",Détail!$A:$A,"&gt;="&amp;DATE(2025,1,1),Détail!$A:$A,"&lt;"&amp;EDATE(DATE(2025,1,1),1))+SUMIFS(Détail!$E:$E,Détail!$D:$D,"ESSO AULNAY",Détail!$A:$A,"&gt;="&amp;DATE(2025,1,1),Détail!$A:$A,"&lt;"&amp;EDATE(DATE(2025,1,1),1))+SUMIFS(Détail!$E:$E,Détail!$D:$D,"ESSO31735ROC3",Détail!$A:$A,"&gt;="&amp;DATE(2025,1,1),Détail!$A:$A,"&lt;"&amp;EDATE(DATE(2025,1,1),1))+SUMIFS(Détail!$E:$E,Détail!$D:$D,"ESSO ATTAINVILL",Détail!$A:$A,"&gt;="&amp;DATE(2025,1,1),Détail!$A:$A,"&lt;"&amp;EDATE(DATE(2025,1,1),1))+SUMIFS(Détail!$E:$E,Détail!$D:$D,"ESSO31775ROC3",Détail!$A:$A,"&gt;="&amp;DATE(2025,1,1),Détail!$A:$A,"&lt;"&amp;EDATE(DATE(2025,1,1),1))+SUMIFS(Détail!$E:$E,Détail!$D:$D,"ESSO31753ROC1",Détail!$A:$A,"&gt;="&amp;DATE(2025,1,1),Détail!$A:$A,"&lt;"&amp;EDATE(DATE(2025,1,1),1))+SUMIFS(Détail!$E:$E,Détail!$D:$D,"ESSO CHAMPILAVA",Détail!$A:$A,"&gt;="&amp;DATE(2025,1,1),Détail!$A:$A,"&lt;"&amp;EDATE(DATE(2025,1,1),1))</f>
        <v>-392.87</v>
      </c>
    </row>
    <row r="37" customFormat="false" ht="15" hidden="false" customHeight="true" outlineLevel="0" collapsed="false">
      <c r="A37" s="8" t="s">
        <v>66</v>
      </c>
      <c r="B37" s="31" t="n">
        <f aca="false">SUMIFS(Détail!$E:$E,Détail!$D:$D,"ESSO CHAMPIGNY",Détail!$A:$A,"&gt;="&amp;DATE(2025,2,1),Détail!$A:$A,"&lt;"&amp;EDATE(DATE(2025,2,1),1))+SUMIFS(Détail!$E:$E,Détail!$D:$D,"ESSO ST THIBAUL",Détail!$A:$A,"&gt;="&amp;DATE(2025,2,1),Détail!$A:$A,"&lt;"&amp;EDATE(DATE(2025,2,1),1))+SUMIFS(Détail!$E:$E,Détail!$D:$D,"ESSO31817ROC1",Détail!$A:$A,"&gt;="&amp;DATE(2025,2,1),Détail!$A:$A,"&lt;"&amp;EDATE(DATE(2025,2,1),1))+SUMIFS(Détail!$E:$E,Détail!$D:$D,"ESSO AULNAY",Détail!$A:$A,"&gt;="&amp;DATE(2025,2,1),Détail!$A:$A,"&lt;"&amp;EDATE(DATE(2025,2,1),1))+SUMIFS(Détail!$E:$E,Détail!$D:$D,"ESSO31735ROC3",Détail!$A:$A,"&gt;="&amp;DATE(2025,2,1),Détail!$A:$A,"&lt;"&amp;EDATE(DATE(2025,2,1),1))+SUMIFS(Détail!$E:$E,Détail!$D:$D,"ESSO ATTAINVILL",Détail!$A:$A,"&gt;="&amp;DATE(2025,2,1),Détail!$A:$A,"&lt;"&amp;EDATE(DATE(2025,2,1),1))+SUMIFS(Détail!$E:$E,Détail!$D:$D,"ESSO31775ROC3",Détail!$A:$A,"&gt;="&amp;DATE(2025,2,1),Détail!$A:$A,"&lt;"&amp;EDATE(DATE(2025,2,1),1))+SUMIFS(Détail!$E:$E,Détail!$D:$D,"ESSO31753ROC1",Détail!$A:$A,"&gt;="&amp;DATE(2025,2,1),Détail!$A:$A,"&lt;"&amp;EDATE(DATE(2025,2,1),1))+SUMIFS(Détail!$E:$E,Détail!$D:$D,"ESSO CHAMPILAVA",Détail!$A:$A,"&gt;="&amp;DATE(2025,2,1),Détail!$A:$A,"&lt;"&amp;EDATE(DATE(2025,2,1),1))</f>
        <v>-304.14</v>
      </c>
    </row>
    <row r="38" customFormat="false" ht="15" hidden="false" customHeight="true" outlineLevel="0" collapsed="false">
      <c r="A38" s="8" t="s">
        <v>67</v>
      </c>
      <c r="B38" s="31" t="n">
        <f aca="false">SUMIFS(Détail!$E:$E,Détail!$D:$D,"ESSO CHAMPIGNY",Détail!$A:$A,"&gt;="&amp;DATE(2025,3,1),Détail!$A:$A,"&lt;"&amp;EDATE(DATE(2025,3,1),1))+SUMIFS(Détail!$E:$E,Détail!$D:$D,"ESSO ST THIBAUL",Détail!$A:$A,"&gt;="&amp;DATE(2025,3,1),Détail!$A:$A,"&lt;"&amp;EDATE(DATE(2025,3,1),1))+SUMIFS(Détail!$E:$E,Détail!$D:$D,"ESSO31817ROC1",Détail!$A:$A,"&gt;="&amp;DATE(2025,3,1),Détail!$A:$A,"&lt;"&amp;EDATE(DATE(2025,3,1),1))+SUMIFS(Détail!$E:$E,Détail!$D:$D,"ESSO AULNAY",Détail!$A:$A,"&gt;="&amp;DATE(2025,3,1),Détail!$A:$A,"&lt;"&amp;EDATE(DATE(2025,3,1),1))+SUMIFS(Détail!$E:$E,Détail!$D:$D,"ESSO31735ROC3",Détail!$A:$A,"&gt;="&amp;DATE(2025,3,1),Détail!$A:$A,"&lt;"&amp;EDATE(DATE(2025,3,1),1))+SUMIFS(Détail!$E:$E,Détail!$D:$D,"ESSO ATTAINVILL",Détail!$A:$A,"&gt;="&amp;DATE(2025,3,1),Détail!$A:$A,"&lt;"&amp;EDATE(DATE(2025,3,1),1))+SUMIFS(Détail!$E:$E,Détail!$D:$D,"ESSO31775ROC3",Détail!$A:$A,"&gt;="&amp;DATE(2025,3,1),Détail!$A:$A,"&lt;"&amp;EDATE(DATE(2025,3,1),1))+SUMIFS(Détail!$E:$E,Détail!$D:$D,"ESSO31753ROC1",Détail!$A:$A,"&gt;="&amp;DATE(2025,3,1),Détail!$A:$A,"&lt;"&amp;EDATE(DATE(2025,3,1),1))+SUMIFS(Détail!$E:$E,Détail!$D:$D,"ESSO CHAMPILAVA",Détail!$A:$A,"&gt;="&amp;DATE(2025,3,1),Détail!$A:$A,"&lt;"&amp;EDATE(DATE(2025,3,1),1))</f>
        <v>-277.71</v>
      </c>
    </row>
    <row r="39" customFormat="false" ht="15" hidden="false" customHeight="true" outlineLevel="0" collapsed="false">
      <c r="A39" s="8" t="s">
        <v>68</v>
      </c>
      <c r="B39" s="31" t="n">
        <f aca="false">SUMIFS(Détail!$E:$E,Détail!$D:$D,"ESSO CHAMPIGNY",Détail!$A:$A,"&gt;="&amp;DATE(2025,4,1),Détail!$A:$A,"&lt;"&amp;EDATE(DATE(2025,4,1),1))+SUMIFS(Détail!$E:$E,Détail!$D:$D,"ESSO ST THIBAUL",Détail!$A:$A,"&gt;="&amp;DATE(2025,4,1),Détail!$A:$A,"&lt;"&amp;EDATE(DATE(2025,4,1),1))+SUMIFS(Détail!$E:$E,Détail!$D:$D,"ESSO31817ROC1",Détail!$A:$A,"&gt;="&amp;DATE(2025,4,1),Détail!$A:$A,"&lt;"&amp;EDATE(DATE(2025,4,1),1))+SUMIFS(Détail!$E:$E,Détail!$D:$D,"ESSO AULNAY",Détail!$A:$A,"&gt;="&amp;DATE(2025,4,1),Détail!$A:$A,"&lt;"&amp;EDATE(DATE(2025,4,1),1))+SUMIFS(Détail!$E:$E,Détail!$D:$D,"ESSO31735ROC3",Détail!$A:$A,"&gt;="&amp;DATE(2025,4,1),Détail!$A:$A,"&lt;"&amp;EDATE(DATE(2025,4,1),1))+SUMIFS(Détail!$E:$E,Détail!$D:$D,"ESSO ATTAINVILL",Détail!$A:$A,"&gt;="&amp;DATE(2025,4,1),Détail!$A:$A,"&lt;"&amp;EDATE(DATE(2025,4,1),1))+SUMIFS(Détail!$E:$E,Détail!$D:$D,"ESSO31775ROC3",Détail!$A:$A,"&gt;="&amp;DATE(2025,4,1),Détail!$A:$A,"&lt;"&amp;EDATE(DATE(2025,4,1),1))+SUMIFS(Détail!$E:$E,Détail!$D:$D,"ESSO31753ROC1",Détail!$A:$A,"&gt;="&amp;DATE(2025,4,1),Détail!$A:$A,"&lt;"&amp;EDATE(DATE(2025,4,1),1))+SUMIFS(Détail!$E:$E,Détail!$D:$D,"ESSO CHAMPILAVA",Détail!$A:$A,"&gt;="&amp;DATE(2025,4,1),Détail!$A:$A,"&lt;"&amp;EDATE(DATE(2025,4,1),1))</f>
        <v>-155.85</v>
      </c>
    </row>
    <row r="40" customFormat="false" ht="15" hidden="false" customHeight="true" outlineLevel="0" collapsed="false">
      <c r="A40" s="8" t="s">
        <v>69</v>
      </c>
      <c r="B40" s="31" t="n">
        <f aca="false">SUMIFS(Détail!$E:$E,Détail!$D:$D,"ESSO CHAMPIGNY",Détail!$A:$A,"&gt;="&amp;DATE(2025,5,1),Détail!$A:$A,"&lt;"&amp;EDATE(DATE(2025,5,1),1))+SUMIFS(Détail!$E:$E,Détail!$D:$D,"ESSO ST THIBAUL",Détail!$A:$A,"&gt;="&amp;DATE(2025,5,1),Détail!$A:$A,"&lt;"&amp;EDATE(DATE(2025,5,1),1))+SUMIFS(Détail!$E:$E,Détail!$D:$D,"ESSO31817ROC1",Détail!$A:$A,"&gt;="&amp;DATE(2025,5,1),Détail!$A:$A,"&lt;"&amp;EDATE(DATE(2025,5,1),1))+SUMIFS(Détail!$E:$E,Détail!$D:$D,"ESSO AULNAY",Détail!$A:$A,"&gt;="&amp;DATE(2025,5,1),Détail!$A:$A,"&lt;"&amp;EDATE(DATE(2025,5,1),1))+SUMIFS(Détail!$E:$E,Détail!$D:$D,"ESSO31735ROC3",Détail!$A:$A,"&gt;="&amp;DATE(2025,5,1),Détail!$A:$A,"&lt;"&amp;EDATE(DATE(2025,5,1),1))+SUMIFS(Détail!$E:$E,Détail!$D:$D,"ESSO ATTAINVILL",Détail!$A:$A,"&gt;="&amp;DATE(2025,5,1),Détail!$A:$A,"&lt;"&amp;EDATE(DATE(2025,5,1),1))+SUMIFS(Détail!$E:$E,Détail!$D:$D,"ESSO31775ROC3",Détail!$A:$A,"&gt;="&amp;DATE(2025,5,1),Détail!$A:$A,"&lt;"&amp;EDATE(DATE(2025,5,1),1))+SUMIFS(Détail!$E:$E,Détail!$D:$D,"ESSO31753ROC1",Détail!$A:$A,"&gt;="&amp;DATE(2025,5,1),Détail!$A:$A,"&lt;"&amp;EDATE(DATE(2025,5,1),1))+SUMIFS(Détail!$E:$E,Détail!$D:$D,"ESSO CHAMPILAVA",Détail!$A:$A,"&gt;="&amp;DATE(2025,5,1),Détail!$A:$A,"&lt;"&amp;EDATE(DATE(2025,5,1),1))</f>
        <v>-177.79</v>
      </c>
    </row>
    <row r="41" customFormat="false" ht="15" hidden="false" customHeight="true" outlineLevel="0" collapsed="false">
      <c r="A41" s="8" t="s">
        <v>70</v>
      </c>
      <c r="B41" s="31" t="n">
        <f aca="false">SUMIFS(Détail!$E:$E,Détail!$D:$D,"ESSO CHAMPIGNY",Détail!$A:$A,"&gt;="&amp;DATE(2025,6,1),Détail!$A:$A,"&lt;"&amp;EDATE(DATE(2025,6,1),1))+SUMIFS(Détail!$E:$E,Détail!$D:$D,"ESSO ST THIBAUL",Détail!$A:$A,"&gt;="&amp;DATE(2025,6,1),Détail!$A:$A,"&lt;"&amp;EDATE(DATE(2025,6,1),1))+SUMIFS(Détail!$E:$E,Détail!$D:$D,"ESSO31817ROC1",Détail!$A:$A,"&gt;="&amp;DATE(2025,6,1),Détail!$A:$A,"&lt;"&amp;EDATE(DATE(2025,6,1),1))+SUMIFS(Détail!$E:$E,Détail!$D:$D,"ESSO AULNAY",Détail!$A:$A,"&gt;="&amp;DATE(2025,6,1),Détail!$A:$A,"&lt;"&amp;EDATE(DATE(2025,6,1),1))+SUMIFS(Détail!$E:$E,Détail!$D:$D,"ESSO31735ROC3",Détail!$A:$A,"&gt;="&amp;DATE(2025,6,1),Détail!$A:$A,"&lt;"&amp;EDATE(DATE(2025,6,1),1))+SUMIFS(Détail!$E:$E,Détail!$D:$D,"ESSO ATTAINVILL",Détail!$A:$A,"&gt;="&amp;DATE(2025,6,1),Détail!$A:$A,"&lt;"&amp;EDATE(DATE(2025,6,1),1))+SUMIFS(Détail!$E:$E,Détail!$D:$D,"ESSO31775ROC3",Détail!$A:$A,"&gt;="&amp;DATE(2025,6,1),Détail!$A:$A,"&lt;"&amp;EDATE(DATE(2025,6,1),1))+SUMIFS(Détail!$E:$E,Détail!$D:$D,"ESSO31753ROC1",Détail!$A:$A,"&gt;="&amp;DATE(2025,6,1),Détail!$A:$A,"&lt;"&amp;EDATE(DATE(2025,6,1),1))+SUMIFS(Détail!$E:$E,Détail!$D:$D,"ESSO CHAMPILAVA",Détail!$A:$A,"&gt;="&amp;DATE(2025,6,1),Détail!$A:$A,"&lt;"&amp;EDATE(DATE(2025,6,1),1))</f>
        <v>-312.82</v>
      </c>
    </row>
    <row r="42" customFormat="false" ht="15" hidden="false" customHeight="true" outlineLevel="0" collapsed="false">
      <c r="A42" s="8" t="s">
        <v>71</v>
      </c>
      <c r="B42" s="31" t="n">
        <f aca="false">SUMIFS(Détail!$E:$E,Détail!$D:$D,"ESSO CHAMPIGNY",Détail!$A:$A,"&gt;="&amp;DATE(2025,7,1),Détail!$A:$A,"&lt;"&amp;EDATE(DATE(2025,7,1),1))+SUMIFS(Détail!$E:$E,Détail!$D:$D,"ESSO ST THIBAUL",Détail!$A:$A,"&gt;="&amp;DATE(2025,7,1),Détail!$A:$A,"&lt;"&amp;EDATE(DATE(2025,7,1),1))+SUMIFS(Détail!$E:$E,Détail!$D:$D,"ESSO31817ROC1",Détail!$A:$A,"&gt;="&amp;DATE(2025,7,1),Détail!$A:$A,"&lt;"&amp;EDATE(DATE(2025,7,1),1))+SUMIFS(Détail!$E:$E,Détail!$D:$D,"ESSO AULNAY",Détail!$A:$A,"&gt;="&amp;DATE(2025,7,1),Détail!$A:$A,"&lt;"&amp;EDATE(DATE(2025,7,1),1))+SUMIFS(Détail!$E:$E,Détail!$D:$D,"ESSO31735ROC3",Détail!$A:$A,"&gt;="&amp;DATE(2025,7,1),Détail!$A:$A,"&lt;"&amp;EDATE(DATE(2025,7,1),1))+SUMIFS(Détail!$E:$E,Détail!$D:$D,"ESSO ATTAINVILL",Détail!$A:$A,"&gt;="&amp;DATE(2025,7,1),Détail!$A:$A,"&lt;"&amp;EDATE(DATE(2025,7,1),1))+SUMIFS(Détail!$E:$E,Détail!$D:$D,"ESSO31775ROC3",Détail!$A:$A,"&gt;="&amp;DATE(2025,7,1),Détail!$A:$A,"&lt;"&amp;EDATE(DATE(2025,7,1),1))+SUMIFS(Détail!$E:$E,Détail!$D:$D,"ESSO31753ROC1",Détail!$A:$A,"&gt;="&amp;DATE(2025,7,1),Détail!$A:$A,"&lt;"&amp;EDATE(DATE(2025,7,1),1))+SUMIFS(Détail!$E:$E,Détail!$D:$D,"ESSO CHAMPILAVA",Détail!$A:$A,"&gt;="&amp;DATE(2025,7,1),Détail!$A:$A,"&lt;"&amp;EDATE(DATE(2025,7,1),1))</f>
        <v>-347.72</v>
      </c>
    </row>
    <row r="43" customFormat="false" ht="15" hidden="false" customHeight="true" outlineLevel="0" collapsed="false">
      <c r="A43" s="8" t="s">
        <v>72</v>
      </c>
      <c r="B43" s="31" t="n">
        <f aca="false">SUMIFS(Détail!$E:$E,Détail!$D:$D,"ESSO CHAMPIGNY",Détail!$A:$A,"&gt;="&amp;DATE(2025,8,1),Détail!$A:$A,"&lt;"&amp;EDATE(DATE(2025,8,1),1))+SUMIFS(Détail!$E:$E,Détail!$D:$D,"ESSO ST THIBAUL",Détail!$A:$A,"&gt;="&amp;DATE(2025,8,1),Détail!$A:$A,"&lt;"&amp;EDATE(DATE(2025,8,1),1))+SUMIFS(Détail!$E:$E,Détail!$D:$D,"ESSO31817ROC1",Détail!$A:$A,"&gt;="&amp;DATE(2025,8,1),Détail!$A:$A,"&lt;"&amp;EDATE(DATE(2025,8,1),1))+SUMIFS(Détail!$E:$E,Détail!$D:$D,"ESSO AULNAY",Détail!$A:$A,"&gt;="&amp;DATE(2025,8,1),Détail!$A:$A,"&lt;"&amp;EDATE(DATE(2025,8,1),1))+SUMIFS(Détail!$E:$E,Détail!$D:$D,"ESSO31735ROC3",Détail!$A:$A,"&gt;="&amp;DATE(2025,8,1),Détail!$A:$A,"&lt;"&amp;EDATE(DATE(2025,8,1),1))+SUMIFS(Détail!$E:$E,Détail!$D:$D,"ESSO ATTAINVILL",Détail!$A:$A,"&gt;="&amp;DATE(2025,8,1),Détail!$A:$A,"&lt;"&amp;EDATE(DATE(2025,8,1),1))+SUMIFS(Détail!$E:$E,Détail!$D:$D,"ESSO31775ROC3",Détail!$A:$A,"&gt;="&amp;DATE(2025,8,1),Détail!$A:$A,"&lt;"&amp;EDATE(DATE(2025,8,1),1))+SUMIFS(Détail!$E:$E,Détail!$D:$D,"ESSO31753ROC1",Détail!$A:$A,"&gt;="&amp;DATE(2025,8,1),Détail!$A:$A,"&lt;"&amp;EDATE(DATE(2025,8,1),1))+SUMIFS(Détail!$E:$E,Détail!$D:$D,"ESSO CHAMPILAVA",Détail!$A:$A,"&gt;="&amp;DATE(2025,8,1),Détail!$A:$A,"&lt;"&amp;EDATE(DATE(2025,8,1),1))</f>
        <v>-259.26</v>
      </c>
    </row>
    <row r="44" customFormat="false" ht="15" hidden="false" customHeight="true" outlineLevel="0" collapsed="false">
      <c r="A44" s="8" t="s">
        <v>73</v>
      </c>
      <c r="B44" s="31" t="n">
        <f aca="false">SUMIFS(Détail!$E:$E,Détail!$D:$D,"ESSO CHAMPIGNY",Détail!$A:$A,"&gt;="&amp;DATE(2025,9,1),Détail!$A:$A,"&lt;"&amp;EDATE(DATE(2025,9,1),1))+SUMIFS(Détail!$E:$E,Détail!$D:$D,"ESSO ST THIBAUL",Détail!$A:$A,"&gt;="&amp;DATE(2025,9,1),Détail!$A:$A,"&lt;"&amp;EDATE(DATE(2025,9,1),1))+SUMIFS(Détail!$E:$E,Détail!$D:$D,"ESSO31817ROC1",Détail!$A:$A,"&gt;="&amp;DATE(2025,9,1),Détail!$A:$A,"&lt;"&amp;EDATE(DATE(2025,9,1),1))+SUMIFS(Détail!$E:$E,Détail!$D:$D,"ESSO AULNAY",Détail!$A:$A,"&gt;="&amp;DATE(2025,9,1),Détail!$A:$A,"&lt;"&amp;EDATE(DATE(2025,9,1),1))+SUMIFS(Détail!$E:$E,Détail!$D:$D,"ESSO31735ROC3",Détail!$A:$A,"&gt;="&amp;DATE(2025,9,1),Détail!$A:$A,"&lt;"&amp;EDATE(DATE(2025,9,1),1))+SUMIFS(Détail!$E:$E,Détail!$D:$D,"ESSO ATTAINVILL",Détail!$A:$A,"&gt;="&amp;DATE(2025,9,1),Détail!$A:$A,"&lt;"&amp;EDATE(DATE(2025,9,1),1))+SUMIFS(Détail!$E:$E,Détail!$D:$D,"ESSO31775ROC3",Détail!$A:$A,"&gt;="&amp;DATE(2025,9,1),Détail!$A:$A,"&lt;"&amp;EDATE(DATE(2025,9,1),1))+SUMIFS(Détail!$E:$E,Détail!$D:$D,"ESSO31753ROC1",Détail!$A:$A,"&gt;="&amp;DATE(2025,9,1),Détail!$A:$A,"&lt;"&amp;EDATE(DATE(2025,9,1),1))+SUMIFS(Détail!$E:$E,Détail!$D:$D,"ESSO CHAMPILAVA",Détail!$A:$A,"&gt;="&amp;DATE(2025,9,1),Détail!$A:$A,"&lt;"&amp;EDATE(DATE(2025,9,1),1))</f>
        <v>-199.1</v>
      </c>
    </row>
    <row r="45" customFormat="false" ht="15" hidden="false" customHeight="true" outlineLevel="0" collapsed="false">
      <c r="A45" s="8" t="s">
        <v>74</v>
      </c>
      <c r="B45" s="31" t="n">
        <f aca="false">SUMIFS(Détail!$E:$E,Détail!$D:$D,"ESSO CHAMPIGNY",Détail!$A:$A,"&gt;="&amp;DATE(2025,10,1),Détail!$A:$A,"&lt;"&amp;EDATE(DATE(2025,10,1),1))+SUMIFS(Détail!$E:$E,Détail!$D:$D,"ESSO ST THIBAUL",Détail!$A:$A,"&gt;="&amp;DATE(2025,10,1),Détail!$A:$A,"&lt;"&amp;EDATE(DATE(2025,10,1),1))+SUMIFS(Détail!$E:$E,Détail!$D:$D,"ESSO31817ROC1",Détail!$A:$A,"&gt;="&amp;DATE(2025,10,1),Détail!$A:$A,"&lt;"&amp;EDATE(DATE(2025,10,1),1))+SUMIFS(Détail!$E:$E,Détail!$D:$D,"ESSO AULNAY",Détail!$A:$A,"&gt;="&amp;DATE(2025,10,1),Détail!$A:$A,"&lt;"&amp;EDATE(DATE(2025,10,1),1))+SUMIFS(Détail!$E:$E,Détail!$D:$D,"ESSO31735ROC3",Détail!$A:$A,"&gt;="&amp;DATE(2025,10,1),Détail!$A:$A,"&lt;"&amp;EDATE(DATE(2025,10,1),1))+SUMIFS(Détail!$E:$E,Détail!$D:$D,"ESSO ATTAINVILL",Détail!$A:$A,"&gt;="&amp;DATE(2025,10,1),Détail!$A:$A,"&lt;"&amp;EDATE(DATE(2025,10,1),1))+SUMIFS(Détail!$E:$E,Détail!$D:$D,"ESSO31775ROC3",Détail!$A:$A,"&gt;="&amp;DATE(2025,10,1),Détail!$A:$A,"&lt;"&amp;EDATE(DATE(2025,10,1),1))+SUMIFS(Détail!$E:$E,Détail!$D:$D,"ESSO31753ROC1",Détail!$A:$A,"&gt;="&amp;DATE(2025,10,1),Détail!$A:$A,"&lt;"&amp;EDATE(DATE(2025,10,1),1))+SUMIFS(Détail!$E:$E,Détail!$D:$D,"ESSO CHAMPILAVA",Détail!$A:$A,"&gt;="&amp;DATE(2025,10,1),Détail!$A:$A,"&lt;"&amp;EDATE(DATE(2025,10,1),1))</f>
        <v>-207.23</v>
      </c>
    </row>
    <row r="46" customFormat="false" ht="15" hidden="false" customHeight="true" outlineLevel="0" collapsed="false">
      <c r="A46" s="8" t="s">
        <v>75</v>
      </c>
      <c r="B46" s="31" t="n">
        <f aca="false">SUMIFS(Détail!$E:$E,Détail!$D:$D,"ESSO CHAMPIGNY",Détail!$A:$A,"&gt;="&amp;DATE(2025,11,1),Détail!$A:$A,"&lt;"&amp;EDATE(DATE(2025,11,1),1))+SUMIFS(Détail!$E:$E,Détail!$D:$D,"ESSO ST THIBAUL",Détail!$A:$A,"&gt;="&amp;DATE(2025,11,1),Détail!$A:$A,"&lt;"&amp;EDATE(DATE(2025,11,1),1))+SUMIFS(Détail!$E:$E,Détail!$D:$D,"ESSO31817ROC1",Détail!$A:$A,"&gt;="&amp;DATE(2025,11,1),Détail!$A:$A,"&lt;"&amp;EDATE(DATE(2025,11,1),1))+SUMIFS(Détail!$E:$E,Détail!$D:$D,"ESSO AULNAY",Détail!$A:$A,"&gt;="&amp;DATE(2025,11,1),Détail!$A:$A,"&lt;"&amp;EDATE(DATE(2025,11,1),1))+SUMIFS(Détail!$E:$E,Détail!$D:$D,"ESSO31735ROC3",Détail!$A:$A,"&gt;="&amp;DATE(2025,11,1),Détail!$A:$A,"&lt;"&amp;EDATE(DATE(2025,11,1),1))+SUMIFS(Détail!$E:$E,Détail!$D:$D,"ESSO ATTAINVILL",Détail!$A:$A,"&gt;="&amp;DATE(2025,11,1),Détail!$A:$A,"&lt;"&amp;EDATE(DATE(2025,11,1),1))+SUMIFS(Détail!$E:$E,Détail!$D:$D,"ESSO31775ROC3",Détail!$A:$A,"&gt;="&amp;DATE(2025,11,1),Détail!$A:$A,"&lt;"&amp;EDATE(DATE(2025,11,1),1))+SUMIFS(Détail!$E:$E,Détail!$D:$D,"ESSO31753ROC1",Détail!$A:$A,"&gt;="&amp;DATE(2025,11,1),Détail!$A:$A,"&lt;"&amp;EDATE(DATE(2025,11,1),1))+SUMIFS(Détail!$E:$E,Détail!$D:$D,"ESSO CHAMPILAVA",Détail!$A:$A,"&gt;="&amp;DATE(2025,11,1),Détail!$A:$A,"&lt;"&amp;EDATE(DATE(2025,11,1),1))</f>
        <v>-226.58</v>
      </c>
    </row>
    <row r="47" customFormat="false" ht="15" hidden="false" customHeight="true" outlineLevel="0" collapsed="false">
      <c r="A47" s="8" t="s">
        <v>76</v>
      </c>
      <c r="B47" s="31" t="n">
        <f aca="false">SUMIFS(Détail!$E:$E,Détail!$D:$D,"ESSO CHAMPIGNY",Détail!$A:$A,"&gt;="&amp;DATE(2025,12,1),Détail!$A:$A,"&lt;"&amp;EDATE(DATE(2025,12,1),1))+SUMIFS(Détail!$E:$E,Détail!$D:$D,"ESSO ST THIBAUL",Détail!$A:$A,"&gt;="&amp;DATE(2025,12,1),Détail!$A:$A,"&lt;"&amp;EDATE(DATE(2025,12,1),1))+SUMIFS(Détail!$E:$E,Détail!$D:$D,"ESSO31817ROC1",Détail!$A:$A,"&gt;="&amp;DATE(2025,12,1),Détail!$A:$A,"&lt;"&amp;EDATE(DATE(2025,12,1),1))+SUMIFS(Détail!$E:$E,Détail!$D:$D,"ESSO AULNAY",Détail!$A:$A,"&gt;="&amp;DATE(2025,12,1),Détail!$A:$A,"&lt;"&amp;EDATE(DATE(2025,12,1),1))+SUMIFS(Détail!$E:$E,Détail!$D:$D,"ESSO31735ROC3",Détail!$A:$A,"&gt;="&amp;DATE(2025,12,1),Détail!$A:$A,"&lt;"&amp;EDATE(DATE(2025,12,1),1))+SUMIFS(Détail!$E:$E,Détail!$D:$D,"ESSO ATTAINVILL",Détail!$A:$A,"&gt;="&amp;DATE(2025,12,1),Détail!$A:$A,"&lt;"&amp;EDATE(DATE(2025,12,1),1))+SUMIFS(Détail!$E:$E,Détail!$D:$D,"ESSO31775ROC3",Détail!$A:$A,"&gt;="&amp;DATE(2025,12,1),Détail!$A:$A,"&lt;"&amp;EDATE(DATE(2025,12,1),1))+SUMIFS(Détail!$E:$E,Détail!$D:$D,"ESSO31753ROC1",Détail!$A:$A,"&gt;="&amp;DATE(2025,12,1),Détail!$A:$A,"&lt;"&amp;EDATE(DATE(2025,12,1),1))+SUMIFS(Détail!$E:$E,Détail!$D:$D,"ESSO CHAMPILAVA",Détail!$A:$A,"&gt;="&amp;DATE(2025,12,1),Détail!$A:$A,"&lt;"&amp;EDATE(DATE(2025,12,1),1))</f>
        <v>-53.93</v>
      </c>
    </row>
    <row r="48" customFormat="false" ht="15" hidden="false" customHeight="true" outlineLevel="0" collapsed="false">
      <c r="A48" s="26" t="s">
        <v>285</v>
      </c>
      <c r="B48" s="26" t="s">
        <v>286</v>
      </c>
    </row>
    <row r="50" customFormat="false" ht="15" hidden="false" customHeight="true" outlineLevel="0" collapsed="false">
      <c r="A50" s="29" t="s">
        <v>287</v>
      </c>
      <c r="B50" s="29"/>
      <c r="C50" s="30" t="n">
        <f aca="false">SUMIF(Détail!$D:$D,"STATION AVIA",Détail!$E:$E)</f>
        <v>-22.5</v>
      </c>
    </row>
    <row r="51" customFormat="false" ht="15" hidden="false" customHeight="true" outlineLevel="0" collapsed="false">
      <c r="A51" s="24" t="s">
        <v>63</v>
      </c>
      <c r="B51" s="24" t="s">
        <v>64</v>
      </c>
    </row>
    <row r="52" customFormat="false" ht="15" hidden="false" customHeight="true" outlineLevel="0" collapsed="false">
      <c r="A52" s="8" t="s">
        <v>65</v>
      </c>
      <c r="B52" s="31" t="n">
        <f aca="false">SUMIFS(Détail!$E:$E,Détail!$D:$D,"STATION AVIA",Détail!$A:$A,"&gt;="&amp;DATE(2025,1,1),Détail!$A:$A,"&lt;"&amp;EDATE(DATE(2025,1,1),1))</f>
        <v>0</v>
      </c>
    </row>
    <row r="53" customFormat="false" ht="15" hidden="false" customHeight="true" outlineLevel="0" collapsed="false">
      <c r="A53" s="8" t="s">
        <v>66</v>
      </c>
      <c r="B53" s="31" t="n">
        <f aca="false">SUMIFS(Détail!$E:$E,Détail!$D:$D,"STATION AVIA",Détail!$A:$A,"&gt;="&amp;DATE(2025,2,1),Détail!$A:$A,"&lt;"&amp;EDATE(DATE(2025,2,1),1))</f>
        <v>-22.5</v>
      </c>
    </row>
    <row r="54" customFormat="false" ht="15" hidden="false" customHeight="true" outlineLevel="0" collapsed="false">
      <c r="A54" s="8" t="s">
        <v>67</v>
      </c>
      <c r="B54" s="31" t="n">
        <f aca="false">SUMIFS(Détail!$E:$E,Détail!$D:$D,"STATION AVIA",Détail!$A:$A,"&gt;="&amp;DATE(2025,3,1),Détail!$A:$A,"&lt;"&amp;EDATE(DATE(2025,3,1),1))</f>
        <v>0</v>
      </c>
    </row>
    <row r="55" customFormat="false" ht="15" hidden="false" customHeight="true" outlineLevel="0" collapsed="false">
      <c r="A55" s="8" t="s">
        <v>68</v>
      </c>
      <c r="B55" s="31" t="n">
        <f aca="false">SUMIFS(Détail!$E:$E,Détail!$D:$D,"STATION AVIA",Détail!$A:$A,"&gt;="&amp;DATE(2025,4,1),Détail!$A:$A,"&lt;"&amp;EDATE(DATE(2025,4,1),1))</f>
        <v>0</v>
      </c>
    </row>
    <row r="56" customFormat="false" ht="15" hidden="false" customHeight="true" outlineLevel="0" collapsed="false">
      <c r="A56" s="8" t="s">
        <v>69</v>
      </c>
      <c r="B56" s="31" t="n">
        <f aca="false">SUMIFS(Détail!$E:$E,Détail!$D:$D,"STATION AVIA",Détail!$A:$A,"&gt;="&amp;DATE(2025,5,1),Détail!$A:$A,"&lt;"&amp;EDATE(DATE(2025,5,1),1))</f>
        <v>0</v>
      </c>
    </row>
    <row r="57" customFormat="false" ht="15" hidden="false" customHeight="true" outlineLevel="0" collapsed="false">
      <c r="A57" s="8" t="s">
        <v>70</v>
      </c>
      <c r="B57" s="31" t="n">
        <f aca="false">SUMIFS(Détail!$E:$E,Détail!$D:$D,"STATION AVIA",Détail!$A:$A,"&gt;="&amp;DATE(2025,6,1),Détail!$A:$A,"&lt;"&amp;EDATE(DATE(2025,6,1),1))</f>
        <v>0</v>
      </c>
    </row>
    <row r="58" customFormat="false" ht="15" hidden="false" customHeight="true" outlineLevel="0" collapsed="false">
      <c r="A58" s="8" t="s">
        <v>71</v>
      </c>
      <c r="B58" s="31" t="n">
        <f aca="false">SUMIFS(Détail!$E:$E,Détail!$D:$D,"STATION AVIA",Détail!$A:$A,"&gt;="&amp;DATE(2025,7,1),Détail!$A:$A,"&lt;"&amp;EDATE(DATE(2025,7,1),1))</f>
        <v>0</v>
      </c>
    </row>
    <row r="59" customFormat="false" ht="15" hidden="false" customHeight="true" outlineLevel="0" collapsed="false">
      <c r="A59" s="8" t="s">
        <v>72</v>
      </c>
      <c r="B59" s="31" t="n">
        <f aca="false">SUMIFS(Détail!$E:$E,Détail!$D:$D,"STATION AVIA",Détail!$A:$A,"&gt;="&amp;DATE(2025,8,1),Détail!$A:$A,"&lt;"&amp;EDATE(DATE(2025,8,1),1))</f>
        <v>0</v>
      </c>
    </row>
    <row r="60" customFormat="false" ht="15" hidden="false" customHeight="true" outlineLevel="0" collapsed="false">
      <c r="A60" s="8" t="s">
        <v>73</v>
      </c>
      <c r="B60" s="31" t="n">
        <f aca="false">SUMIFS(Détail!$E:$E,Détail!$D:$D,"STATION AVIA",Détail!$A:$A,"&gt;="&amp;DATE(2025,9,1),Détail!$A:$A,"&lt;"&amp;EDATE(DATE(2025,9,1),1))</f>
        <v>0</v>
      </c>
    </row>
    <row r="61" customFormat="false" ht="15" hidden="false" customHeight="true" outlineLevel="0" collapsed="false">
      <c r="A61" s="8" t="s">
        <v>74</v>
      </c>
      <c r="B61" s="31" t="n">
        <f aca="false">SUMIFS(Détail!$E:$E,Détail!$D:$D,"STATION AVIA",Détail!$A:$A,"&gt;="&amp;DATE(2025,10,1),Détail!$A:$A,"&lt;"&amp;EDATE(DATE(2025,10,1),1))</f>
        <v>0</v>
      </c>
    </row>
    <row r="62" customFormat="false" ht="15" hidden="false" customHeight="true" outlineLevel="0" collapsed="false">
      <c r="A62" s="8" t="s">
        <v>75</v>
      </c>
      <c r="B62" s="31" t="n">
        <f aca="false">SUMIFS(Détail!$E:$E,Détail!$D:$D,"STATION AVIA",Détail!$A:$A,"&gt;="&amp;DATE(2025,11,1),Détail!$A:$A,"&lt;"&amp;EDATE(DATE(2025,11,1),1))</f>
        <v>0</v>
      </c>
    </row>
    <row r="63" customFormat="false" ht="15" hidden="false" customHeight="true" outlineLevel="0" collapsed="false">
      <c r="A63" s="8" t="s">
        <v>76</v>
      </c>
      <c r="B63" s="31" t="n">
        <f aca="false">SUMIFS(Détail!$E:$E,Détail!$D:$D,"STATION AVIA",Détail!$A:$A,"&gt;="&amp;DATE(2025,12,1),Détail!$A:$A,"&lt;"&amp;EDATE(DATE(2025,12,1),1))</f>
        <v>0</v>
      </c>
    </row>
    <row r="65" customFormat="false" ht="15" hidden="false" customHeight="true" outlineLevel="0" collapsed="false">
      <c r="A65" s="29" t="s">
        <v>288</v>
      </c>
      <c r="B65" s="29"/>
      <c r="C65" s="30" t="n">
        <f aca="false">SUMIF(Détail!$D:$D,"SHELL 8173",Détail!$E:$E)</f>
        <v>-70</v>
      </c>
    </row>
    <row r="66" customFormat="false" ht="15" hidden="false" customHeight="true" outlineLevel="0" collapsed="false">
      <c r="A66" s="24" t="s">
        <v>63</v>
      </c>
      <c r="B66" s="24" t="s">
        <v>64</v>
      </c>
    </row>
    <row r="67" customFormat="false" ht="15" hidden="false" customHeight="true" outlineLevel="0" collapsed="false">
      <c r="A67" s="8" t="s">
        <v>65</v>
      </c>
      <c r="B67" s="31" t="n">
        <f aca="false">SUMIFS(Détail!$E:$E,Détail!$D:$D,"SHELL 8173",Détail!$A:$A,"&gt;="&amp;DATE(2025,1,1),Détail!$A:$A,"&lt;"&amp;EDATE(DATE(2025,1,1),1))</f>
        <v>0</v>
      </c>
    </row>
    <row r="68" customFormat="false" ht="15" hidden="false" customHeight="true" outlineLevel="0" collapsed="false">
      <c r="A68" s="8" t="s">
        <v>66</v>
      </c>
      <c r="B68" s="31" t="n">
        <f aca="false">SUMIFS(Détail!$E:$E,Détail!$D:$D,"SHELL 8173",Détail!$A:$A,"&gt;="&amp;DATE(2025,2,1),Détail!$A:$A,"&lt;"&amp;EDATE(DATE(2025,2,1),1))</f>
        <v>-70</v>
      </c>
    </row>
    <row r="69" customFormat="false" ht="15" hidden="false" customHeight="true" outlineLevel="0" collapsed="false">
      <c r="A69" s="8" t="s">
        <v>67</v>
      </c>
      <c r="B69" s="31" t="n">
        <f aca="false">SUMIFS(Détail!$E:$E,Détail!$D:$D,"SHELL 8173",Détail!$A:$A,"&gt;="&amp;DATE(2025,3,1),Détail!$A:$A,"&lt;"&amp;EDATE(DATE(2025,3,1),1))</f>
        <v>0</v>
      </c>
    </row>
    <row r="70" customFormat="false" ht="15" hidden="false" customHeight="true" outlineLevel="0" collapsed="false">
      <c r="A70" s="8" t="s">
        <v>68</v>
      </c>
      <c r="B70" s="31" t="n">
        <f aca="false">SUMIFS(Détail!$E:$E,Détail!$D:$D,"SHELL 8173",Détail!$A:$A,"&gt;="&amp;DATE(2025,4,1),Détail!$A:$A,"&lt;"&amp;EDATE(DATE(2025,4,1),1))</f>
        <v>0</v>
      </c>
    </row>
    <row r="71" customFormat="false" ht="15" hidden="false" customHeight="true" outlineLevel="0" collapsed="false">
      <c r="A71" s="8" t="s">
        <v>69</v>
      </c>
      <c r="B71" s="31" t="n">
        <f aca="false">SUMIFS(Détail!$E:$E,Détail!$D:$D,"SHELL 8173",Détail!$A:$A,"&gt;="&amp;DATE(2025,5,1),Détail!$A:$A,"&lt;"&amp;EDATE(DATE(2025,5,1),1))</f>
        <v>0</v>
      </c>
    </row>
    <row r="72" customFormat="false" ht="15" hidden="false" customHeight="true" outlineLevel="0" collapsed="false">
      <c r="A72" s="8" t="s">
        <v>70</v>
      </c>
      <c r="B72" s="31" t="n">
        <f aca="false">SUMIFS(Détail!$E:$E,Détail!$D:$D,"SHELL 8173",Détail!$A:$A,"&gt;="&amp;DATE(2025,6,1),Détail!$A:$A,"&lt;"&amp;EDATE(DATE(2025,6,1),1))</f>
        <v>0</v>
      </c>
    </row>
    <row r="73" customFormat="false" ht="15" hidden="false" customHeight="true" outlineLevel="0" collapsed="false">
      <c r="A73" s="8" t="s">
        <v>71</v>
      </c>
      <c r="B73" s="31" t="n">
        <f aca="false">SUMIFS(Détail!$E:$E,Détail!$D:$D,"SHELL 8173",Détail!$A:$A,"&gt;="&amp;DATE(2025,7,1),Détail!$A:$A,"&lt;"&amp;EDATE(DATE(2025,7,1),1))</f>
        <v>0</v>
      </c>
    </row>
    <row r="74" customFormat="false" ht="15" hidden="false" customHeight="true" outlineLevel="0" collapsed="false">
      <c r="A74" s="8" t="s">
        <v>72</v>
      </c>
      <c r="B74" s="31" t="n">
        <f aca="false">SUMIFS(Détail!$E:$E,Détail!$D:$D,"SHELL 8173",Détail!$A:$A,"&gt;="&amp;DATE(2025,8,1),Détail!$A:$A,"&lt;"&amp;EDATE(DATE(2025,8,1),1))</f>
        <v>0</v>
      </c>
    </row>
    <row r="75" customFormat="false" ht="15" hidden="false" customHeight="true" outlineLevel="0" collapsed="false">
      <c r="A75" s="8" t="s">
        <v>73</v>
      </c>
      <c r="B75" s="31" t="n">
        <f aca="false">SUMIFS(Détail!$E:$E,Détail!$D:$D,"SHELL 8173",Détail!$A:$A,"&gt;="&amp;DATE(2025,9,1),Détail!$A:$A,"&lt;"&amp;EDATE(DATE(2025,9,1),1))</f>
        <v>0</v>
      </c>
    </row>
    <row r="76" customFormat="false" ht="15" hidden="false" customHeight="true" outlineLevel="0" collapsed="false">
      <c r="A76" s="8" t="s">
        <v>74</v>
      </c>
      <c r="B76" s="31" t="n">
        <f aca="false">SUMIFS(Détail!$E:$E,Détail!$D:$D,"SHELL 8173",Détail!$A:$A,"&gt;="&amp;DATE(2025,10,1),Détail!$A:$A,"&lt;"&amp;EDATE(DATE(2025,10,1),1))</f>
        <v>0</v>
      </c>
    </row>
    <row r="77" customFormat="false" ht="15" hidden="false" customHeight="true" outlineLevel="0" collapsed="false">
      <c r="A77" s="8" t="s">
        <v>75</v>
      </c>
      <c r="B77" s="31" t="n">
        <f aca="false">SUMIFS(Détail!$E:$E,Détail!$D:$D,"SHELL 8173",Détail!$A:$A,"&gt;="&amp;DATE(2025,11,1),Détail!$A:$A,"&lt;"&amp;EDATE(DATE(2025,11,1),1))</f>
        <v>0</v>
      </c>
    </row>
    <row r="78" customFormat="false" ht="15" hidden="false" customHeight="true" outlineLevel="0" collapsed="false">
      <c r="A78" s="8" t="s">
        <v>76</v>
      </c>
      <c r="B78" s="31" t="n">
        <f aca="false">SUMIFS(Détail!$E:$E,Détail!$D:$D,"SHELL 8173",Détail!$A:$A,"&gt;="&amp;DATE(2025,12,1),Détail!$A:$A,"&lt;"&amp;EDATE(DATE(2025,12,1),1))</f>
        <v>0</v>
      </c>
    </row>
    <row r="80" customFormat="false" ht="15" hidden="false" customHeight="true" outlineLevel="0" collapsed="false">
      <c r="A80" s="29" t="s">
        <v>289</v>
      </c>
      <c r="B80" s="29"/>
      <c r="C80" s="30" t="n">
        <f aca="false">SUMIF(Détail!$D:$D,"ITALIANA PETROL",Détail!$E:$E)+SUMIF(Détail!$D:$D,"ES EL MASNOU",Détail!$E:$E)+SUMIF(Détail!$D:$D,"E.S. CEDIPSA EM",Détail!$E:$E)+SUMIF(Détail!$D:$D,"E.S.LA TALAIA",Détail!$E:$E)+SUMIF(Détail!$D:$D,"DYNEFF NFC",Détail!$E:$E)+SUMIF(Détail!$D:$D,"DYNEFF GRAINCOU",Détail!$E:$E)</f>
        <v>-348.3</v>
      </c>
    </row>
    <row r="81" customFormat="false" ht="15" hidden="false" customHeight="true" outlineLevel="0" collapsed="false">
      <c r="A81" s="24" t="s">
        <v>63</v>
      </c>
      <c r="B81" s="24" t="s">
        <v>64</v>
      </c>
    </row>
    <row r="82" customFormat="false" ht="15" hidden="false" customHeight="true" outlineLevel="0" collapsed="false">
      <c r="A82" s="8" t="s">
        <v>65</v>
      </c>
      <c r="B82" s="31" t="n">
        <f aca="false">SUMIFS(Détail!$E:$E,Détail!$D:$D,"ITALIANA PETROL",Détail!$A:$A,"&gt;="&amp;DATE(2025,1,1),Détail!$A:$A,"&lt;"&amp;EDATE(DATE(2025,1,1),1))+SUMIFS(Détail!$E:$E,Détail!$D:$D,"ES EL MASNOU",Détail!$A:$A,"&gt;="&amp;DATE(2025,1,1),Détail!$A:$A,"&lt;"&amp;EDATE(DATE(2025,1,1),1))+SUMIFS(Détail!$E:$E,Détail!$D:$D,"E.S. CEDIPSA EM",Détail!$A:$A,"&gt;="&amp;DATE(2025,1,1),Détail!$A:$A,"&lt;"&amp;EDATE(DATE(2025,1,1),1))+SUMIFS(Détail!$E:$E,Détail!$D:$D,"E.S.LA TALAIA",Détail!$A:$A,"&gt;="&amp;DATE(2025,1,1),Détail!$A:$A,"&lt;"&amp;EDATE(DATE(2025,1,1),1))+SUMIFS(Détail!$E:$E,Détail!$D:$D,"DYNEFF NFC",Détail!$A:$A,"&gt;="&amp;DATE(2025,1,1),Détail!$A:$A,"&lt;"&amp;EDATE(DATE(2025,1,1),1))+SUMIFS(Détail!$E:$E,Détail!$D:$D,"DYNEFF GRAINCOU",Détail!$A:$A,"&gt;="&amp;DATE(2025,1,1),Détail!$A:$A,"&lt;"&amp;EDATE(DATE(2025,1,1),1))</f>
        <v>0</v>
      </c>
    </row>
    <row r="83" customFormat="false" ht="15" hidden="false" customHeight="true" outlineLevel="0" collapsed="false">
      <c r="A83" s="8" t="s">
        <v>66</v>
      </c>
      <c r="B83" s="31" t="n">
        <f aca="false">SUMIFS(Détail!$E:$E,Détail!$D:$D,"ITALIANA PETROL",Détail!$A:$A,"&gt;="&amp;DATE(2025,2,1),Détail!$A:$A,"&lt;"&amp;EDATE(DATE(2025,2,1),1))+SUMIFS(Détail!$E:$E,Détail!$D:$D,"ES EL MASNOU",Détail!$A:$A,"&gt;="&amp;DATE(2025,2,1),Détail!$A:$A,"&lt;"&amp;EDATE(DATE(2025,2,1),1))+SUMIFS(Détail!$E:$E,Détail!$D:$D,"E.S. CEDIPSA EM",Détail!$A:$A,"&gt;="&amp;DATE(2025,2,1),Détail!$A:$A,"&lt;"&amp;EDATE(DATE(2025,2,1),1))+SUMIFS(Détail!$E:$E,Détail!$D:$D,"E.S.LA TALAIA",Détail!$A:$A,"&gt;="&amp;DATE(2025,2,1),Détail!$A:$A,"&lt;"&amp;EDATE(DATE(2025,2,1),1))+SUMIFS(Détail!$E:$E,Détail!$D:$D,"DYNEFF NFC",Détail!$A:$A,"&gt;="&amp;DATE(2025,2,1),Détail!$A:$A,"&lt;"&amp;EDATE(DATE(2025,2,1),1))+SUMIFS(Détail!$E:$E,Détail!$D:$D,"DYNEFF GRAINCOU",Détail!$A:$A,"&gt;="&amp;DATE(2025,2,1),Détail!$A:$A,"&lt;"&amp;EDATE(DATE(2025,2,1),1))</f>
        <v>-80</v>
      </c>
    </row>
    <row r="84" customFormat="false" ht="15" hidden="false" customHeight="true" outlineLevel="0" collapsed="false">
      <c r="A84" s="8" t="s">
        <v>67</v>
      </c>
      <c r="B84" s="31" t="n">
        <f aca="false">SUMIFS(Détail!$E:$E,Détail!$D:$D,"ITALIANA PETROL",Détail!$A:$A,"&gt;="&amp;DATE(2025,3,1),Détail!$A:$A,"&lt;"&amp;EDATE(DATE(2025,3,1),1))+SUMIFS(Détail!$E:$E,Détail!$D:$D,"ES EL MASNOU",Détail!$A:$A,"&gt;="&amp;DATE(2025,3,1),Détail!$A:$A,"&lt;"&amp;EDATE(DATE(2025,3,1),1))+SUMIFS(Détail!$E:$E,Détail!$D:$D,"E.S. CEDIPSA EM",Détail!$A:$A,"&gt;="&amp;DATE(2025,3,1),Détail!$A:$A,"&lt;"&amp;EDATE(DATE(2025,3,1),1))+SUMIFS(Détail!$E:$E,Détail!$D:$D,"E.S.LA TALAIA",Détail!$A:$A,"&gt;="&amp;DATE(2025,3,1),Détail!$A:$A,"&lt;"&amp;EDATE(DATE(2025,3,1),1))+SUMIFS(Détail!$E:$E,Détail!$D:$D,"DYNEFF NFC",Détail!$A:$A,"&gt;="&amp;DATE(2025,3,1),Détail!$A:$A,"&lt;"&amp;EDATE(DATE(2025,3,1),1))+SUMIFS(Détail!$E:$E,Détail!$D:$D,"DYNEFF GRAINCOU",Détail!$A:$A,"&gt;="&amp;DATE(2025,3,1),Détail!$A:$A,"&lt;"&amp;EDATE(DATE(2025,3,1),1))</f>
        <v>0</v>
      </c>
    </row>
    <row r="85" customFormat="false" ht="15" hidden="false" customHeight="true" outlineLevel="0" collapsed="false">
      <c r="A85" s="8" t="s">
        <v>68</v>
      </c>
      <c r="B85" s="31" t="n">
        <f aca="false">SUMIFS(Détail!$E:$E,Détail!$D:$D,"ITALIANA PETROL",Détail!$A:$A,"&gt;="&amp;DATE(2025,4,1),Détail!$A:$A,"&lt;"&amp;EDATE(DATE(2025,4,1),1))+SUMIFS(Détail!$E:$E,Détail!$D:$D,"ES EL MASNOU",Détail!$A:$A,"&gt;="&amp;DATE(2025,4,1),Détail!$A:$A,"&lt;"&amp;EDATE(DATE(2025,4,1),1))+SUMIFS(Détail!$E:$E,Détail!$D:$D,"E.S. CEDIPSA EM",Détail!$A:$A,"&gt;="&amp;DATE(2025,4,1),Détail!$A:$A,"&lt;"&amp;EDATE(DATE(2025,4,1),1))+SUMIFS(Détail!$E:$E,Détail!$D:$D,"E.S.LA TALAIA",Détail!$A:$A,"&gt;="&amp;DATE(2025,4,1),Détail!$A:$A,"&lt;"&amp;EDATE(DATE(2025,4,1),1))+SUMIFS(Détail!$E:$E,Détail!$D:$D,"DYNEFF NFC",Détail!$A:$A,"&gt;="&amp;DATE(2025,4,1),Détail!$A:$A,"&lt;"&amp;EDATE(DATE(2025,4,1),1))+SUMIFS(Détail!$E:$E,Détail!$D:$D,"DYNEFF GRAINCOU",Détail!$A:$A,"&gt;="&amp;DATE(2025,4,1),Détail!$A:$A,"&lt;"&amp;EDATE(DATE(2025,4,1),1))</f>
        <v>0</v>
      </c>
    </row>
    <row r="86" customFormat="false" ht="15" hidden="false" customHeight="true" outlineLevel="0" collapsed="false">
      <c r="A86" s="8" t="s">
        <v>69</v>
      </c>
      <c r="B86" s="31" t="n">
        <f aca="false">SUMIFS(Détail!$E:$E,Détail!$D:$D,"ITALIANA PETROL",Détail!$A:$A,"&gt;="&amp;DATE(2025,5,1),Détail!$A:$A,"&lt;"&amp;EDATE(DATE(2025,5,1),1))+SUMIFS(Détail!$E:$E,Détail!$D:$D,"ES EL MASNOU",Détail!$A:$A,"&gt;="&amp;DATE(2025,5,1),Détail!$A:$A,"&lt;"&amp;EDATE(DATE(2025,5,1),1))+SUMIFS(Détail!$E:$E,Détail!$D:$D,"E.S. CEDIPSA EM",Détail!$A:$A,"&gt;="&amp;DATE(2025,5,1),Détail!$A:$A,"&lt;"&amp;EDATE(DATE(2025,5,1),1))+SUMIFS(Détail!$E:$E,Détail!$D:$D,"E.S.LA TALAIA",Détail!$A:$A,"&gt;="&amp;DATE(2025,5,1),Détail!$A:$A,"&lt;"&amp;EDATE(DATE(2025,5,1),1))+SUMIFS(Détail!$E:$E,Détail!$D:$D,"DYNEFF NFC",Détail!$A:$A,"&gt;="&amp;DATE(2025,5,1),Détail!$A:$A,"&lt;"&amp;EDATE(DATE(2025,5,1),1))+SUMIFS(Détail!$E:$E,Détail!$D:$D,"DYNEFF GRAINCOU",Détail!$A:$A,"&gt;="&amp;DATE(2025,5,1),Détail!$A:$A,"&lt;"&amp;EDATE(DATE(2025,5,1),1))</f>
        <v>0</v>
      </c>
    </row>
    <row r="87" customFormat="false" ht="15" hidden="false" customHeight="true" outlineLevel="0" collapsed="false">
      <c r="A87" s="8" t="s">
        <v>70</v>
      </c>
      <c r="B87" s="31" t="n">
        <f aca="false">SUMIFS(Détail!$E:$E,Détail!$D:$D,"ITALIANA PETROL",Détail!$A:$A,"&gt;="&amp;DATE(2025,6,1),Détail!$A:$A,"&lt;"&amp;EDATE(DATE(2025,6,1),1))+SUMIFS(Détail!$E:$E,Détail!$D:$D,"ES EL MASNOU",Détail!$A:$A,"&gt;="&amp;DATE(2025,6,1),Détail!$A:$A,"&lt;"&amp;EDATE(DATE(2025,6,1),1))+SUMIFS(Détail!$E:$E,Détail!$D:$D,"E.S. CEDIPSA EM",Détail!$A:$A,"&gt;="&amp;DATE(2025,6,1),Détail!$A:$A,"&lt;"&amp;EDATE(DATE(2025,6,1),1))+SUMIFS(Détail!$E:$E,Détail!$D:$D,"E.S.LA TALAIA",Détail!$A:$A,"&gt;="&amp;DATE(2025,6,1),Détail!$A:$A,"&lt;"&amp;EDATE(DATE(2025,6,1),1))+SUMIFS(Détail!$E:$E,Détail!$D:$D,"DYNEFF NFC",Détail!$A:$A,"&gt;="&amp;DATE(2025,6,1),Détail!$A:$A,"&lt;"&amp;EDATE(DATE(2025,6,1),1))+SUMIFS(Détail!$E:$E,Détail!$D:$D,"DYNEFF GRAINCOU",Détail!$A:$A,"&gt;="&amp;DATE(2025,6,1),Détail!$A:$A,"&lt;"&amp;EDATE(DATE(2025,6,1),1))</f>
        <v>0</v>
      </c>
    </row>
    <row r="88" customFormat="false" ht="15" hidden="false" customHeight="true" outlineLevel="0" collapsed="false">
      <c r="A88" s="8" t="s">
        <v>71</v>
      </c>
      <c r="B88" s="31" t="n">
        <f aca="false">SUMIFS(Détail!$E:$E,Détail!$D:$D,"ITALIANA PETROL",Détail!$A:$A,"&gt;="&amp;DATE(2025,7,1),Détail!$A:$A,"&lt;"&amp;EDATE(DATE(2025,7,1),1))+SUMIFS(Détail!$E:$E,Détail!$D:$D,"ES EL MASNOU",Détail!$A:$A,"&gt;="&amp;DATE(2025,7,1),Détail!$A:$A,"&lt;"&amp;EDATE(DATE(2025,7,1),1))+SUMIFS(Détail!$E:$E,Détail!$D:$D,"E.S. CEDIPSA EM",Détail!$A:$A,"&gt;="&amp;DATE(2025,7,1),Détail!$A:$A,"&lt;"&amp;EDATE(DATE(2025,7,1),1))+SUMIFS(Détail!$E:$E,Détail!$D:$D,"E.S.LA TALAIA",Détail!$A:$A,"&gt;="&amp;DATE(2025,7,1),Détail!$A:$A,"&lt;"&amp;EDATE(DATE(2025,7,1),1))+SUMIFS(Détail!$E:$E,Détail!$D:$D,"DYNEFF NFC",Détail!$A:$A,"&gt;="&amp;DATE(2025,7,1),Détail!$A:$A,"&lt;"&amp;EDATE(DATE(2025,7,1),1))+SUMIFS(Détail!$E:$E,Détail!$D:$D,"DYNEFF GRAINCOU",Détail!$A:$A,"&gt;="&amp;DATE(2025,7,1),Détail!$A:$A,"&lt;"&amp;EDATE(DATE(2025,7,1),1))</f>
        <v>-24.85</v>
      </c>
    </row>
    <row r="89" customFormat="false" ht="15" hidden="false" customHeight="true" outlineLevel="0" collapsed="false">
      <c r="A89" s="8" t="s">
        <v>72</v>
      </c>
      <c r="B89" s="31" t="n">
        <f aca="false">SUMIFS(Détail!$E:$E,Détail!$D:$D,"ITALIANA PETROL",Détail!$A:$A,"&gt;="&amp;DATE(2025,8,1),Détail!$A:$A,"&lt;"&amp;EDATE(DATE(2025,8,1),1))+SUMIFS(Détail!$E:$E,Détail!$D:$D,"ES EL MASNOU",Détail!$A:$A,"&gt;="&amp;DATE(2025,8,1),Détail!$A:$A,"&lt;"&amp;EDATE(DATE(2025,8,1),1))+SUMIFS(Détail!$E:$E,Détail!$D:$D,"E.S. CEDIPSA EM",Détail!$A:$A,"&gt;="&amp;DATE(2025,8,1),Détail!$A:$A,"&lt;"&amp;EDATE(DATE(2025,8,1),1))+SUMIFS(Détail!$E:$E,Détail!$D:$D,"E.S.LA TALAIA",Détail!$A:$A,"&gt;="&amp;DATE(2025,8,1),Détail!$A:$A,"&lt;"&amp;EDATE(DATE(2025,8,1),1))+SUMIFS(Détail!$E:$E,Détail!$D:$D,"DYNEFF NFC",Détail!$A:$A,"&gt;="&amp;DATE(2025,8,1),Détail!$A:$A,"&lt;"&amp;EDATE(DATE(2025,8,1),1))+SUMIFS(Détail!$E:$E,Détail!$D:$D,"DYNEFF GRAINCOU",Détail!$A:$A,"&gt;="&amp;DATE(2025,8,1),Détail!$A:$A,"&lt;"&amp;EDATE(DATE(2025,8,1),1))</f>
        <v>-243.45</v>
      </c>
    </row>
    <row r="90" customFormat="false" ht="15" hidden="false" customHeight="true" outlineLevel="0" collapsed="false">
      <c r="A90" s="8" t="s">
        <v>73</v>
      </c>
      <c r="B90" s="31" t="n">
        <f aca="false">SUMIFS(Détail!$E:$E,Détail!$D:$D,"ITALIANA PETROL",Détail!$A:$A,"&gt;="&amp;DATE(2025,9,1),Détail!$A:$A,"&lt;"&amp;EDATE(DATE(2025,9,1),1))+SUMIFS(Détail!$E:$E,Détail!$D:$D,"ES EL MASNOU",Détail!$A:$A,"&gt;="&amp;DATE(2025,9,1),Détail!$A:$A,"&lt;"&amp;EDATE(DATE(2025,9,1),1))+SUMIFS(Détail!$E:$E,Détail!$D:$D,"E.S. CEDIPSA EM",Détail!$A:$A,"&gt;="&amp;DATE(2025,9,1),Détail!$A:$A,"&lt;"&amp;EDATE(DATE(2025,9,1),1))+SUMIFS(Détail!$E:$E,Détail!$D:$D,"E.S.LA TALAIA",Détail!$A:$A,"&gt;="&amp;DATE(2025,9,1),Détail!$A:$A,"&lt;"&amp;EDATE(DATE(2025,9,1),1))+SUMIFS(Détail!$E:$E,Détail!$D:$D,"DYNEFF NFC",Détail!$A:$A,"&gt;="&amp;DATE(2025,9,1),Détail!$A:$A,"&lt;"&amp;EDATE(DATE(2025,9,1),1))+SUMIFS(Détail!$E:$E,Détail!$D:$D,"DYNEFF GRAINCOU",Détail!$A:$A,"&gt;="&amp;DATE(2025,9,1),Détail!$A:$A,"&lt;"&amp;EDATE(DATE(2025,9,1),1))</f>
        <v>0</v>
      </c>
    </row>
    <row r="91" customFormat="false" ht="15" hidden="false" customHeight="true" outlineLevel="0" collapsed="false">
      <c r="A91" s="8" t="s">
        <v>74</v>
      </c>
      <c r="B91" s="31" t="n">
        <f aca="false">SUMIFS(Détail!$E:$E,Détail!$D:$D,"ITALIANA PETROL",Détail!$A:$A,"&gt;="&amp;DATE(2025,10,1),Détail!$A:$A,"&lt;"&amp;EDATE(DATE(2025,10,1),1))+SUMIFS(Détail!$E:$E,Détail!$D:$D,"ES EL MASNOU",Détail!$A:$A,"&gt;="&amp;DATE(2025,10,1),Détail!$A:$A,"&lt;"&amp;EDATE(DATE(2025,10,1),1))+SUMIFS(Détail!$E:$E,Détail!$D:$D,"E.S. CEDIPSA EM",Détail!$A:$A,"&gt;="&amp;DATE(2025,10,1),Détail!$A:$A,"&lt;"&amp;EDATE(DATE(2025,10,1),1))+SUMIFS(Détail!$E:$E,Détail!$D:$D,"E.S.LA TALAIA",Détail!$A:$A,"&gt;="&amp;DATE(2025,10,1),Détail!$A:$A,"&lt;"&amp;EDATE(DATE(2025,10,1),1))+SUMIFS(Détail!$E:$E,Détail!$D:$D,"DYNEFF NFC",Détail!$A:$A,"&gt;="&amp;DATE(2025,10,1),Détail!$A:$A,"&lt;"&amp;EDATE(DATE(2025,10,1),1))+SUMIFS(Détail!$E:$E,Détail!$D:$D,"DYNEFF GRAINCOU",Détail!$A:$A,"&gt;="&amp;DATE(2025,10,1),Détail!$A:$A,"&lt;"&amp;EDATE(DATE(2025,10,1),1))</f>
        <v>0</v>
      </c>
    </row>
    <row r="92" customFormat="false" ht="15" hidden="false" customHeight="true" outlineLevel="0" collapsed="false">
      <c r="A92" s="8" t="s">
        <v>75</v>
      </c>
      <c r="B92" s="31" t="n">
        <f aca="false">SUMIFS(Détail!$E:$E,Détail!$D:$D,"ITALIANA PETROL",Détail!$A:$A,"&gt;="&amp;DATE(2025,11,1),Détail!$A:$A,"&lt;"&amp;EDATE(DATE(2025,11,1),1))+SUMIFS(Détail!$E:$E,Détail!$D:$D,"ES EL MASNOU",Détail!$A:$A,"&gt;="&amp;DATE(2025,11,1),Détail!$A:$A,"&lt;"&amp;EDATE(DATE(2025,11,1),1))+SUMIFS(Détail!$E:$E,Détail!$D:$D,"E.S. CEDIPSA EM",Détail!$A:$A,"&gt;="&amp;DATE(2025,11,1),Détail!$A:$A,"&lt;"&amp;EDATE(DATE(2025,11,1),1))+SUMIFS(Détail!$E:$E,Détail!$D:$D,"E.S.LA TALAIA",Détail!$A:$A,"&gt;="&amp;DATE(2025,11,1),Détail!$A:$A,"&lt;"&amp;EDATE(DATE(2025,11,1),1))+SUMIFS(Détail!$E:$E,Détail!$D:$D,"DYNEFF NFC",Détail!$A:$A,"&gt;="&amp;DATE(2025,11,1),Détail!$A:$A,"&lt;"&amp;EDATE(DATE(2025,11,1),1))+SUMIFS(Détail!$E:$E,Détail!$D:$D,"DYNEFF GRAINCOU",Détail!$A:$A,"&gt;="&amp;DATE(2025,11,1),Détail!$A:$A,"&lt;"&amp;EDATE(DATE(2025,11,1),1))</f>
        <v>0</v>
      </c>
    </row>
    <row r="93" customFormat="false" ht="15" hidden="false" customHeight="true" outlineLevel="0" collapsed="false">
      <c r="A93" s="8" t="s">
        <v>76</v>
      </c>
      <c r="B93" s="31" t="n">
        <f aca="false">SUMIFS(Détail!$E:$E,Détail!$D:$D,"ITALIANA PETROL",Détail!$A:$A,"&gt;="&amp;DATE(2025,12,1),Détail!$A:$A,"&lt;"&amp;EDATE(DATE(2025,12,1),1))+SUMIFS(Détail!$E:$E,Détail!$D:$D,"ES EL MASNOU",Détail!$A:$A,"&gt;="&amp;DATE(2025,12,1),Détail!$A:$A,"&lt;"&amp;EDATE(DATE(2025,12,1),1))+SUMIFS(Détail!$E:$E,Détail!$D:$D,"E.S. CEDIPSA EM",Détail!$A:$A,"&gt;="&amp;DATE(2025,12,1),Détail!$A:$A,"&lt;"&amp;EDATE(DATE(2025,12,1),1))+SUMIFS(Détail!$E:$E,Détail!$D:$D,"E.S.LA TALAIA",Détail!$A:$A,"&gt;="&amp;DATE(2025,12,1),Détail!$A:$A,"&lt;"&amp;EDATE(DATE(2025,12,1),1))+SUMIFS(Détail!$E:$E,Détail!$D:$D,"DYNEFF NFC",Détail!$A:$A,"&gt;="&amp;DATE(2025,12,1),Détail!$A:$A,"&lt;"&amp;EDATE(DATE(2025,12,1),1))+SUMIFS(Détail!$E:$E,Détail!$D:$D,"DYNEFF GRAINCOU",Détail!$A:$A,"&gt;="&amp;DATE(2025,12,1),Détail!$A:$A,"&lt;"&amp;EDATE(DATE(2025,12,1),1))</f>
        <v>0</v>
      </c>
    </row>
    <row r="94" customFormat="false" ht="15" hidden="false" customHeight="true" outlineLevel="0" collapsed="false">
      <c r="A94" s="26" t="s">
        <v>285</v>
      </c>
      <c r="B94" s="26" t="s">
        <v>290</v>
      </c>
    </row>
    <row r="96" customFormat="false" ht="15" hidden="false" customHeight="true" outlineLevel="0" collapsed="false">
      <c r="A96" s="29" t="s">
        <v>291</v>
      </c>
      <c r="B96" s="29"/>
      <c r="C96" s="30" t="n">
        <f aca="false">SUMIF(Détail!$D:$D,"SANEF",Détail!$E:$E)+SUMIF(Détail!$D:$D,"SANEF AUTOROUTE",Détail!$E:$E)+SUMIF(Détail!$D:$D,"APRR NFC",Détail!$E:$E)+SUMIF(Détail!$D:$D,"APRR",Détail!$E:$E)+SUMIF(Détail!$D:$D,"AUTOROUTES DU S",Détail!$E:$E)+SUMIF(Détail!$D:$D,"COFIROUTE",Détail!$E:$E)+SUMIF(Détail!$D:$D,"SAPN",Détail!$E:$E)+SUMIF(Détail!$D:$D,"TD AUTOROUTES",Détail!$E:$E)+SUMIF(Détail!$D:$D,"PIAZZALE FRANCE",Détail!$E:$E)+SUMIF(Détail!$D:$D,"GAVIO - SATAP A",Détail!$E:$E)+SUMIF(Détail!$D:$D,"GAVIO - SAV",Détail!$E:$E)+SUMIF(Détail!$D:$D,"ATMB",Détail!$E:$E)+SUMIF(Détail!$D:$D,"ATMB NFC",Détail!$E:$E)</f>
        <v>-1539.77</v>
      </c>
    </row>
    <row r="97" customFormat="false" ht="15" hidden="false" customHeight="true" outlineLevel="0" collapsed="false">
      <c r="A97" s="24" t="s">
        <v>63</v>
      </c>
      <c r="B97" s="24" t="s">
        <v>64</v>
      </c>
    </row>
    <row r="98" customFormat="false" ht="15" hidden="false" customHeight="true" outlineLevel="0" collapsed="false">
      <c r="A98" s="8" t="s">
        <v>65</v>
      </c>
      <c r="B98" s="31" t="n">
        <f aca="false">SUMIFS(Détail!$E:$E,Détail!$D:$D,"SANEF",Détail!$A:$A,"&gt;="&amp;DATE(2025,1,1),Détail!$A:$A,"&lt;"&amp;EDATE(DATE(2025,1,1),1))+SUMIFS(Détail!$E:$E,Détail!$D:$D,"SANEF AUTOROUTE",Détail!$A:$A,"&gt;="&amp;DATE(2025,1,1),Détail!$A:$A,"&lt;"&amp;EDATE(DATE(2025,1,1),1))+SUMIFS(Détail!$E:$E,Détail!$D:$D,"APRR NFC",Détail!$A:$A,"&gt;="&amp;DATE(2025,1,1),Détail!$A:$A,"&lt;"&amp;EDATE(DATE(2025,1,1),1))+SUMIFS(Détail!$E:$E,Détail!$D:$D,"APRR",Détail!$A:$A,"&gt;="&amp;DATE(2025,1,1),Détail!$A:$A,"&lt;"&amp;EDATE(DATE(2025,1,1),1))+SUMIFS(Détail!$E:$E,Détail!$D:$D,"AUTOROUTES DU S",Détail!$A:$A,"&gt;="&amp;DATE(2025,1,1),Détail!$A:$A,"&lt;"&amp;EDATE(DATE(2025,1,1),1))+SUMIFS(Détail!$E:$E,Détail!$D:$D,"COFIROUTE",Détail!$A:$A,"&gt;="&amp;DATE(2025,1,1),Détail!$A:$A,"&lt;"&amp;EDATE(DATE(2025,1,1),1))+SUMIFS(Détail!$E:$E,Détail!$D:$D,"SAPN",Détail!$A:$A,"&gt;="&amp;DATE(2025,1,1),Détail!$A:$A,"&lt;"&amp;EDATE(DATE(2025,1,1),1))+SUMIFS(Détail!$E:$E,Détail!$D:$D,"TD AUTOROUTES",Détail!$A:$A,"&gt;="&amp;DATE(2025,1,1),Détail!$A:$A,"&lt;"&amp;EDATE(DATE(2025,1,1),1))+SUMIFS(Détail!$E:$E,Détail!$D:$D,"PIAZZALE FRANCE",Détail!$A:$A,"&gt;="&amp;DATE(2025,1,1),Détail!$A:$A,"&lt;"&amp;EDATE(DATE(2025,1,1),1))+SUMIFS(Détail!$E:$E,Détail!$D:$D,"GAVIO - SATAP A",Détail!$A:$A,"&gt;="&amp;DATE(2025,1,1),Détail!$A:$A,"&lt;"&amp;EDATE(DATE(2025,1,1),1))+SUMIFS(Détail!$E:$E,Détail!$D:$D,"GAVIO - SAV",Détail!$A:$A,"&gt;="&amp;DATE(2025,1,1),Détail!$A:$A,"&lt;"&amp;EDATE(DATE(2025,1,1),1))+SUMIFS(Détail!$E:$E,Détail!$D:$D,"ATMB",Détail!$A:$A,"&gt;="&amp;DATE(2025,1,1),Détail!$A:$A,"&lt;"&amp;EDATE(DATE(2025,1,1),1))+SUMIFS(Détail!$E:$E,Détail!$D:$D,"ATMB NFC",Détail!$A:$A,"&gt;="&amp;DATE(2025,1,1),Détail!$A:$A,"&lt;"&amp;EDATE(DATE(2025,1,1),1))</f>
        <v>-162.8</v>
      </c>
    </row>
    <row r="99" customFormat="false" ht="15" hidden="false" customHeight="true" outlineLevel="0" collapsed="false">
      <c r="A99" s="8" t="s">
        <v>66</v>
      </c>
      <c r="B99" s="31" t="n">
        <f aca="false">SUMIFS(Détail!$E:$E,Détail!$D:$D,"SANEF",Détail!$A:$A,"&gt;="&amp;DATE(2025,2,1),Détail!$A:$A,"&lt;"&amp;EDATE(DATE(2025,2,1),1))+SUMIFS(Détail!$E:$E,Détail!$D:$D,"SANEF AUTOROUTE",Détail!$A:$A,"&gt;="&amp;DATE(2025,2,1),Détail!$A:$A,"&lt;"&amp;EDATE(DATE(2025,2,1),1))+SUMIFS(Détail!$E:$E,Détail!$D:$D,"APRR NFC",Détail!$A:$A,"&gt;="&amp;DATE(2025,2,1),Détail!$A:$A,"&lt;"&amp;EDATE(DATE(2025,2,1),1))+SUMIFS(Détail!$E:$E,Détail!$D:$D,"APRR",Détail!$A:$A,"&gt;="&amp;DATE(2025,2,1),Détail!$A:$A,"&lt;"&amp;EDATE(DATE(2025,2,1),1))+SUMIFS(Détail!$E:$E,Détail!$D:$D,"AUTOROUTES DU S",Détail!$A:$A,"&gt;="&amp;DATE(2025,2,1),Détail!$A:$A,"&lt;"&amp;EDATE(DATE(2025,2,1),1))+SUMIFS(Détail!$E:$E,Détail!$D:$D,"COFIROUTE",Détail!$A:$A,"&gt;="&amp;DATE(2025,2,1),Détail!$A:$A,"&lt;"&amp;EDATE(DATE(2025,2,1),1))+SUMIFS(Détail!$E:$E,Détail!$D:$D,"SAPN",Détail!$A:$A,"&gt;="&amp;DATE(2025,2,1),Détail!$A:$A,"&lt;"&amp;EDATE(DATE(2025,2,1),1))+SUMIFS(Détail!$E:$E,Détail!$D:$D,"TD AUTOROUTES",Détail!$A:$A,"&gt;="&amp;DATE(2025,2,1),Détail!$A:$A,"&lt;"&amp;EDATE(DATE(2025,2,1),1))+SUMIFS(Détail!$E:$E,Détail!$D:$D,"PIAZZALE FRANCE",Détail!$A:$A,"&gt;="&amp;DATE(2025,2,1),Détail!$A:$A,"&lt;"&amp;EDATE(DATE(2025,2,1),1))+SUMIFS(Détail!$E:$E,Détail!$D:$D,"GAVIO - SATAP A",Détail!$A:$A,"&gt;="&amp;DATE(2025,2,1),Détail!$A:$A,"&lt;"&amp;EDATE(DATE(2025,2,1),1))+SUMIFS(Détail!$E:$E,Détail!$D:$D,"GAVIO - SAV",Détail!$A:$A,"&gt;="&amp;DATE(2025,2,1),Détail!$A:$A,"&lt;"&amp;EDATE(DATE(2025,2,1),1))+SUMIFS(Détail!$E:$E,Détail!$D:$D,"ATMB",Détail!$A:$A,"&gt;="&amp;DATE(2025,2,1),Détail!$A:$A,"&lt;"&amp;EDATE(DATE(2025,2,1),1))+SUMIFS(Détail!$E:$E,Détail!$D:$D,"ATMB NFC",Détail!$A:$A,"&gt;="&amp;DATE(2025,2,1),Détail!$A:$A,"&lt;"&amp;EDATE(DATE(2025,2,1),1))</f>
        <v>-349.5</v>
      </c>
    </row>
    <row r="100" customFormat="false" ht="15" hidden="false" customHeight="true" outlineLevel="0" collapsed="false">
      <c r="A100" s="8" t="s">
        <v>67</v>
      </c>
      <c r="B100" s="31" t="n">
        <f aca="false">SUMIFS(Détail!$E:$E,Détail!$D:$D,"SANEF",Détail!$A:$A,"&gt;="&amp;DATE(2025,3,1),Détail!$A:$A,"&lt;"&amp;EDATE(DATE(2025,3,1),1))+SUMIFS(Détail!$E:$E,Détail!$D:$D,"SANEF AUTOROUTE",Détail!$A:$A,"&gt;="&amp;DATE(2025,3,1),Détail!$A:$A,"&lt;"&amp;EDATE(DATE(2025,3,1),1))+SUMIFS(Détail!$E:$E,Détail!$D:$D,"APRR NFC",Détail!$A:$A,"&gt;="&amp;DATE(2025,3,1),Détail!$A:$A,"&lt;"&amp;EDATE(DATE(2025,3,1),1))+SUMIFS(Détail!$E:$E,Détail!$D:$D,"APRR",Détail!$A:$A,"&gt;="&amp;DATE(2025,3,1),Détail!$A:$A,"&lt;"&amp;EDATE(DATE(2025,3,1),1))+SUMIFS(Détail!$E:$E,Détail!$D:$D,"AUTOROUTES DU S",Détail!$A:$A,"&gt;="&amp;DATE(2025,3,1),Détail!$A:$A,"&lt;"&amp;EDATE(DATE(2025,3,1),1))+SUMIFS(Détail!$E:$E,Détail!$D:$D,"COFIROUTE",Détail!$A:$A,"&gt;="&amp;DATE(2025,3,1),Détail!$A:$A,"&lt;"&amp;EDATE(DATE(2025,3,1),1))+SUMIFS(Détail!$E:$E,Détail!$D:$D,"SAPN",Détail!$A:$A,"&gt;="&amp;DATE(2025,3,1),Détail!$A:$A,"&lt;"&amp;EDATE(DATE(2025,3,1),1))+SUMIFS(Détail!$E:$E,Détail!$D:$D,"TD AUTOROUTES",Détail!$A:$A,"&gt;="&amp;DATE(2025,3,1),Détail!$A:$A,"&lt;"&amp;EDATE(DATE(2025,3,1),1))+SUMIFS(Détail!$E:$E,Détail!$D:$D,"PIAZZALE FRANCE",Détail!$A:$A,"&gt;="&amp;DATE(2025,3,1),Détail!$A:$A,"&lt;"&amp;EDATE(DATE(2025,3,1),1))+SUMIFS(Détail!$E:$E,Détail!$D:$D,"GAVIO - SATAP A",Détail!$A:$A,"&gt;="&amp;DATE(2025,3,1),Détail!$A:$A,"&lt;"&amp;EDATE(DATE(2025,3,1),1))+SUMIFS(Détail!$E:$E,Détail!$D:$D,"GAVIO - SAV",Détail!$A:$A,"&gt;="&amp;DATE(2025,3,1),Détail!$A:$A,"&lt;"&amp;EDATE(DATE(2025,3,1),1))+SUMIFS(Détail!$E:$E,Détail!$D:$D,"ATMB",Détail!$A:$A,"&gt;="&amp;DATE(2025,3,1),Détail!$A:$A,"&lt;"&amp;EDATE(DATE(2025,3,1),1))+SUMIFS(Détail!$E:$E,Détail!$D:$D,"ATMB NFC",Détail!$A:$A,"&gt;="&amp;DATE(2025,3,1),Détail!$A:$A,"&lt;"&amp;EDATE(DATE(2025,3,1),1))</f>
        <v>-81.4</v>
      </c>
    </row>
    <row r="101" customFormat="false" ht="15" hidden="false" customHeight="true" outlineLevel="0" collapsed="false">
      <c r="A101" s="8" t="s">
        <v>68</v>
      </c>
      <c r="B101" s="31" t="n">
        <f aca="false">SUMIFS(Détail!$E:$E,Détail!$D:$D,"SANEF",Détail!$A:$A,"&gt;="&amp;DATE(2025,4,1),Détail!$A:$A,"&lt;"&amp;EDATE(DATE(2025,4,1),1))+SUMIFS(Détail!$E:$E,Détail!$D:$D,"SANEF AUTOROUTE",Détail!$A:$A,"&gt;="&amp;DATE(2025,4,1),Détail!$A:$A,"&lt;"&amp;EDATE(DATE(2025,4,1),1))+SUMIFS(Détail!$E:$E,Détail!$D:$D,"APRR NFC",Détail!$A:$A,"&gt;="&amp;DATE(2025,4,1),Détail!$A:$A,"&lt;"&amp;EDATE(DATE(2025,4,1),1))+SUMIFS(Détail!$E:$E,Détail!$D:$D,"APRR",Détail!$A:$A,"&gt;="&amp;DATE(2025,4,1),Détail!$A:$A,"&lt;"&amp;EDATE(DATE(2025,4,1),1))+SUMIFS(Détail!$E:$E,Détail!$D:$D,"AUTOROUTES DU S",Détail!$A:$A,"&gt;="&amp;DATE(2025,4,1),Détail!$A:$A,"&lt;"&amp;EDATE(DATE(2025,4,1),1))+SUMIFS(Détail!$E:$E,Détail!$D:$D,"COFIROUTE",Détail!$A:$A,"&gt;="&amp;DATE(2025,4,1),Détail!$A:$A,"&lt;"&amp;EDATE(DATE(2025,4,1),1))+SUMIFS(Détail!$E:$E,Détail!$D:$D,"SAPN",Détail!$A:$A,"&gt;="&amp;DATE(2025,4,1),Détail!$A:$A,"&lt;"&amp;EDATE(DATE(2025,4,1),1))+SUMIFS(Détail!$E:$E,Détail!$D:$D,"TD AUTOROUTES",Détail!$A:$A,"&gt;="&amp;DATE(2025,4,1),Détail!$A:$A,"&lt;"&amp;EDATE(DATE(2025,4,1),1))+SUMIFS(Détail!$E:$E,Détail!$D:$D,"PIAZZALE FRANCE",Détail!$A:$A,"&gt;="&amp;DATE(2025,4,1),Détail!$A:$A,"&lt;"&amp;EDATE(DATE(2025,4,1),1))+SUMIFS(Détail!$E:$E,Détail!$D:$D,"GAVIO - SATAP A",Détail!$A:$A,"&gt;="&amp;DATE(2025,4,1),Détail!$A:$A,"&lt;"&amp;EDATE(DATE(2025,4,1),1))+SUMIFS(Détail!$E:$E,Détail!$D:$D,"GAVIO - SAV",Détail!$A:$A,"&gt;="&amp;DATE(2025,4,1),Détail!$A:$A,"&lt;"&amp;EDATE(DATE(2025,4,1),1))+SUMIFS(Détail!$E:$E,Détail!$D:$D,"ATMB",Détail!$A:$A,"&gt;="&amp;DATE(2025,4,1),Détail!$A:$A,"&lt;"&amp;EDATE(DATE(2025,4,1),1))+SUMIFS(Détail!$E:$E,Détail!$D:$D,"ATMB NFC",Détail!$A:$A,"&gt;="&amp;DATE(2025,4,1),Détail!$A:$A,"&lt;"&amp;EDATE(DATE(2025,4,1),1))</f>
        <v>-43.2</v>
      </c>
    </row>
    <row r="102" customFormat="false" ht="15" hidden="false" customHeight="true" outlineLevel="0" collapsed="false">
      <c r="A102" s="8" t="s">
        <v>69</v>
      </c>
      <c r="B102" s="31" t="n">
        <f aca="false">SUMIFS(Détail!$E:$E,Détail!$D:$D,"SANEF",Détail!$A:$A,"&gt;="&amp;DATE(2025,5,1),Détail!$A:$A,"&lt;"&amp;EDATE(DATE(2025,5,1),1))+SUMIFS(Détail!$E:$E,Détail!$D:$D,"SANEF AUTOROUTE",Détail!$A:$A,"&gt;="&amp;DATE(2025,5,1),Détail!$A:$A,"&lt;"&amp;EDATE(DATE(2025,5,1),1))+SUMIFS(Détail!$E:$E,Détail!$D:$D,"APRR NFC",Détail!$A:$A,"&gt;="&amp;DATE(2025,5,1),Détail!$A:$A,"&lt;"&amp;EDATE(DATE(2025,5,1),1))+SUMIFS(Détail!$E:$E,Détail!$D:$D,"APRR",Détail!$A:$A,"&gt;="&amp;DATE(2025,5,1),Détail!$A:$A,"&lt;"&amp;EDATE(DATE(2025,5,1),1))+SUMIFS(Détail!$E:$E,Détail!$D:$D,"AUTOROUTES DU S",Détail!$A:$A,"&gt;="&amp;DATE(2025,5,1),Détail!$A:$A,"&lt;"&amp;EDATE(DATE(2025,5,1),1))+SUMIFS(Détail!$E:$E,Détail!$D:$D,"COFIROUTE",Détail!$A:$A,"&gt;="&amp;DATE(2025,5,1),Détail!$A:$A,"&lt;"&amp;EDATE(DATE(2025,5,1),1))+SUMIFS(Détail!$E:$E,Détail!$D:$D,"SAPN",Détail!$A:$A,"&gt;="&amp;DATE(2025,5,1),Détail!$A:$A,"&lt;"&amp;EDATE(DATE(2025,5,1),1))+SUMIFS(Détail!$E:$E,Détail!$D:$D,"TD AUTOROUTES",Détail!$A:$A,"&gt;="&amp;DATE(2025,5,1),Détail!$A:$A,"&lt;"&amp;EDATE(DATE(2025,5,1),1))+SUMIFS(Détail!$E:$E,Détail!$D:$D,"PIAZZALE FRANCE",Détail!$A:$A,"&gt;="&amp;DATE(2025,5,1),Détail!$A:$A,"&lt;"&amp;EDATE(DATE(2025,5,1),1))+SUMIFS(Détail!$E:$E,Détail!$D:$D,"GAVIO - SATAP A",Détail!$A:$A,"&gt;="&amp;DATE(2025,5,1),Détail!$A:$A,"&lt;"&amp;EDATE(DATE(2025,5,1),1))+SUMIFS(Détail!$E:$E,Détail!$D:$D,"GAVIO - SAV",Détail!$A:$A,"&gt;="&amp;DATE(2025,5,1),Détail!$A:$A,"&lt;"&amp;EDATE(DATE(2025,5,1),1))+SUMIFS(Détail!$E:$E,Détail!$D:$D,"ATMB",Détail!$A:$A,"&gt;="&amp;DATE(2025,5,1),Détail!$A:$A,"&lt;"&amp;EDATE(DATE(2025,5,1),1))+SUMIFS(Détail!$E:$E,Détail!$D:$D,"ATMB NFC",Détail!$A:$A,"&gt;="&amp;DATE(2025,5,1),Détail!$A:$A,"&lt;"&amp;EDATE(DATE(2025,5,1),1))</f>
        <v>-77.1</v>
      </c>
    </row>
    <row r="103" customFormat="false" ht="15" hidden="false" customHeight="true" outlineLevel="0" collapsed="false">
      <c r="A103" s="8" t="s">
        <v>70</v>
      </c>
      <c r="B103" s="31" t="n">
        <f aca="false">SUMIFS(Détail!$E:$E,Détail!$D:$D,"SANEF",Détail!$A:$A,"&gt;="&amp;DATE(2025,6,1),Détail!$A:$A,"&lt;"&amp;EDATE(DATE(2025,6,1),1))+SUMIFS(Détail!$E:$E,Détail!$D:$D,"SANEF AUTOROUTE",Détail!$A:$A,"&gt;="&amp;DATE(2025,6,1),Détail!$A:$A,"&lt;"&amp;EDATE(DATE(2025,6,1),1))+SUMIFS(Détail!$E:$E,Détail!$D:$D,"APRR NFC",Détail!$A:$A,"&gt;="&amp;DATE(2025,6,1),Détail!$A:$A,"&lt;"&amp;EDATE(DATE(2025,6,1),1))+SUMIFS(Détail!$E:$E,Détail!$D:$D,"APRR",Détail!$A:$A,"&gt;="&amp;DATE(2025,6,1),Détail!$A:$A,"&lt;"&amp;EDATE(DATE(2025,6,1),1))+SUMIFS(Détail!$E:$E,Détail!$D:$D,"AUTOROUTES DU S",Détail!$A:$A,"&gt;="&amp;DATE(2025,6,1),Détail!$A:$A,"&lt;"&amp;EDATE(DATE(2025,6,1),1))+SUMIFS(Détail!$E:$E,Détail!$D:$D,"COFIROUTE",Détail!$A:$A,"&gt;="&amp;DATE(2025,6,1),Détail!$A:$A,"&lt;"&amp;EDATE(DATE(2025,6,1),1))+SUMIFS(Détail!$E:$E,Détail!$D:$D,"SAPN",Détail!$A:$A,"&gt;="&amp;DATE(2025,6,1),Détail!$A:$A,"&lt;"&amp;EDATE(DATE(2025,6,1),1))+SUMIFS(Détail!$E:$E,Détail!$D:$D,"TD AUTOROUTES",Détail!$A:$A,"&gt;="&amp;DATE(2025,6,1),Détail!$A:$A,"&lt;"&amp;EDATE(DATE(2025,6,1),1))+SUMIFS(Détail!$E:$E,Détail!$D:$D,"PIAZZALE FRANCE",Détail!$A:$A,"&gt;="&amp;DATE(2025,6,1),Détail!$A:$A,"&lt;"&amp;EDATE(DATE(2025,6,1),1))+SUMIFS(Détail!$E:$E,Détail!$D:$D,"GAVIO - SATAP A",Détail!$A:$A,"&gt;="&amp;DATE(2025,6,1),Détail!$A:$A,"&lt;"&amp;EDATE(DATE(2025,6,1),1))+SUMIFS(Détail!$E:$E,Détail!$D:$D,"GAVIO - SAV",Détail!$A:$A,"&gt;="&amp;DATE(2025,6,1),Détail!$A:$A,"&lt;"&amp;EDATE(DATE(2025,6,1),1))+SUMIFS(Détail!$E:$E,Détail!$D:$D,"ATMB",Détail!$A:$A,"&gt;="&amp;DATE(2025,6,1),Détail!$A:$A,"&lt;"&amp;EDATE(DATE(2025,6,1),1))+SUMIFS(Détail!$E:$E,Détail!$D:$D,"ATMB NFC",Détail!$A:$A,"&gt;="&amp;DATE(2025,6,1),Détail!$A:$A,"&lt;"&amp;EDATE(DATE(2025,6,1),1))</f>
        <v>-106.8</v>
      </c>
    </row>
    <row r="104" customFormat="false" ht="15" hidden="false" customHeight="true" outlineLevel="0" collapsed="false">
      <c r="A104" s="8" t="s">
        <v>71</v>
      </c>
      <c r="B104" s="31" t="n">
        <f aca="false">SUMIFS(Détail!$E:$E,Détail!$D:$D,"SANEF",Détail!$A:$A,"&gt;="&amp;DATE(2025,7,1),Détail!$A:$A,"&lt;"&amp;EDATE(DATE(2025,7,1),1))+SUMIFS(Détail!$E:$E,Détail!$D:$D,"SANEF AUTOROUTE",Détail!$A:$A,"&gt;="&amp;DATE(2025,7,1),Détail!$A:$A,"&lt;"&amp;EDATE(DATE(2025,7,1),1))+SUMIFS(Détail!$E:$E,Détail!$D:$D,"APRR NFC",Détail!$A:$A,"&gt;="&amp;DATE(2025,7,1),Détail!$A:$A,"&lt;"&amp;EDATE(DATE(2025,7,1),1))+SUMIFS(Détail!$E:$E,Détail!$D:$D,"APRR",Détail!$A:$A,"&gt;="&amp;DATE(2025,7,1),Détail!$A:$A,"&lt;"&amp;EDATE(DATE(2025,7,1),1))+SUMIFS(Détail!$E:$E,Détail!$D:$D,"AUTOROUTES DU S",Détail!$A:$A,"&gt;="&amp;DATE(2025,7,1),Détail!$A:$A,"&lt;"&amp;EDATE(DATE(2025,7,1),1))+SUMIFS(Détail!$E:$E,Détail!$D:$D,"COFIROUTE",Détail!$A:$A,"&gt;="&amp;DATE(2025,7,1),Détail!$A:$A,"&lt;"&amp;EDATE(DATE(2025,7,1),1))+SUMIFS(Détail!$E:$E,Détail!$D:$D,"SAPN",Détail!$A:$A,"&gt;="&amp;DATE(2025,7,1),Détail!$A:$A,"&lt;"&amp;EDATE(DATE(2025,7,1),1))+SUMIFS(Détail!$E:$E,Détail!$D:$D,"TD AUTOROUTES",Détail!$A:$A,"&gt;="&amp;DATE(2025,7,1),Détail!$A:$A,"&lt;"&amp;EDATE(DATE(2025,7,1),1))+SUMIFS(Détail!$E:$E,Détail!$D:$D,"PIAZZALE FRANCE",Détail!$A:$A,"&gt;="&amp;DATE(2025,7,1),Détail!$A:$A,"&lt;"&amp;EDATE(DATE(2025,7,1),1))+SUMIFS(Détail!$E:$E,Détail!$D:$D,"GAVIO - SATAP A",Détail!$A:$A,"&gt;="&amp;DATE(2025,7,1),Détail!$A:$A,"&lt;"&amp;EDATE(DATE(2025,7,1),1))+SUMIFS(Détail!$E:$E,Détail!$D:$D,"GAVIO - SAV",Détail!$A:$A,"&gt;="&amp;DATE(2025,7,1),Détail!$A:$A,"&lt;"&amp;EDATE(DATE(2025,7,1),1))+SUMIFS(Détail!$E:$E,Détail!$D:$D,"ATMB",Détail!$A:$A,"&gt;="&amp;DATE(2025,7,1),Détail!$A:$A,"&lt;"&amp;EDATE(DATE(2025,7,1),1))+SUMIFS(Détail!$E:$E,Détail!$D:$D,"ATMB NFC",Détail!$A:$A,"&gt;="&amp;DATE(2025,7,1),Détail!$A:$A,"&lt;"&amp;EDATE(DATE(2025,7,1),1))</f>
        <v>-168.5</v>
      </c>
    </row>
    <row r="105" customFormat="false" ht="15" hidden="false" customHeight="true" outlineLevel="0" collapsed="false">
      <c r="A105" s="8" t="s">
        <v>72</v>
      </c>
      <c r="B105" s="31" t="n">
        <f aca="false">SUMIFS(Détail!$E:$E,Détail!$D:$D,"SANEF",Détail!$A:$A,"&gt;="&amp;DATE(2025,8,1),Détail!$A:$A,"&lt;"&amp;EDATE(DATE(2025,8,1),1))+SUMIFS(Détail!$E:$E,Détail!$D:$D,"SANEF AUTOROUTE",Détail!$A:$A,"&gt;="&amp;DATE(2025,8,1),Détail!$A:$A,"&lt;"&amp;EDATE(DATE(2025,8,1),1))+SUMIFS(Détail!$E:$E,Détail!$D:$D,"APRR NFC",Détail!$A:$A,"&gt;="&amp;DATE(2025,8,1),Détail!$A:$A,"&lt;"&amp;EDATE(DATE(2025,8,1),1))+SUMIFS(Détail!$E:$E,Détail!$D:$D,"APRR",Détail!$A:$A,"&gt;="&amp;DATE(2025,8,1),Détail!$A:$A,"&lt;"&amp;EDATE(DATE(2025,8,1),1))+SUMIFS(Détail!$E:$E,Détail!$D:$D,"AUTOROUTES DU S",Détail!$A:$A,"&gt;="&amp;DATE(2025,8,1),Détail!$A:$A,"&lt;"&amp;EDATE(DATE(2025,8,1),1))+SUMIFS(Détail!$E:$E,Détail!$D:$D,"COFIROUTE",Détail!$A:$A,"&gt;="&amp;DATE(2025,8,1),Détail!$A:$A,"&lt;"&amp;EDATE(DATE(2025,8,1),1))+SUMIFS(Détail!$E:$E,Détail!$D:$D,"SAPN",Détail!$A:$A,"&gt;="&amp;DATE(2025,8,1),Détail!$A:$A,"&lt;"&amp;EDATE(DATE(2025,8,1),1))+SUMIFS(Détail!$E:$E,Détail!$D:$D,"TD AUTOROUTES",Détail!$A:$A,"&gt;="&amp;DATE(2025,8,1),Détail!$A:$A,"&lt;"&amp;EDATE(DATE(2025,8,1),1))+SUMIFS(Détail!$E:$E,Détail!$D:$D,"PIAZZALE FRANCE",Détail!$A:$A,"&gt;="&amp;DATE(2025,8,1),Détail!$A:$A,"&lt;"&amp;EDATE(DATE(2025,8,1),1))+SUMIFS(Détail!$E:$E,Détail!$D:$D,"GAVIO - SATAP A",Détail!$A:$A,"&gt;="&amp;DATE(2025,8,1),Détail!$A:$A,"&lt;"&amp;EDATE(DATE(2025,8,1),1))+SUMIFS(Détail!$E:$E,Détail!$D:$D,"GAVIO - SAV",Détail!$A:$A,"&gt;="&amp;DATE(2025,8,1),Détail!$A:$A,"&lt;"&amp;EDATE(DATE(2025,8,1),1))+SUMIFS(Détail!$E:$E,Détail!$D:$D,"ATMB",Détail!$A:$A,"&gt;="&amp;DATE(2025,8,1),Détail!$A:$A,"&lt;"&amp;EDATE(DATE(2025,8,1),1))+SUMIFS(Détail!$E:$E,Détail!$D:$D,"ATMB NFC",Détail!$A:$A,"&gt;="&amp;DATE(2025,8,1),Détail!$A:$A,"&lt;"&amp;EDATE(DATE(2025,8,1),1))</f>
        <v>-150.4</v>
      </c>
    </row>
    <row r="106" customFormat="false" ht="15" hidden="false" customHeight="true" outlineLevel="0" collapsed="false">
      <c r="A106" s="8" t="s">
        <v>73</v>
      </c>
      <c r="B106" s="31" t="n">
        <f aca="false">SUMIFS(Détail!$E:$E,Détail!$D:$D,"SANEF",Détail!$A:$A,"&gt;="&amp;DATE(2025,9,1),Détail!$A:$A,"&lt;"&amp;EDATE(DATE(2025,9,1),1))+SUMIFS(Détail!$E:$E,Détail!$D:$D,"SANEF AUTOROUTE",Détail!$A:$A,"&gt;="&amp;DATE(2025,9,1),Détail!$A:$A,"&lt;"&amp;EDATE(DATE(2025,9,1),1))+SUMIFS(Détail!$E:$E,Détail!$D:$D,"APRR NFC",Détail!$A:$A,"&gt;="&amp;DATE(2025,9,1),Détail!$A:$A,"&lt;"&amp;EDATE(DATE(2025,9,1),1))+SUMIFS(Détail!$E:$E,Détail!$D:$D,"APRR",Détail!$A:$A,"&gt;="&amp;DATE(2025,9,1),Détail!$A:$A,"&lt;"&amp;EDATE(DATE(2025,9,1),1))+SUMIFS(Détail!$E:$E,Détail!$D:$D,"AUTOROUTES DU S",Détail!$A:$A,"&gt;="&amp;DATE(2025,9,1),Détail!$A:$A,"&lt;"&amp;EDATE(DATE(2025,9,1),1))+SUMIFS(Détail!$E:$E,Détail!$D:$D,"COFIROUTE",Détail!$A:$A,"&gt;="&amp;DATE(2025,9,1),Détail!$A:$A,"&lt;"&amp;EDATE(DATE(2025,9,1),1))+SUMIFS(Détail!$E:$E,Détail!$D:$D,"SAPN",Détail!$A:$A,"&gt;="&amp;DATE(2025,9,1),Détail!$A:$A,"&lt;"&amp;EDATE(DATE(2025,9,1),1))+SUMIFS(Détail!$E:$E,Détail!$D:$D,"TD AUTOROUTES",Détail!$A:$A,"&gt;="&amp;DATE(2025,9,1),Détail!$A:$A,"&lt;"&amp;EDATE(DATE(2025,9,1),1))+SUMIFS(Détail!$E:$E,Détail!$D:$D,"PIAZZALE FRANCE",Détail!$A:$A,"&gt;="&amp;DATE(2025,9,1),Détail!$A:$A,"&lt;"&amp;EDATE(DATE(2025,9,1),1))+SUMIFS(Détail!$E:$E,Détail!$D:$D,"GAVIO - SATAP A",Détail!$A:$A,"&gt;="&amp;DATE(2025,9,1),Détail!$A:$A,"&lt;"&amp;EDATE(DATE(2025,9,1),1))+SUMIFS(Détail!$E:$E,Détail!$D:$D,"GAVIO - SAV",Détail!$A:$A,"&gt;="&amp;DATE(2025,9,1),Détail!$A:$A,"&lt;"&amp;EDATE(DATE(2025,9,1),1))+SUMIFS(Détail!$E:$E,Détail!$D:$D,"ATMB",Détail!$A:$A,"&gt;="&amp;DATE(2025,9,1),Détail!$A:$A,"&lt;"&amp;EDATE(DATE(2025,9,1),1))+SUMIFS(Détail!$E:$E,Détail!$D:$D,"ATMB NFC",Détail!$A:$A,"&gt;="&amp;DATE(2025,9,1),Détail!$A:$A,"&lt;"&amp;EDATE(DATE(2025,9,1),1))</f>
        <v>-90.7</v>
      </c>
    </row>
    <row r="107" customFormat="false" ht="15" hidden="false" customHeight="true" outlineLevel="0" collapsed="false">
      <c r="A107" s="8" t="s">
        <v>74</v>
      </c>
      <c r="B107" s="31" t="n">
        <f aca="false">SUMIFS(Détail!$E:$E,Détail!$D:$D,"SANEF",Détail!$A:$A,"&gt;="&amp;DATE(2025,10,1),Détail!$A:$A,"&lt;"&amp;EDATE(DATE(2025,10,1),1))+SUMIFS(Détail!$E:$E,Détail!$D:$D,"SANEF AUTOROUTE",Détail!$A:$A,"&gt;="&amp;DATE(2025,10,1),Détail!$A:$A,"&lt;"&amp;EDATE(DATE(2025,10,1),1))+SUMIFS(Détail!$E:$E,Détail!$D:$D,"APRR NFC",Détail!$A:$A,"&gt;="&amp;DATE(2025,10,1),Détail!$A:$A,"&lt;"&amp;EDATE(DATE(2025,10,1),1))+SUMIFS(Détail!$E:$E,Détail!$D:$D,"APRR",Détail!$A:$A,"&gt;="&amp;DATE(2025,10,1),Détail!$A:$A,"&lt;"&amp;EDATE(DATE(2025,10,1),1))+SUMIFS(Détail!$E:$E,Détail!$D:$D,"AUTOROUTES DU S",Détail!$A:$A,"&gt;="&amp;DATE(2025,10,1),Détail!$A:$A,"&lt;"&amp;EDATE(DATE(2025,10,1),1))+SUMIFS(Détail!$E:$E,Détail!$D:$D,"COFIROUTE",Détail!$A:$A,"&gt;="&amp;DATE(2025,10,1),Détail!$A:$A,"&lt;"&amp;EDATE(DATE(2025,10,1),1))+SUMIFS(Détail!$E:$E,Détail!$D:$D,"SAPN",Détail!$A:$A,"&gt;="&amp;DATE(2025,10,1),Détail!$A:$A,"&lt;"&amp;EDATE(DATE(2025,10,1),1))+SUMIFS(Détail!$E:$E,Détail!$D:$D,"TD AUTOROUTES",Détail!$A:$A,"&gt;="&amp;DATE(2025,10,1),Détail!$A:$A,"&lt;"&amp;EDATE(DATE(2025,10,1),1))+SUMIFS(Détail!$E:$E,Détail!$D:$D,"PIAZZALE FRANCE",Détail!$A:$A,"&gt;="&amp;DATE(2025,10,1),Détail!$A:$A,"&lt;"&amp;EDATE(DATE(2025,10,1),1))+SUMIFS(Détail!$E:$E,Détail!$D:$D,"GAVIO - SATAP A",Détail!$A:$A,"&gt;="&amp;DATE(2025,10,1),Détail!$A:$A,"&lt;"&amp;EDATE(DATE(2025,10,1),1))+SUMIFS(Détail!$E:$E,Détail!$D:$D,"GAVIO - SAV",Détail!$A:$A,"&gt;="&amp;DATE(2025,10,1),Détail!$A:$A,"&lt;"&amp;EDATE(DATE(2025,10,1),1))+SUMIFS(Détail!$E:$E,Détail!$D:$D,"ATMB",Détail!$A:$A,"&gt;="&amp;DATE(2025,10,1),Détail!$A:$A,"&lt;"&amp;EDATE(DATE(2025,10,1),1))+SUMIFS(Détail!$E:$E,Détail!$D:$D,"ATMB NFC",Détail!$A:$A,"&gt;="&amp;DATE(2025,10,1),Détail!$A:$A,"&lt;"&amp;EDATE(DATE(2025,10,1),1))</f>
        <v>-226.17</v>
      </c>
    </row>
    <row r="108" customFormat="false" ht="15" hidden="false" customHeight="true" outlineLevel="0" collapsed="false">
      <c r="A108" s="8" t="s">
        <v>75</v>
      </c>
      <c r="B108" s="31" t="n">
        <f aca="false">SUMIFS(Détail!$E:$E,Détail!$D:$D,"SANEF",Détail!$A:$A,"&gt;="&amp;DATE(2025,11,1),Détail!$A:$A,"&lt;"&amp;EDATE(DATE(2025,11,1),1))+SUMIFS(Détail!$E:$E,Détail!$D:$D,"SANEF AUTOROUTE",Détail!$A:$A,"&gt;="&amp;DATE(2025,11,1),Détail!$A:$A,"&lt;"&amp;EDATE(DATE(2025,11,1),1))+SUMIFS(Détail!$E:$E,Détail!$D:$D,"APRR NFC",Détail!$A:$A,"&gt;="&amp;DATE(2025,11,1),Détail!$A:$A,"&lt;"&amp;EDATE(DATE(2025,11,1),1))+SUMIFS(Détail!$E:$E,Détail!$D:$D,"APRR",Détail!$A:$A,"&gt;="&amp;DATE(2025,11,1),Détail!$A:$A,"&lt;"&amp;EDATE(DATE(2025,11,1),1))+SUMIFS(Détail!$E:$E,Détail!$D:$D,"AUTOROUTES DU S",Détail!$A:$A,"&gt;="&amp;DATE(2025,11,1),Détail!$A:$A,"&lt;"&amp;EDATE(DATE(2025,11,1),1))+SUMIFS(Détail!$E:$E,Détail!$D:$D,"COFIROUTE",Détail!$A:$A,"&gt;="&amp;DATE(2025,11,1),Détail!$A:$A,"&lt;"&amp;EDATE(DATE(2025,11,1),1))+SUMIFS(Détail!$E:$E,Détail!$D:$D,"SAPN",Détail!$A:$A,"&gt;="&amp;DATE(2025,11,1),Détail!$A:$A,"&lt;"&amp;EDATE(DATE(2025,11,1),1))+SUMIFS(Détail!$E:$E,Détail!$D:$D,"TD AUTOROUTES",Détail!$A:$A,"&gt;="&amp;DATE(2025,11,1),Détail!$A:$A,"&lt;"&amp;EDATE(DATE(2025,11,1),1))+SUMIFS(Détail!$E:$E,Détail!$D:$D,"PIAZZALE FRANCE",Détail!$A:$A,"&gt;="&amp;DATE(2025,11,1),Détail!$A:$A,"&lt;"&amp;EDATE(DATE(2025,11,1),1))+SUMIFS(Détail!$E:$E,Détail!$D:$D,"GAVIO - SATAP A",Détail!$A:$A,"&gt;="&amp;DATE(2025,11,1),Détail!$A:$A,"&lt;"&amp;EDATE(DATE(2025,11,1),1))+SUMIFS(Détail!$E:$E,Détail!$D:$D,"GAVIO - SAV",Détail!$A:$A,"&gt;="&amp;DATE(2025,11,1),Détail!$A:$A,"&lt;"&amp;EDATE(DATE(2025,11,1),1))+SUMIFS(Détail!$E:$E,Détail!$D:$D,"ATMB",Détail!$A:$A,"&gt;="&amp;DATE(2025,11,1),Détail!$A:$A,"&lt;"&amp;EDATE(DATE(2025,11,1),1))+SUMIFS(Détail!$E:$E,Détail!$D:$D,"ATMB NFC",Détail!$A:$A,"&gt;="&amp;DATE(2025,11,1),Détail!$A:$A,"&lt;"&amp;EDATE(DATE(2025,11,1),1))</f>
        <v>-42.8</v>
      </c>
    </row>
    <row r="109" customFormat="false" ht="15" hidden="false" customHeight="true" outlineLevel="0" collapsed="false">
      <c r="A109" s="8" t="s">
        <v>76</v>
      </c>
      <c r="B109" s="31" t="n">
        <f aca="false">SUMIFS(Détail!$E:$E,Détail!$D:$D,"SANEF",Détail!$A:$A,"&gt;="&amp;DATE(2025,12,1),Détail!$A:$A,"&lt;"&amp;EDATE(DATE(2025,12,1),1))+SUMIFS(Détail!$E:$E,Détail!$D:$D,"SANEF AUTOROUTE",Détail!$A:$A,"&gt;="&amp;DATE(2025,12,1),Détail!$A:$A,"&lt;"&amp;EDATE(DATE(2025,12,1),1))+SUMIFS(Détail!$E:$E,Détail!$D:$D,"APRR NFC",Détail!$A:$A,"&gt;="&amp;DATE(2025,12,1),Détail!$A:$A,"&lt;"&amp;EDATE(DATE(2025,12,1),1))+SUMIFS(Détail!$E:$E,Détail!$D:$D,"APRR",Détail!$A:$A,"&gt;="&amp;DATE(2025,12,1),Détail!$A:$A,"&lt;"&amp;EDATE(DATE(2025,12,1),1))+SUMIFS(Détail!$E:$E,Détail!$D:$D,"AUTOROUTES DU S",Détail!$A:$A,"&gt;="&amp;DATE(2025,12,1),Détail!$A:$A,"&lt;"&amp;EDATE(DATE(2025,12,1),1))+SUMIFS(Détail!$E:$E,Détail!$D:$D,"COFIROUTE",Détail!$A:$A,"&gt;="&amp;DATE(2025,12,1),Détail!$A:$A,"&lt;"&amp;EDATE(DATE(2025,12,1),1))+SUMIFS(Détail!$E:$E,Détail!$D:$D,"SAPN",Détail!$A:$A,"&gt;="&amp;DATE(2025,12,1),Détail!$A:$A,"&lt;"&amp;EDATE(DATE(2025,12,1),1))+SUMIFS(Détail!$E:$E,Détail!$D:$D,"TD AUTOROUTES",Détail!$A:$A,"&gt;="&amp;DATE(2025,12,1),Détail!$A:$A,"&lt;"&amp;EDATE(DATE(2025,12,1),1))+SUMIFS(Détail!$E:$E,Détail!$D:$D,"PIAZZALE FRANCE",Détail!$A:$A,"&gt;="&amp;DATE(2025,12,1),Détail!$A:$A,"&lt;"&amp;EDATE(DATE(2025,12,1),1))+SUMIFS(Détail!$E:$E,Détail!$D:$D,"GAVIO - SATAP A",Détail!$A:$A,"&gt;="&amp;DATE(2025,12,1),Détail!$A:$A,"&lt;"&amp;EDATE(DATE(2025,12,1),1))+SUMIFS(Détail!$E:$E,Détail!$D:$D,"GAVIO - SAV",Détail!$A:$A,"&gt;="&amp;DATE(2025,12,1),Détail!$A:$A,"&lt;"&amp;EDATE(DATE(2025,12,1),1))+SUMIFS(Détail!$E:$E,Détail!$D:$D,"ATMB",Détail!$A:$A,"&gt;="&amp;DATE(2025,12,1),Détail!$A:$A,"&lt;"&amp;EDATE(DATE(2025,12,1),1))+SUMIFS(Détail!$E:$E,Détail!$D:$D,"ATMB NFC",Détail!$A:$A,"&gt;="&amp;DATE(2025,12,1),Détail!$A:$A,"&lt;"&amp;EDATE(DATE(2025,12,1),1))</f>
        <v>-40.4</v>
      </c>
    </row>
    <row r="110" customFormat="false" ht="15" hidden="false" customHeight="true" outlineLevel="0" collapsed="false">
      <c r="A110" s="26" t="s">
        <v>285</v>
      </c>
      <c r="B110" s="26" t="s">
        <v>292</v>
      </c>
    </row>
    <row r="112" customFormat="false" ht="15" hidden="false" customHeight="true" outlineLevel="0" collapsed="false">
      <c r="A112" s="29" t="s">
        <v>293</v>
      </c>
      <c r="B112" s="29"/>
      <c r="C112" s="30" t="n">
        <f aca="false">SUMIF(Détail!$D:$D,"ROOLE-IDENTICAR-IDENTICAR",Détail!$E:$E)+SUMIF(Détail!$D:$D,"ROOLE-IDENTICAR",Détail!$E:$E)</f>
        <v>-159.5</v>
      </c>
    </row>
    <row r="113" customFormat="false" ht="15" hidden="false" customHeight="true" outlineLevel="0" collapsed="false">
      <c r="A113" s="24" t="s">
        <v>63</v>
      </c>
      <c r="B113" s="24" t="s">
        <v>64</v>
      </c>
    </row>
    <row r="114" customFormat="false" ht="15" hidden="false" customHeight="true" outlineLevel="0" collapsed="false">
      <c r="A114" s="8" t="s">
        <v>65</v>
      </c>
      <c r="B114" s="31" t="n">
        <f aca="false">SUMIFS(Détail!$E:$E,Détail!$D:$D,"ROOLE-IDENTICAR-IDENTICAR",Détail!$A:$A,"&gt;="&amp;DATE(2025,1,1),Détail!$A:$A,"&lt;"&amp;EDATE(DATE(2025,1,1),1))+SUMIFS(Détail!$E:$E,Détail!$D:$D,"ROOLE-IDENTICAR",Détail!$A:$A,"&gt;="&amp;DATE(2025,1,1),Détail!$A:$A,"&lt;"&amp;EDATE(DATE(2025,1,1),1))</f>
        <v>0</v>
      </c>
    </row>
    <row r="115" customFormat="false" ht="15" hidden="false" customHeight="true" outlineLevel="0" collapsed="false">
      <c r="A115" s="8" t="s">
        <v>66</v>
      </c>
      <c r="B115" s="31" t="n">
        <f aca="false">SUMIFS(Détail!$E:$E,Détail!$D:$D,"ROOLE-IDENTICAR-IDENTICAR",Détail!$A:$A,"&gt;="&amp;DATE(2025,2,1),Détail!$A:$A,"&lt;"&amp;EDATE(DATE(2025,2,1),1))+SUMIFS(Détail!$E:$E,Détail!$D:$D,"ROOLE-IDENTICAR",Détail!$A:$A,"&gt;="&amp;DATE(2025,2,1),Détail!$A:$A,"&lt;"&amp;EDATE(DATE(2025,2,1),1))</f>
        <v>0</v>
      </c>
    </row>
    <row r="116" customFormat="false" ht="15" hidden="false" customHeight="true" outlineLevel="0" collapsed="false">
      <c r="A116" s="8" t="s">
        <v>67</v>
      </c>
      <c r="B116" s="31" t="n">
        <f aca="false">SUMIFS(Détail!$E:$E,Détail!$D:$D,"ROOLE-IDENTICAR-IDENTICAR",Détail!$A:$A,"&gt;="&amp;DATE(2025,3,1),Détail!$A:$A,"&lt;"&amp;EDATE(DATE(2025,3,1),1))+SUMIFS(Détail!$E:$E,Détail!$D:$D,"ROOLE-IDENTICAR",Détail!$A:$A,"&gt;="&amp;DATE(2025,3,1),Détail!$A:$A,"&lt;"&amp;EDATE(DATE(2025,3,1),1))</f>
        <v>-15.95</v>
      </c>
    </row>
    <row r="117" customFormat="false" ht="15" hidden="false" customHeight="true" outlineLevel="0" collapsed="false">
      <c r="A117" s="8" t="s">
        <v>68</v>
      </c>
      <c r="B117" s="31" t="n">
        <f aca="false">SUMIFS(Détail!$E:$E,Détail!$D:$D,"ROOLE-IDENTICAR-IDENTICAR",Détail!$A:$A,"&gt;="&amp;DATE(2025,4,1),Détail!$A:$A,"&lt;"&amp;EDATE(DATE(2025,4,1),1))+SUMIFS(Détail!$E:$E,Détail!$D:$D,"ROOLE-IDENTICAR",Détail!$A:$A,"&gt;="&amp;DATE(2025,4,1),Détail!$A:$A,"&lt;"&amp;EDATE(DATE(2025,4,1),1))</f>
        <v>-15.95</v>
      </c>
    </row>
    <row r="118" customFormat="false" ht="15" hidden="false" customHeight="true" outlineLevel="0" collapsed="false">
      <c r="A118" s="8" t="s">
        <v>69</v>
      </c>
      <c r="B118" s="31" t="n">
        <f aca="false">SUMIFS(Détail!$E:$E,Détail!$D:$D,"ROOLE-IDENTICAR-IDENTICAR",Détail!$A:$A,"&gt;="&amp;DATE(2025,5,1),Détail!$A:$A,"&lt;"&amp;EDATE(DATE(2025,5,1),1))+SUMIFS(Détail!$E:$E,Détail!$D:$D,"ROOLE-IDENTICAR",Détail!$A:$A,"&gt;="&amp;DATE(2025,5,1),Détail!$A:$A,"&lt;"&amp;EDATE(DATE(2025,5,1),1))</f>
        <v>-15.95</v>
      </c>
    </row>
    <row r="119" customFormat="false" ht="15" hidden="false" customHeight="true" outlineLevel="0" collapsed="false">
      <c r="A119" s="8" t="s">
        <v>70</v>
      </c>
      <c r="B119" s="31" t="n">
        <f aca="false">SUMIFS(Détail!$E:$E,Détail!$D:$D,"ROOLE-IDENTICAR-IDENTICAR",Détail!$A:$A,"&gt;="&amp;DATE(2025,6,1),Détail!$A:$A,"&lt;"&amp;EDATE(DATE(2025,6,1),1))+SUMIFS(Détail!$E:$E,Détail!$D:$D,"ROOLE-IDENTICAR",Détail!$A:$A,"&gt;="&amp;DATE(2025,6,1),Détail!$A:$A,"&lt;"&amp;EDATE(DATE(2025,6,1),1))</f>
        <v>-15.95</v>
      </c>
    </row>
    <row r="120" customFormat="false" ht="15" hidden="false" customHeight="true" outlineLevel="0" collapsed="false">
      <c r="A120" s="8" t="s">
        <v>71</v>
      </c>
      <c r="B120" s="31" t="n">
        <f aca="false">SUMIFS(Détail!$E:$E,Détail!$D:$D,"ROOLE-IDENTICAR-IDENTICAR",Détail!$A:$A,"&gt;="&amp;DATE(2025,7,1),Détail!$A:$A,"&lt;"&amp;EDATE(DATE(2025,7,1),1))+SUMIFS(Détail!$E:$E,Détail!$D:$D,"ROOLE-IDENTICAR",Détail!$A:$A,"&gt;="&amp;DATE(2025,7,1),Détail!$A:$A,"&lt;"&amp;EDATE(DATE(2025,7,1),1))</f>
        <v>-15.95</v>
      </c>
    </row>
    <row r="121" customFormat="false" ht="15" hidden="false" customHeight="true" outlineLevel="0" collapsed="false">
      <c r="A121" s="8" t="s">
        <v>72</v>
      </c>
      <c r="B121" s="31" t="n">
        <f aca="false">SUMIFS(Détail!$E:$E,Détail!$D:$D,"ROOLE-IDENTICAR-IDENTICAR",Détail!$A:$A,"&gt;="&amp;DATE(2025,8,1),Détail!$A:$A,"&lt;"&amp;EDATE(DATE(2025,8,1),1))+SUMIFS(Détail!$E:$E,Détail!$D:$D,"ROOLE-IDENTICAR",Détail!$A:$A,"&gt;="&amp;DATE(2025,8,1),Détail!$A:$A,"&lt;"&amp;EDATE(DATE(2025,8,1),1))</f>
        <v>-15.95</v>
      </c>
    </row>
    <row r="122" customFormat="false" ht="15" hidden="false" customHeight="true" outlineLevel="0" collapsed="false">
      <c r="A122" s="8" t="s">
        <v>73</v>
      </c>
      <c r="B122" s="31" t="n">
        <f aca="false">SUMIFS(Détail!$E:$E,Détail!$D:$D,"ROOLE-IDENTICAR-IDENTICAR",Détail!$A:$A,"&gt;="&amp;DATE(2025,9,1),Détail!$A:$A,"&lt;"&amp;EDATE(DATE(2025,9,1),1))+SUMIFS(Détail!$E:$E,Détail!$D:$D,"ROOLE-IDENTICAR",Détail!$A:$A,"&gt;="&amp;DATE(2025,9,1),Détail!$A:$A,"&lt;"&amp;EDATE(DATE(2025,9,1),1))</f>
        <v>-15.95</v>
      </c>
    </row>
    <row r="123" customFormat="false" ht="15" hidden="false" customHeight="true" outlineLevel="0" collapsed="false">
      <c r="A123" s="8" t="s">
        <v>74</v>
      </c>
      <c r="B123" s="31" t="n">
        <f aca="false">SUMIFS(Détail!$E:$E,Détail!$D:$D,"ROOLE-IDENTICAR-IDENTICAR",Détail!$A:$A,"&gt;="&amp;DATE(2025,10,1),Détail!$A:$A,"&lt;"&amp;EDATE(DATE(2025,10,1),1))+SUMIFS(Détail!$E:$E,Détail!$D:$D,"ROOLE-IDENTICAR",Détail!$A:$A,"&gt;="&amp;DATE(2025,10,1),Détail!$A:$A,"&lt;"&amp;EDATE(DATE(2025,10,1),1))</f>
        <v>-15.95</v>
      </c>
    </row>
    <row r="124" customFormat="false" ht="15" hidden="false" customHeight="true" outlineLevel="0" collapsed="false">
      <c r="A124" s="8" t="s">
        <v>75</v>
      </c>
      <c r="B124" s="31" t="n">
        <f aca="false">SUMIFS(Détail!$E:$E,Détail!$D:$D,"ROOLE-IDENTICAR-IDENTICAR",Détail!$A:$A,"&gt;="&amp;DATE(2025,11,1),Détail!$A:$A,"&lt;"&amp;EDATE(DATE(2025,11,1),1))+SUMIFS(Détail!$E:$E,Détail!$D:$D,"ROOLE-IDENTICAR",Détail!$A:$A,"&gt;="&amp;DATE(2025,11,1),Détail!$A:$A,"&lt;"&amp;EDATE(DATE(2025,11,1),1))</f>
        <v>-15.95</v>
      </c>
    </row>
    <row r="125" customFormat="false" ht="15" hidden="false" customHeight="true" outlineLevel="0" collapsed="false">
      <c r="A125" s="8" t="s">
        <v>76</v>
      </c>
      <c r="B125" s="31" t="n">
        <f aca="false">SUMIFS(Détail!$E:$E,Détail!$D:$D,"ROOLE-IDENTICAR-IDENTICAR",Détail!$A:$A,"&gt;="&amp;DATE(2025,12,1),Détail!$A:$A,"&lt;"&amp;EDATE(DATE(2025,12,1),1))+SUMIFS(Détail!$E:$E,Détail!$D:$D,"ROOLE-IDENTICAR",Détail!$A:$A,"&gt;="&amp;DATE(2025,12,1),Détail!$A:$A,"&lt;"&amp;EDATE(DATE(2025,12,1),1))</f>
        <v>-15.95</v>
      </c>
    </row>
    <row r="126" customFormat="false" ht="15" hidden="false" customHeight="true" outlineLevel="0" collapsed="false">
      <c r="A126" s="26" t="s">
        <v>285</v>
      </c>
      <c r="B126" s="26" t="s">
        <v>294</v>
      </c>
    </row>
    <row r="128" customFormat="false" ht="15" hidden="false" customHeight="true" outlineLevel="0" collapsed="false">
      <c r="A128" s="29" t="s">
        <v>295</v>
      </c>
      <c r="B128" s="29"/>
      <c r="C128" s="30" t="n">
        <f aca="false">SUMIF(Détail!$D:$D,"INDIGO 941401",Détail!$E:$E)+SUMIF(Détail!$D:$D,"INDIGO930323",Détail!$E:$E)+SUMIF(Détail!$D:$D,"VIPARIS PDV PKG",Détail!$E:$E)+SUMIF(Détail!$D:$D,"SAFE PARK VALET",Détail!$E:$E)+SUMIF(Détail!$D:$D,"SAEMES HMO",Détail!$E:$E)+SUMIF(Détail!$D:$D,"NATIONAL PARKIN",Détail!$E:$E)+SUMIF(Détail!$D:$D,"EFFIA PARK",Détail!$E:$E)+SUMIF(Détail!$D:$D,"REGIE BPNL",Détail!$E:$E)+SUMIF(Détail!$D:$D,"EPPC SITE 10",Détail!$E:$E)+SUMIF(Détail!$D:$D,"AREAS A10 LIMOU",Détail!$E:$E)+SUMIF(Détail!$D:$D,"ADP ROISSY PCD",Détail!$E:$E)</f>
        <v>-208.85</v>
      </c>
    </row>
    <row r="129" customFormat="false" ht="15" hidden="false" customHeight="true" outlineLevel="0" collapsed="false">
      <c r="A129" s="24" t="s">
        <v>63</v>
      </c>
      <c r="B129" s="24" t="s">
        <v>64</v>
      </c>
    </row>
    <row r="130" customFormat="false" ht="15" hidden="false" customHeight="true" outlineLevel="0" collapsed="false">
      <c r="A130" s="8" t="s">
        <v>65</v>
      </c>
      <c r="B130" s="31" t="n">
        <f aca="false">SUMIFS(Détail!$E:$E,Détail!$D:$D,"INDIGO 941401",Détail!$A:$A,"&gt;="&amp;DATE(2025,1,1),Détail!$A:$A,"&lt;"&amp;EDATE(DATE(2025,1,1),1))+SUMIFS(Détail!$E:$E,Détail!$D:$D,"INDIGO930323",Détail!$A:$A,"&gt;="&amp;DATE(2025,1,1),Détail!$A:$A,"&lt;"&amp;EDATE(DATE(2025,1,1),1))+SUMIFS(Détail!$E:$E,Détail!$D:$D,"VIPARIS PDV PKG",Détail!$A:$A,"&gt;="&amp;DATE(2025,1,1),Détail!$A:$A,"&lt;"&amp;EDATE(DATE(2025,1,1),1))+SUMIFS(Détail!$E:$E,Détail!$D:$D,"SAFE PARK VALET",Détail!$A:$A,"&gt;="&amp;DATE(2025,1,1),Détail!$A:$A,"&lt;"&amp;EDATE(DATE(2025,1,1),1))+SUMIFS(Détail!$E:$E,Détail!$D:$D,"SAEMES HMO",Détail!$A:$A,"&gt;="&amp;DATE(2025,1,1),Détail!$A:$A,"&lt;"&amp;EDATE(DATE(2025,1,1),1))+SUMIFS(Détail!$E:$E,Détail!$D:$D,"NATIONAL PARKIN",Détail!$A:$A,"&gt;="&amp;DATE(2025,1,1),Détail!$A:$A,"&lt;"&amp;EDATE(DATE(2025,1,1),1))+SUMIFS(Détail!$E:$E,Détail!$D:$D,"EFFIA PARK",Détail!$A:$A,"&gt;="&amp;DATE(2025,1,1),Détail!$A:$A,"&lt;"&amp;EDATE(DATE(2025,1,1),1))+SUMIFS(Détail!$E:$E,Détail!$D:$D,"REGIE BPNL",Détail!$A:$A,"&gt;="&amp;DATE(2025,1,1),Détail!$A:$A,"&lt;"&amp;EDATE(DATE(2025,1,1),1))+SUMIFS(Détail!$E:$E,Détail!$D:$D,"EPPC SITE 10",Détail!$A:$A,"&gt;="&amp;DATE(2025,1,1),Détail!$A:$A,"&lt;"&amp;EDATE(DATE(2025,1,1),1))+SUMIFS(Détail!$E:$E,Détail!$D:$D,"AREAS A10 LIMOU",Détail!$A:$A,"&gt;="&amp;DATE(2025,1,1),Détail!$A:$A,"&lt;"&amp;EDATE(DATE(2025,1,1),1))+SUMIFS(Détail!$E:$E,Détail!$D:$D,"ADP ROISSY PCD",Détail!$A:$A,"&gt;="&amp;DATE(2025,1,1),Détail!$A:$A,"&lt;"&amp;EDATE(DATE(2025,1,1),1))</f>
        <v>-36.3</v>
      </c>
    </row>
    <row r="131" customFormat="false" ht="15" hidden="false" customHeight="true" outlineLevel="0" collapsed="false">
      <c r="A131" s="8" t="s">
        <v>66</v>
      </c>
      <c r="B131" s="31" t="n">
        <f aca="false">SUMIFS(Détail!$E:$E,Détail!$D:$D,"INDIGO 941401",Détail!$A:$A,"&gt;="&amp;DATE(2025,2,1),Détail!$A:$A,"&lt;"&amp;EDATE(DATE(2025,2,1),1))+SUMIFS(Détail!$E:$E,Détail!$D:$D,"INDIGO930323",Détail!$A:$A,"&gt;="&amp;DATE(2025,2,1),Détail!$A:$A,"&lt;"&amp;EDATE(DATE(2025,2,1),1))+SUMIFS(Détail!$E:$E,Détail!$D:$D,"VIPARIS PDV PKG",Détail!$A:$A,"&gt;="&amp;DATE(2025,2,1),Détail!$A:$A,"&lt;"&amp;EDATE(DATE(2025,2,1),1))+SUMIFS(Détail!$E:$E,Détail!$D:$D,"SAFE PARK VALET",Détail!$A:$A,"&gt;="&amp;DATE(2025,2,1),Détail!$A:$A,"&lt;"&amp;EDATE(DATE(2025,2,1),1))+SUMIFS(Détail!$E:$E,Détail!$D:$D,"SAEMES HMO",Détail!$A:$A,"&gt;="&amp;DATE(2025,2,1),Détail!$A:$A,"&lt;"&amp;EDATE(DATE(2025,2,1),1))+SUMIFS(Détail!$E:$E,Détail!$D:$D,"NATIONAL PARKIN",Détail!$A:$A,"&gt;="&amp;DATE(2025,2,1),Détail!$A:$A,"&lt;"&amp;EDATE(DATE(2025,2,1),1))+SUMIFS(Détail!$E:$E,Détail!$D:$D,"EFFIA PARK",Détail!$A:$A,"&gt;="&amp;DATE(2025,2,1),Détail!$A:$A,"&lt;"&amp;EDATE(DATE(2025,2,1),1))+SUMIFS(Détail!$E:$E,Détail!$D:$D,"REGIE BPNL",Détail!$A:$A,"&gt;="&amp;DATE(2025,2,1),Détail!$A:$A,"&lt;"&amp;EDATE(DATE(2025,2,1),1))+SUMIFS(Détail!$E:$E,Détail!$D:$D,"EPPC SITE 10",Détail!$A:$A,"&gt;="&amp;DATE(2025,2,1),Détail!$A:$A,"&lt;"&amp;EDATE(DATE(2025,2,1),1))+SUMIFS(Détail!$E:$E,Détail!$D:$D,"AREAS A10 LIMOU",Détail!$A:$A,"&gt;="&amp;DATE(2025,2,1),Détail!$A:$A,"&lt;"&amp;EDATE(DATE(2025,2,1),1))+SUMIFS(Détail!$E:$E,Détail!$D:$D,"ADP ROISSY PCD",Détail!$A:$A,"&gt;="&amp;DATE(2025,2,1),Détail!$A:$A,"&lt;"&amp;EDATE(DATE(2025,2,1),1))</f>
        <v>-7.2</v>
      </c>
    </row>
    <row r="132" customFormat="false" ht="15" hidden="false" customHeight="true" outlineLevel="0" collapsed="false">
      <c r="A132" s="8" t="s">
        <v>67</v>
      </c>
      <c r="B132" s="31" t="n">
        <f aca="false">SUMIFS(Détail!$E:$E,Détail!$D:$D,"INDIGO 941401",Détail!$A:$A,"&gt;="&amp;DATE(2025,3,1),Détail!$A:$A,"&lt;"&amp;EDATE(DATE(2025,3,1),1))+SUMIFS(Détail!$E:$E,Détail!$D:$D,"INDIGO930323",Détail!$A:$A,"&gt;="&amp;DATE(2025,3,1),Détail!$A:$A,"&lt;"&amp;EDATE(DATE(2025,3,1),1))+SUMIFS(Détail!$E:$E,Détail!$D:$D,"VIPARIS PDV PKG",Détail!$A:$A,"&gt;="&amp;DATE(2025,3,1),Détail!$A:$A,"&lt;"&amp;EDATE(DATE(2025,3,1),1))+SUMIFS(Détail!$E:$E,Détail!$D:$D,"SAFE PARK VALET",Détail!$A:$A,"&gt;="&amp;DATE(2025,3,1),Détail!$A:$A,"&lt;"&amp;EDATE(DATE(2025,3,1),1))+SUMIFS(Détail!$E:$E,Détail!$D:$D,"SAEMES HMO",Détail!$A:$A,"&gt;="&amp;DATE(2025,3,1),Détail!$A:$A,"&lt;"&amp;EDATE(DATE(2025,3,1),1))+SUMIFS(Détail!$E:$E,Détail!$D:$D,"NATIONAL PARKIN",Détail!$A:$A,"&gt;="&amp;DATE(2025,3,1),Détail!$A:$A,"&lt;"&amp;EDATE(DATE(2025,3,1),1))+SUMIFS(Détail!$E:$E,Détail!$D:$D,"EFFIA PARK",Détail!$A:$A,"&gt;="&amp;DATE(2025,3,1),Détail!$A:$A,"&lt;"&amp;EDATE(DATE(2025,3,1),1))+SUMIFS(Détail!$E:$E,Détail!$D:$D,"REGIE BPNL",Détail!$A:$A,"&gt;="&amp;DATE(2025,3,1),Détail!$A:$A,"&lt;"&amp;EDATE(DATE(2025,3,1),1))+SUMIFS(Détail!$E:$E,Détail!$D:$D,"EPPC SITE 10",Détail!$A:$A,"&gt;="&amp;DATE(2025,3,1),Détail!$A:$A,"&lt;"&amp;EDATE(DATE(2025,3,1),1))+SUMIFS(Détail!$E:$E,Détail!$D:$D,"AREAS A10 LIMOU",Détail!$A:$A,"&gt;="&amp;DATE(2025,3,1),Détail!$A:$A,"&lt;"&amp;EDATE(DATE(2025,3,1),1))+SUMIFS(Détail!$E:$E,Détail!$D:$D,"ADP ROISSY PCD",Détail!$A:$A,"&gt;="&amp;DATE(2025,3,1),Détail!$A:$A,"&lt;"&amp;EDATE(DATE(2025,3,1),1))</f>
        <v>-10.5</v>
      </c>
    </row>
    <row r="133" customFormat="false" ht="15" hidden="false" customHeight="true" outlineLevel="0" collapsed="false">
      <c r="A133" s="8" t="s">
        <v>68</v>
      </c>
      <c r="B133" s="31" t="n">
        <f aca="false">SUMIFS(Détail!$E:$E,Détail!$D:$D,"INDIGO 941401",Détail!$A:$A,"&gt;="&amp;DATE(2025,4,1),Détail!$A:$A,"&lt;"&amp;EDATE(DATE(2025,4,1),1))+SUMIFS(Détail!$E:$E,Détail!$D:$D,"INDIGO930323",Détail!$A:$A,"&gt;="&amp;DATE(2025,4,1),Détail!$A:$A,"&lt;"&amp;EDATE(DATE(2025,4,1),1))+SUMIFS(Détail!$E:$E,Détail!$D:$D,"VIPARIS PDV PKG",Détail!$A:$A,"&gt;="&amp;DATE(2025,4,1),Détail!$A:$A,"&lt;"&amp;EDATE(DATE(2025,4,1),1))+SUMIFS(Détail!$E:$E,Détail!$D:$D,"SAFE PARK VALET",Détail!$A:$A,"&gt;="&amp;DATE(2025,4,1),Détail!$A:$A,"&lt;"&amp;EDATE(DATE(2025,4,1),1))+SUMIFS(Détail!$E:$E,Détail!$D:$D,"SAEMES HMO",Détail!$A:$A,"&gt;="&amp;DATE(2025,4,1),Détail!$A:$A,"&lt;"&amp;EDATE(DATE(2025,4,1),1))+SUMIFS(Détail!$E:$E,Détail!$D:$D,"NATIONAL PARKIN",Détail!$A:$A,"&gt;="&amp;DATE(2025,4,1),Détail!$A:$A,"&lt;"&amp;EDATE(DATE(2025,4,1),1))+SUMIFS(Détail!$E:$E,Détail!$D:$D,"EFFIA PARK",Détail!$A:$A,"&gt;="&amp;DATE(2025,4,1),Détail!$A:$A,"&lt;"&amp;EDATE(DATE(2025,4,1),1))+SUMIFS(Détail!$E:$E,Détail!$D:$D,"REGIE BPNL",Détail!$A:$A,"&gt;="&amp;DATE(2025,4,1),Détail!$A:$A,"&lt;"&amp;EDATE(DATE(2025,4,1),1))+SUMIFS(Détail!$E:$E,Détail!$D:$D,"EPPC SITE 10",Détail!$A:$A,"&gt;="&amp;DATE(2025,4,1),Détail!$A:$A,"&lt;"&amp;EDATE(DATE(2025,4,1),1))+SUMIFS(Détail!$E:$E,Détail!$D:$D,"AREAS A10 LIMOU",Détail!$A:$A,"&gt;="&amp;DATE(2025,4,1),Détail!$A:$A,"&lt;"&amp;EDATE(DATE(2025,4,1),1))+SUMIFS(Détail!$E:$E,Détail!$D:$D,"ADP ROISSY PCD",Détail!$A:$A,"&gt;="&amp;DATE(2025,4,1),Détail!$A:$A,"&lt;"&amp;EDATE(DATE(2025,4,1),1))</f>
        <v>0</v>
      </c>
    </row>
    <row r="134" customFormat="false" ht="15" hidden="false" customHeight="true" outlineLevel="0" collapsed="false">
      <c r="A134" s="8" t="s">
        <v>69</v>
      </c>
      <c r="B134" s="31" t="n">
        <f aca="false">SUMIFS(Détail!$E:$E,Détail!$D:$D,"INDIGO 941401",Détail!$A:$A,"&gt;="&amp;DATE(2025,5,1),Détail!$A:$A,"&lt;"&amp;EDATE(DATE(2025,5,1),1))+SUMIFS(Détail!$E:$E,Détail!$D:$D,"INDIGO930323",Détail!$A:$A,"&gt;="&amp;DATE(2025,5,1),Détail!$A:$A,"&lt;"&amp;EDATE(DATE(2025,5,1),1))+SUMIFS(Détail!$E:$E,Détail!$D:$D,"VIPARIS PDV PKG",Détail!$A:$A,"&gt;="&amp;DATE(2025,5,1),Détail!$A:$A,"&lt;"&amp;EDATE(DATE(2025,5,1),1))+SUMIFS(Détail!$E:$E,Détail!$D:$D,"SAFE PARK VALET",Détail!$A:$A,"&gt;="&amp;DATE(2025,5,1),Détail!$A:$A,"&lt;"&amp;EDATE(DATE(2025,5,1),1))+SUMIFS(Détail!$E:$E,Détail!$D:$D,"SAEMES HMO",Détail!$A:$A,"&gt;="&amp;DATE(2025,5,1),Détail!$A:$A,"&lt;"&amp;EDATE(DATE(2025,5,1),1))+SUMIFS(Détail!$E:$E,Détail!$D:$D,"NATIONAL PARKIN",Détail!$A:$A,"&gt;="&amp;DATE(2025,5,1),Détail!$A:$A,"&lt;"&amp;EDATE(DATE(2025,5,1),1))+SUMIFS(Détail!$E:$E,Détail!$D:$D,"EFFIA PARK",Détail!$A:$A,"&gt;="&amp;DATE(2025,5,1),Détail!$A:$A,"&lt;"&amp;EDATE(DATE(2025,5,1),1))+SUMIFS(Détail!$E:$E,Détail!$D:$D,"REGIE BPNL",Détail!$A:$A,"&gt;="&amp;DATE(2025,5,1),Détail!$A:$A,"&lt;"&amp;EDATE(DATE(2025,5,1),1))+SUMIFS(Détail!$E:$E,Détail!$D:$D,"EPPC SITE 10",Détail!$A:$A,"&gt;="&amp;DATE(2025,5,1),Détail!$A:$A,"&lt;"&amp;EDATE(DATE(2025,5,1),1))+SUMIFS(Détail!$E:$E,Détail!$D:$D,"AREAS A10 LIMOU",Détail!$A:$A,"&gt;="&amp;DATE(2025,5,1),Détail!$A:$A,"&lt;"&amp;EDATE(DATE(2025,5,1),1))+SUMIFS(Détail!$E:$E,Détail!$D:$D,"ADP ROISSY PCD",Détail!$A:$A,"&gt;="&amp;DATE(2025,5,1),Détail!$A:$A,"&lt;"&amp;EDATE(DATE(2025,5,1),1))</f>
        <v>-34.7</v>
      </c>
    </row>
    <row r="135" customFormat="false" ht="15" hidden="false" customHeight="true" outlineLevel="0" collapsed="false">
      <c r="A135" s="8" t="s">
        <v>70</v>
      </c>
      <c r="B135" s="31" t="n">
        <f aca="false">SUMIFS(Détail!$E:$E,Détail!$D:$D,"INDIGO 941401",Détail!$A:$A,"&gt;="&amp;DATE(2025,6,1),Détail!$A:$A,"&lt;"&amp;EDATE(DATE(2025,6,1),1))+SUMIFS(Détail!$E:$E,Détail!$D:$D,"INDIGO930323",Détail!$A:$A,"&gt;="&amp;DATE(2025,6,1),Détail!$A:$A,"&lt;"&amp;EDATE(DATE(2025,6,1),1))+SUMIFS(Détail!$E:$E,Détail!$D:$D,"VIPARIS PDV PKG",Détail!$A:$A,"&gt;="&amp;DATE(2025,6,1),Détail!$A:$A,"&lt;"&amp;EDATE(DATE(2025,6,1),1))+SUMIFS(Détail!$E:$E,Détail!$D:$D,"SAFE PARK VALET",Détail!$A:$A,"&gt;="&amp;DATE(2025,6,1),Détail!$A:$A,"&lt;"&amp;EDATE(DATE(2025,6,1),1))+SUMIFS(Détail!$E:$E,Détail!$D:$D,"SAEMES HMO",Détail!$A:$A,"&gt;="&amp;DATE(2025,6,1),Détail!$A:$A,"&lt;"&amp;EDATE(DATE(2025,6,1),1))+SUMIFS(Détail!$E:$E,Détail!$D:$D,"NATIONAL PARKIN",Détail!$A:$A,"&gt;="&amp;DATE(2025,6,1),Détail!$A:$A,"&lt;"&amp;EDATE(DATE(2025,6,1),1))+SUMIFS(Détail!$E:$E,Détail!$D:$D,"EFFIA PARK",Détail!$A:$A,"&gt;="&amp;DATE(2025,6,1),Détail!$A:$A,"&lt;"&amp;EDATE(DATE(2025,6,1),1))+SUMIFS(Détail!$E:$E,Détail!$D:$D,"REGIE BPNL",Détail!$A:$A,"&gt;="&amp;DATE(2025,6,1),Détail!$A:$A,"&lt;"&amp;EDATE(DATE(2025,6,1),1))+SUMIFS(Détail!$E:$E,Détail!$D:$D,"EPPC SITE 10",Détail!$A:$A,"&gt;="&amp;DATE(2025,6,1),Détail!$A:$A,"&lt;"&amp;EDATE(DATE(2025,6,1),1))+SUMIFS(Détail!$E:$E,Détail!$D:$D,"AREAS A10 LIMOU",Détail!$A:$A,"&gt;="&amp;DATE(2025,6,1),Détail!$A:$A,"&lt;"&amp;EDATE(DATE(2025,6,1),1))+SUMIFS(Détail!$E:$E,Détail!$D:$D,"ADP ROISSY PCD",Détail!$A:$A,"&gt;="&amp;DATE(2025,6,1),Détail!$A:$A,"&lt;"&amp;EDATE(DATE(2025,6,1),1))</f>
        <v>-33.8</v>
      </c>
    </row>
    <row r="136" customFormat="false" ht="15" hidden="false" customHeight="true" outlineLevel="0" collapsed="false">
      <c r="A136" s="8" t="s">
        <v>71</v>
      </c>
      <c r="B136" s="31" t="n">
        <f aca="false">SUMIFS(Détail!$E:$E,Détail!$D:$D,"INDIGO 941401",Détail!$A:$A,"&gt;="&amp;DATE(2025,7,1),Détail!$A:$A,"&lt;"&amp;EDATE(DATE(2025,7,1),1))+SUMIFS(Détail!$E:$E,Détail!$D:$D,"INDIGO930323",Détail!$A:$A,"&gt;="&amp;DATE(2025,7,1),Détail!$A:$A,"&lt;"&amp;EDATE(DATE(2025,7,1),1))+SUMIFS(Détail!$E:$E,Détail!$D:$D,"VIPARIS PDV PKG",Détail!$A:$A,"&gt;="&amp;DATE(2025,7,1),Détail!$A:$A,"&lt;"&amp;EDATE(DATE(2025,7,1),1))+SUMIFS(Détail!$E:$E,Détail!$D:$D,"SAFE PARK VALET",Détail!$A:$A,"&gt;="&amp;DATE(2025,7,1),Détail!$A:$A,"&lt;"&amp;EDATE(DATE(2025,7,1),1))+SUMIFS(Détail!$E:$E,Détail!$D:$D,"SAEMES HMO",Détail!$A:$A,"&gt;="&amp;DATE(2025,7,1),Détail!$A:$A,"&lt;"&amp;EDATE(DATE(2025,7,1),1))+SUMIFS(Détail!$E:$E,Détail!$D:$D,"NATIONAL PARKIN",Détail!$A:$A,"&gt;="&amp;DATE(2025,7,1),Détail!$A:$A,"&lt;"&amp;EDATE(DATE(2025,7,1),1))+SUMIFS(Détail!$E:$E,Détail!$D:$D,"EFFIA PARK",Détail!$A:$A,"&gt;="&amp;DATE(2025,7,1),Détail!$A:$A,"&lt;"&amp;EDATE(DATE(2025,7,1),1))+SUMIFS(Détail!$E:$E,Détail!$D:$D,"REGIE BPNL",Détail!$A:$A,"&gt;="&amp;DATE(2025,7,1),Détail!$A:$A,"&lt;"&amp;EDATE(DATE(2025,7,1),1))+SUMIFS(Détail!$E:$E,Détail!$D:$D,"EPPC SITE 10",Détail!$A:$A,"&gt;="&amp;DATE(2025,7,1),Détail!$A:$A,"&lt;"&amp;EDATE(DATE(2025,7,1),1))+SUMIFS(Détail!$E:$E,Détail!$D:$D,"AREAS A10 LIMOU",Détail!$A:$A,"&gt;="&amp;DATE(2025,7,1),Détail!$A:$A,"&lt;"&amp;EDATE(DATE(2025,7,1),1))+SUMIFS(Détail!$E:$E,Détail!$D:$D,"ADP ROISSY PCD",Détail!$A:$A,"&gt;="&amp;DATE(2025,7,1),Détail!$A:$A,"&lt;"&amp;EDATE(DATE(2025,7,1),1))</f>
        <v>-25.8</v>
      </c>
    </row>
    <row r="137" customFormat="false" ht="15" hidden="false" customHeight="true" outlineLevel="0" collapsed="false">
      <c r="A137" s="8" t="s">
        <v>72</v>
      </c>
      <c r="B137" s="31" t="n">
        <f aca="false">SUMIFS(Détail!$E:$E,Détail!$D:$D,"INDIGO 941401",Détail!$A:$A,"&gt;="&amp;DATE(2025,8,1),Détail!$A:$A,"&lt;"&amp;EDATE(DATE(2025,8,1),1))+SUMIFS(Détail!$E:$E,Détail!$D:$D,"INDIGO930323",Détail!$A:$A,"&gt;="&amp;DATE(2025,8,1),Détail!$A:$A,"&lt;"&amp;EDATE(DATE(2025,8,1),1))+SUMIFS(Détail!$E:$E,Détail!$D:$D,"VIPARIS PDV PKG",Détail!$A:$A,"&gt;="&amp;DATE(2025,8,1),Détail!$A:$A,"&lt;"&amp;EDATE(DATE(2025,8,1),1))+SUMIFS(Détail!$E:$E,Détail!$D:$D,"SAFE PARK VALET",Détail!$A:$A,"&gt;="&amp;DATE(2025,8,1),Détail!$A:$A,"&lt;"&amp;EDATE(DATE(2025,8,1),1))+SUMIFS(Détail!$E:$E,Détail!$D:$D,"SAEMES HMO",Détail!$A:$A,"&gt;="&amp;DATE(2025,8,1),Détail!$A:$A,"&lt;"&amp;EDATE(DATE(2025,8,1),1))+SUMIFS(Détail!$E:$E,Détail!$D:$D,"NATIONAL PARKIN",Détail!$A:$A,"&gt;="&amp;DATE(2025,8,1),Détail!$A:$A,"&lt;"&amp;EDATE(DATE(2025,8,1),1))+SUMIFS(Détail!$E:$E,Détail!$D:$D,"EFFIA PARK",Détail!$A:$A,"&gt;="&amp;DATE(2025,8,1),Détail!$A:$A,"&lt;"&amp;EDATE(DATE(2025,8,1),1))+SUMIFS(Détail!$E:$E,Détail!$D:$D,"REGIE BPNL",Détail!$A:$A,"&gt;="&amp;DATE(2025,8,1),Détail!$A:$A,"&lt;"&amp;EDATE(DATE(2025,8,1),1))+SUMIFS(Détail!$E:$E,Détail!$D:$D,"EPPC SITE 10",Détail!$A:$A,"&gt;="&amp;DATE(2025,8,1),Détail!$A:$A,"&lt;"&amp;EDATE(DATE(2025,8,1),1))+SUMIFS(Détail!$E:$E,Détail!$D:$D,"AREAS A10 LIMOU",Détail!$A:$A,"&gt;="&amp;DATE(2025,8,1),Détail!$A:$A,"&lt;"&amp;EDATE(DATE(2025,8,1),1))+SUMIFS(Détail!$E:$E,Détail!$D:$D,"ADP ROISSY PCD",Détail!$A:$A,"&gt;="&amp;DATE(2025,8,1),Détail!$A:$A,"&lt;"&amp;EDATE(DATE(2025,8,1),1))</f>
        <v>0</v>
      </c>
    </row>
    <row r="138" customFormat="false" ht="15" hidden="false" customHeight="true" outlineLevel="0" collapsed="false">
      <c r="A138" s="8" t="s">
        <v>73</v>
      </c>
      <c r="B138" s="31" t="n">
        <f aca="false">SUMIFS(Détail!$E:$E,Détail!$D:$D,"INDIGO 941401",Détail!$A:$A,"&gt;="&amp;DATE(2025,9,1),Détail!$A:$A,"&lt;"&amp;EDATE(DATE(2025,9,1),1))+SUMIFS(Détail!$E:$E,Détail!$D:$D,"INDIGO930323",Détail!$A:$A,"&gt;="&amp;DATE(2025,9,1),Détail!$A:$A,"&lt;"&amp;EDATE(DATE(2025,9,1),1))+SUMIFS(Détail!$E:$E,Détail!$D:$D,"VIPARIS PDV PKG",Détail!$A:$A,"&gt;="&amp;DATE(2025,9,1),Détail!$A:$A,"&lt;"&amp;EDATE(DATE(2025,9,1),1))+SUMIFS(Détail!$E:$E,Détail!$D:$D,"SAFE PARK VALET",Détail!$A:$A,"&gt;="&amp;DATE(2025,9,1),Détail!$A:$A,"&lt;"&amp;EDATE(DATE(2025,9,1),1))+SUMIFS(Détail!$E:$E,Détail!$D:$D,"SAEMES HMO",Détail!$A:$A,"&gt;="&amp;DATE(2025,9,1),Détail!$A:$A,"&lt;"&amp;EDATE(DATE(2025,9,1),1))+SUMIFS(Détail!$E:$E,Détail!$D:$D,"NATIONAL PARKIN",Détail!$A:$A,"&gt;="&amp;DATE(2025,9,1),Détail!$A:$A,"&lt;"&amp;EDATE(DATE(2025,9,1),1))+SUMIFS(Détail!$E:$E,Détail!$D:$D,"EFFIA PARK",Détail!$A:$A,"&gt;="&amp;DATE(2025,9,1),Détail!$A:$A,"&lt;"&amp;EDATE(DATE(2025,9,1),1))+SUMIFS(Détail!$E:$E,Détail!$D:$D,"REGIE BPNL",Détail!$A:$A,"&gt;="&amp;DATE(2025,9,1),Détail!$A:$A,"&lt;"&amp;EDATE(DATE(2025,9,1),1))+SUMIFS(Détail!$E:$E,Détail!$D:$D,"EPPC SITE 10",Détail!$A:$A,"&gt;="&amp;DATE(2025,9,1),Détail!$A:$A,"&lt;"&amp;EDATE(DATE(2025,9,1),1))+SUMIFS(Détail!$E:$E,Détail!$D:$D,"AREAS A10 LIMOU",Détail!$A:$A,"&gt;="&amp;DATE(2025,9,1),Détail!$A:$A,"&lt;"&amp;EDATE(DATE(2025,9,1),1))+SUMIFS(Détail!$E:$E,Détail!$D:$D,"ADP ROISSY PCD",Détail!$A:$A,"&gt;="&amp;DATE(2025,9,1),Détail!$A:$A,"&lt;"&amp;EDATE(DATE(2025,9,1),1))</f>
        <v>-2</v>
      </c>
    </row>
    <row r="139" customFormat="false" ht="15" hidden="false" customHeight="true" outlineLevel="0" collapsed="false">
      <c r="A139" s="8" t="s">
        <v>74</v>
      </c>
      <c r="B139" s="31" t="n">
        <f aca="false">SUMIFS(Détail!$E:$E,Détail!$D:$D,"INDIGO 941401",Détail!$A:$A,"&gt;="&amp;DATE(2025,10,1),Détail!$A:$A,"&lt;"&amp;EDATE(DATE(2025,10,1),1))+SUMIFS(Détail!$E:$E,Détail!$D:$D,"INDIGO930323",Détail!$A:$A,"&gt;="&amp;DATE(2025,10,1),Détail!$A:$A,"&lt;"&amp;EDATE(DATE(2025,10,1),1))+SUMIFS(Détail!$E:$E,Détail!$D:$D,"VIPARIS PDV PKG",Détail!$A:$A,"&gt;="&amp;DATE(2025,10,1),Détail!$A:$A,"&lt;"&amp;EDATE(DATE(2025,10,1),1))+SUMIFS(Détail!$E:$E,Détail!$D:$D,"SAFE PARK VALET",Détail!$A:$A,"&gt;="&amp;DATE(2025,10,1),Détail!$A:$A,"&lt;"&amp;EDATE(DATE(2025,10,1),1))+SUMIFS(Détail!$E:$E,Détail!$D:$D,"SAEMES HMO",Détail!$A:$A,"&gt;="&amp;DATE(2025,10,1),Détail!$A:$A,"&lt;"&amp;EDATE(DATE(2025,10,1),1))+SUMIFS(Détail!$E:$E,Détail!$D:$D,"NATIONAL PARKIN",Détail!$A:$A,"&gt;="&amp;DATE(2025,10,1),Détail!$A:$A,"&lt;"&amp;EDATE(DATE(2025,10,1),1))+SUMIFS(Détail!$E:$E,Détail!$D:$D,"EFFIA PARK",Détail!$A:$A,"&gt;="&amp;DATE(2025,10,1),Détail!$A:$A,"&lt;"&amp;EDATE(DATE(2025,10,1),1))+SUMIFS(Détail!$E:$E,Détail!$D:$D,"REGIE BPNL",Détail!$A:$A,"&gt;="&amp;DATE(2025,10,1),Détail!$A:$A,"&lt;"&amp;EDATE(DATE(2025,10,1),1))+SUMIFS(Détail!$E:$E,Détail!$D:$D,"EPPC SITE 10",Détail!$A:$A,"&gt;="&amp;DATE(2025,10,1),Détail!$A:$A,"&lt;"&amp;EDATE(DATE(2025,10,1),1))+SUMIFS(Détail!$E:$E,Détail!$D:$D,"AREAS A10 LIMOU",Détail!$A:$A,"&gt;="&amp;DATE(2025,10,1),Détail!$A:$A,"&lt;"&amp;EDATE(DATE(2025,10,1),1))+SUMIFS(Détail!$E:$E,Détail!$D:$D,"ADP ROISSY PCD",Détail!$A:$A,"&gt;="&amp;DATE(2025,10,1),Détail!$A:$A,"&lt;"&amp;EDATE(DATE(2025,10,1),1))</f>
        <v>-42.85</v>
      </c>
    </row>
    <row r="140" customFormat="false" ht="15" hidden="false" customHeight="true" outlineLevel="0" collapsed="false">
      <c r="A140" s="8" t="s">
        <v>75</v>
      </c>
      <c r="B140" s="31" t="n">
        <f aca="false">SUMIFS(Détail!$E:$E,Détail!$D:$D,"INDIGO 941401",Détail!$A:$A,"&gt;="&amp;DATE(2025,11,1),Détail!$A:$A,"&lt;"&amp;EDATE(DATE(2025,11,1),1))+SUMIFS(Détail!$E:$E,Détail!$D:$D,"INDIGO930323",Détail!$A:$A,"&gt;="&amp;DATE(2025,11,1),Détail!$A:$A,"&lt;"&amp;EDATE(DATE(2025,11,1),1))+SUMIFS(Détail!$E:$E,Détail!$D:$D,"VIPARIS PDV PKG",Détail!$A:$A,"&gt;="&amp;DATE(2025,11,1),Détail!$A:$A,"&lt;"&amp;EDATE(DATE(2025,11,1),1))+SUMIFS(Détail!$E:$E,Détail!$D:$D,"SAFE PARK VALET",Détail!$A:$A,"&gt;="&amp;DATE(2025,11,1),Détail!$A:$A,"&lt;"&amp;EDATE(DATE(2025,11,1),1))+SUMIFS(Détail!$E:$E,Détail!$D:$D,"SAEMES HMO",Détail!$A:$A,"&gt;="&amp;DATE(2025,11,1),Détail!$A:$A,"&lt;"&amp;EDATE(DATE(2025,11,1),1))+SUMIFS(Détail!$E:$E,Détail!$D:$D,"NATIONAL PARKIN",Détail!$A:$A,"&gt;="&amp;DATE(2025,11,1),Détail!$A:$A,"&lt;"&amp;EDATE(DATE(2025,11,1),1))+SUMIFS(Détail!$E:$E,Détail!$D:$D,"EFFIA PARK",Détail!$A:$A,"&gt;="&amp;DATE(2025,11,1),Détail!$A:$A,"&lt;"&amp;EDATE(DATE(2025,11,1),1))+SUMIFS(Détail!$E:$E,Détail!$D:$D,"REGIE BPNL",Détail!$A:$A,"&gt;="&amp;DATE(2025,11,1),Détail!$A:$A,"&lt;"&amp;EDATE(DATE(2025,11,1),1))+SUMIFS(Détail!$E:$E,Détail!$D:$D,"EPPC SITE 10",Détail!$A:$A,"&gt;="&amp;DATE(2025,11,1),Détail!$A:$A,"&lt;"&amp;EDATE(DATE(2025,11,1),1))+SUMIFS(Détail!$E:$E,Détail!$D:$D,"AREAS A10 LIMOU",Détail!$A:$A,"&gt;="&amp;DATE(2025,11,1),Détail!$A:$A,"&lt;"&amp;EDATE(DATE(2025,11,1),1))+SUMIFS(Détail!$E:$E,Détail!$D:$D,"ADP ROISSY PCD",Détail!$A:$A,"&gt;="&amp;DATE(2025,11,1),Détail!$A:$A,"&lt;"&amp;EDATE(DATE(2025,11,1),1))</f>
        <v>-8.5</v>
      </c>
    </row>
    <row r="141" customFormat="false" ht="15" hidden="false" customHeight="true" outlineLevel="0" collapsed="false">
      <c r="A141" s="8" t="s">
        <v>76</v>
      </c>
      <c r="B141" s="31" t="n">
        <f aca="false">SUMIFS(Détail!$E:$E,Détail!$D:$D,"INDIGO 941401",Détail!$A:$A,"&gt;="&amp;DATE(2025,12,1),Détail!$A:$A,"&lt;"&amp;EDATE(DATE(2025,12,1),1))+SUMIFS(Détail!$E:$E,Détail!$D:$D,"INDIGO930323",Détail!$A:$A,"&gt;="&amp;DATE(2025,12,1),Détail!$A:$A,"&lt;"&amp;EDATE(DATE(2025,12,1),1))+SUMIFS(Détail!$E:$E,Détail!$D:$D,"VIPARIS PDV PKG",Détail!$A:$A,"&gt;="&amp;DATE(2025,12,1),Détail!$A:$A,"&lt;"&amp;EDATE(DATE(2025,12,1),1))+SUMIFS(Détail!$E:$E,Détail!$D:$D,"SAFE PARK VALET",Détail!$A:$A,"&gt;="&amp;DATE(2025,12,1),Détail!$A:$A,"&lt;"&amp;EDATE(DATE(2025,12,1),1))+SUMIFS(Détail!$E:$E,Détail!$D:$D,"SAEMES HMO",Détail!$A:$A,"&gt;="&amp;DATE(2025,12,1),Détail!$A:$A,"&lt;"&amp;EDATE(DATE(2025,12,1),1))+SUMIFS(Détail!$E:$E,Détail!$D:$D,"NATIONAL PARKIN",Détail!$A:$A,"&gt;="&amp;DATE(2025,12,1),Détail!$A:$A,"&lt;"&amp;EDATE(DATE(2025,12,1),1))+SUMIFS(Détail!$E:$E,Détail!$D:$D,"EFFIA PARK",Détail!$A:$A,"&gt;="&amp;DATE(2025,12,1),Détail!$A:$A,"&lt;"&amp;EDATE(DATE(2025,12,1),1))+SUMIFS(Détail!$E:$E,Détail!$D:$D,"REGIE BPNL",Détail!$A:$A,"&gt;="&amp;DATE(2025,12,1),Détail!$A:$A,"&lt;"&amp;EDATE(DATE(2025,12,1),1))+SUMIFS(Détail!$E:$E,Détail!$D:$D,"EPPC SITE 10",Détail!$A:$A,"&gt;="&amp;DATE(2025,12,1),Détail!$A:$A,"&lt;"&amp;EDATE(DATE(2025,12,1),1))+SUMIFS(Détail!$E:$E,Détail!$D:$D,"AREAS A10 LIMOU",Détail!$A:$A,"&gt;="&amp;DATE(2025,12,1),Détail!$A:$A,"&lt;"&amp;EDATE(DATE(2025,12,1),1))+SUMIFS(Détail!$E:$E,Détail!$D:$D,"ADP ROISSY PCD",Détail!$A:$A,"&gt;="&amp;DATE(2025,12,1),Détail!$A:$A,"&lt;"&amp;EDATE(DATE(2025,12,1),1))</f>
        <v>-7.2</v>
      </c>
    </row>
    <row r="142" customFormat="false" ht="15" hidden="false" customHeight="true" outlineLevel="0" collapsed="false">
      <c r="A142" s="26" t="s">
        <v>285</v>
      </c>
      <c r="B142" s="26" t="s">
        <v>296</v>
      </c>
    </row>
    <row r="144" customFormat="false" ht="15" hidden="false" customHeight="true" outlineLevel="0" collapsed="false">
      <c r="A144" s="29" t="s">
        <v>297</v>
      </c>
      <c r="B144" s="29"/>
      <c r="C144" s="30" t="n">
        <f aca="false">SUMIF(Détail!$D:$D,"RELAIS TREMBLAY",Détail!$E:$E)+SUMIF(Détail!$D:$D,"REL.HARDIVILLER",Détail!$E:$E)+SUMIF(Détail!$D:$D,"REL. PONTAULT",Détail!$E:$E)+SUMIF(Détail!$D:$D,"RELAIS SENTINEL",Détail!$E:$E)</f>
        <v>-312.25</v>
      </c>
    </row>
    <row r="145" customFormat="false" ht="15" hidden="false" customHeight="true" outlineLevel="0" collapsed="false">
      <c r="A145" s="24" t="s">
        <v>63</v>
      </c>
      <c r="B145" s="24" t="s">
        <v>64</v>
      </c>
    </row>
    <row r="146" customFormat="false" ht="15" hidden="false" customHeight="true" outlineLevel="0" collapsed="false">
      <c r="A146" s="8" t="s">
        <v>65</v>
      </c>
      <c r="B146" s="31" t="n">
        <f aca="false">SUMIFS(Détail!$E:$E,Détail!$D:$D,"RELAIS TREMBLAY",Détail!$A:$A,"&gt;="&amp;DATE(2025,1,1),Détail!$A:$A,"&lt;"&amp;EDATE(DATE(2025,1,1),1))+SUMIFS(Détail!$E:$E,Détail!$D:$D,"REL.HARDIVILLER",Détail!$A:$A,"&gt;="&amp;DATE(2025,1,1),Détail!$A:$A,"&lt;"&amp;EDATE(DATE(2025,1,1),1))+SUMIFS(Détail!$E:$E,Détail!$D:$D,"REL. PONTAULT",Détail!$A:$A,"&gt;="&amp;DATE(2025,1,1),Détail!$A:$A,"&lt;"&amp;EDATE(DATE(2025,1,1),1))+SUMIFS(Détail!$E:$E,Détail!$D:$D,"RELAIS SENTINEL",Détail!$A:$A,"&gt;="&amp;DATE(2025,1,1),Détail!$A:$A,"&lt;"&amp;EDATE(DATE(2025,1,1),1))</f>
        <v>-49.57</v>
      </c>
    </row>
    <row r="147" customFormat="false" ht="15" hidden="false" customHeight="true" outlineLevel="0" collapsed="false">
      <c r="A147" s="8" t="s">
        <v>66</v>
      </c>
      <c r="B147" s="31" t="n">
        <f aca="false">SUMIFS(Détail!$E:$E,Détail!$D:$D,"RELAIS TREMBLAY",Détail!$A:$A,"&gt;="&amp;DATE(2025,2,1),Détail!$A:$A,"&lt;"&amp;EDATE(DATE(2025,2,1),1))+SUMIFS(Détail!$E:$E,Détail!$D:$D,"REL.HARDIVILLER",Détail!$A:$A,"&gt;="&amp;DATE(2025,2,1),Détail!$A:$A,"&lt;"&amp;EDATE(DATE(2025,2,1),1))+SUMIFS(Détail!$E:$E,Détail!$D:$D,"REL. PONTAULT",Détail!$A:$A,"&gt;="&amp;DATE(2025,2,1),Détail!$A:$A,"&lt;"&amp;EDATE(DATE(2025,2,1),1))+SUMIFS(Détail!$E:$E,Détail!$D:$D,"RELAIS SENTINEL",Détail!$A:$A,"&gt;="&amp;DATE(2025,2,1),Détail!$A:$A,"&lt;"&amp;EDATE(DATE(2025,2,1),1))</f>
        <v>-93.07</v>
      </c>
    </row>
    <row r="148" customFormat="false" ht="15" hidden="false" customHeight="true" outlineLevel="0" collapsed="false">
      <c r="A148" s="8" t="s">
        <v>67</v>
      </c>
      <c r="B148" s="31" t="n">
        <f aca="false">SUMIFS(Détail!$E:$E,Détail!$D:$D,"RELAIS TREMBLAY",Détail!$A:$A,"&gt;="&amp;DATE(2025,3,1),Détail!$A:$A,"&lt;"&amp;EDATE(DATE(2025,3,1),1))+SUMIFS(Détail!$E:$E,Détail!$D:$D,"REL.HARDIVILLER",Détail!$A:$A,"&gt;="&amp;DATE(2025,3,1),Détail!$A:$A,"&lt;"&amp;EDATE(DATE(2025,3,1),1))+SUMIFS(Détail!$E:$E,Détail!$D:$D,"REL. PONTAULT",Détail!$A:$A,"&gt;="&amp;DATE(2025,3,1),Détail!$A:$A,"&lt;"&amp;EDATE(DATE(2025,3,1),1))+SUMIFS(Détail!$E:$E,Détail!$D:$D,"RELAIS SENTINEL",Détail!$A:$A,"&gt;="&amp;DATE(2025,3,1),Détail!$A:$A,"&lt;"&amp;EDATE(DATE(2025,3,1),1))</f>
        <v>-49.83</v>
      </c>
    </row>
    <row r="149" customFormat="false" ht="15" hidden="false" customHeight="true" outlineLevel="0" collapsed="false">
      <c r="A149" s="8" t="s">
        <v>68</v>
      </c>
      <c r="B149" s="31" t="n">
        <f aca="false">SUMIFS(Détail!$E:$E,Détail!$D:$D,"RELAIS TREMBLAY",Détail!$A:$A,"&gt;="&amp;DATE(2025,4,1),Détail!$A:$A,"&lt;"&amp;EDATE(DATE(2025,4,1),1))+SUMIFS(Détail!$E:$E,Détail!$D:$D,"REL.HARDIVILLER",Détail!$A:$A,"&gt;="&amp;DATE(2025,4,1),Détail!$A:$A,"&lt;"&amp;EDATE(DATE(2025,4,1),1))+SUMIFS(Détail!$E:$E,Détail!$D:$D,"REL. PONTAULT",Détail!$A:$A,"&gt;="&amp;DATE(2025,4,1),Détail!$A:$A,"&lt;"&amp;EDATE(DATE(2025,4,1),1))+SUMIFS(Détail!$E:$E,Détail!$D:$D,"RELAIS SENTINEL",Détail!$A:$A,"&gt;="&amp;DATE(2025,4,1),Détail!$A:$A,"&lt;"&amp;EDATE(DATE(2025,4,1),1))</f>
        <v>-44.31</v>
      </c>
    </row>
    <row r="150" customFormat="false" ht="15" hidden="false" customHeight="true" outlineLevel="0" collapsed="false">
      <c r="A150" s="8" t="s">
        <v>69</v>
      </c>
      <c r="B150" s="31" t="n">
        <f aca="false">SUMIFS(Détail!$E:$E,Détail!$D:$D,"RELAIS TREMBLAY",Détail!$A:$A,"&gt;="&amp;DATE(2025,5,1),Détail!$A:$A,"&lt;"&amp;EDATE(DATE(2025,5,1),1))+SUMIFS(Détail!$E:$E,Détail!$D:$D,"REL.HARDIVILLER",Détail!$A:$A,"&gt;="&amp;DATE(2025,5,1),Détail!$A:$A,"&lt;"&amp;EDATE(DATE(2025,5,1),1))+SUMIFS(Détail!$E:$E,Détail!$D:$D,"REL. PONTAULT",Détail!$A:$A,"&gt;="&amp;DATE(2025,5,1),Détail!$A:$A,"&lt;"&amp;EDATE(DATE(2025,5,1),1))+SUMIFS(Détail!$E:$E,Détail!$D:$D,"RELAIS SENTINEL",Détail!$A:$A,"&gt;="&amp;DATE(2025,5,1),Détail!$A:$A,"&lt;"&amp;EDATE(DATE(2025,5,1),1))</f>
        <v>0</v>
      </c>
    </row>
    <row r="151" customFormat="false" ht="15" hidden="false" customHeight="true" outlineLevel="0" collapsed="false">
      <c r="A151" s="8" t="s">
        <v>70</v>
      </c>
      <c r="B151" s="31" t="n">
        <f aca="false">SUMIFS(Détail!$E:$E,Détail!$D:$D,"RELAIS TREMBLAY",Détail!$A:$A,"&gt;="&amp;DATE(2025,6,1),Détail!$A:$A,"&lt;"&amp;EDATE(DATE(2025,6,1),1))+SUMIFS(Détail!$E:$E,Détail!$D:$D,"REL.HARDIVILLER",Détail!$A:$A,"&gt;="&amp;DATE(2025,6,1),Détail!$A:$A,"&lt;"&amp;EDATE(DATE(2025,6,1),1))+SUMIFS(Détail!$E:$E,Détail!$D:$D,"REL. PONTAULT",Détail!$A:$A,"&gt;="&amp;DATE(2025,6,1),Détail!$A:$A,"&lt;"&amp;EDATE(DATE(2025,6,1),1))+SUMIFS(Détail!$E:$E,Détail!$D:$D,"RELAIS SENTINEL",Détail!$A:$A,"&gt;="&amp;DATE(2025,6,1),Détail!$A:$A,"&lt;"&amp;EDATE(DATE(2025,6,1),1))</f>
        <v>0</v>
      </c>
    </row>
    <row r="152" customFormat="false" ht="15" hidden="false" customHeight="true" outlineLevel="0" collapsed="false">
      <c r="A152" s="8" t="s">
        <v>71</v>
      </c>
      <c r="B152" s="31" t="n">
        <f aca="false">SUMIFS(Détail!$E:$E,Détail!$D:$D,"RELAIS TREMBLAY",Détail!$A:$A,"&gt;="&amp;DATE(2025,7,1),Détail!$A:$A,"&lt;"&amp;EDATE(DATE(2025,7,1),1))+SUMIFS(Détail!$E:$E,Détail!$D:$D,"REL.HARDIVILLER",Détail!$A:$A,"&gt;="&amp;DATE(2025,7,1),Détail!$A:$A,"&lt;"&amp;EDATE(DATE(2025,7,1),1))+SUMIFS(Détail!$E:$E,Détail!$D:$D,"REL. PONTAULT",Détail!$A:$A,"&gt;="&amp;DATE(2025,7,1),Détail!$A:$A,"&lt;"&amp;EDATE(DATE(2025,7,1),1))+SUMIFS(Détail!$E:$E,Détail!$D:$D,"RELAIS SENTINEL",Détail!$A:$A,"&gt;="&amp;DATE(2025,7,1),Détail!$A:$A,"&lt;"&amp;EDATE(DATE(2025,7,1),1))</f>
        <v>0</v>
      </c>
    </row>
    <row r="153" customFormat="false" ht="15" hidden="false" customHeight="true" outlineLevel="0" collapsed="false">
      <c r="A153" s="8" t="s">
        <v>72</v>
      </c>
      <c r="B153" s="31" t="n">
        <f aca="false">SUMIFS(Détail!$E:$E,Détail!$D:$D,"RELAIS TREMBLAY",Détail!$A:$A,"&gt;="&amp;DATE(2025,8,1),Détail!$A:$A,"&lt;"&amp;EDATE(DATE(2025,8,1),1))+SUMIFS(Détail!$E:$E,Détail!$D:$D,"REL.HARDIVILLER",Détail!$A:$A,"&gt;="&amp;DATE(2025,8,1),Détail!$A:$A,"&lt;"&amp;EDATE(DATE(2025,8,1),1))+SUMIFS(Détail!$E:$E,Détail!$D:$D,"REL. PONTAULT",Détail!$A:$A,"&gt;="&amp;DATE(2025,8,1),Détail!$A:$A,"&lt;"&amp;EDATE(DATE(2025,8,1),1))+SUMIFS(Détail!$E:$E,Détail!$D:$D,"RELAIS SENTINEL",Détail!$A:$A,"&gt;="&amp;DATE(2025,8,1),Détail!$A:$A,"&lt;"&amp;EDATE(DATE(2025,8,1),1))</f>
        <v>0</v>
      </c>
    </row>
    <row r="154" customFormat="false" ht="15" hidden="false" customHeight="true" outlineLevel="0" collapsed="false">
      <c r="A154" s="8" t="s">
        <v>73</v>
      </c>
      <c r="B154" s="31" t="n">
        <f aca="false">SUMIFS(Détail!$E:$E,Détail!$D:$D,"RELAIS TREMBLAY",Détail!$A:$A,"&gt;="&amp;DATE(2025,9,1),Détail!$A:$A,"&lt;"&amp;EDATE(DATE(2025,9,1),1))+SUMIFS(Détail!$E:$E,Détail!$D:$D,"REL.HARDIVILLER",Détail!$A:$A,"&gt;="&amp;DATE(2025,9,1),Détail!$A:$A,"&lt;"&amp;EDATE(DATE(2025,9,1),1))+SUMIFS(Détail!$E:$E,Détail!$D:$D,"REL. PONTAULT",Détail!$A:$A,"&gt;="&amp;DATE(2025,9,1),Détail!$A:$A,"&lt;"&amp;EDATE(DATE(2025,9,1),1))+SUMIFS(Détail!$E:$E,Détail!$D:$D,"RELAIS SENTINEL",Détail!$A:$A,"&gt;="&amp;DATE(2025,9,1),Détail!$A:$A,"&lt;"&amp;EDATE(DATE(2025,9,1),1))</f>
        <v>0</v>
      </c>
    </row>
    <row r="155" customFormat="false" ht="15" hidden="false" customHeight="true" outlineLevel="0" collapsed="false">
      <c r="A155" s="8" t="s">
        <v>74</v>
      </c>
      <c r="B155" s="31" t="n">
        <f aca="false">SUMIFS(Détail!$E:$E,Détail!$D:$D,"RELAIS TREMBLAY",Détail!$A:$A,"&gt;="&amp;DATE(2025,10,1),Détail!$A:$A,"&lt;"&amp;EDATE(DATE(2025,10,1),1))+SUMIFS(Détail!$E:$E,Détail!$D:$D,"REL.HARDIVILLER",Détail!$A:$A,"&gt;="&amp;DATE(2025,10,1),Détail!$A:$A,"&lt;"&amp;EDATE(DATE(2025,10,1),1))+SUMIFS(Détail!$E:$E,Détail!$D:$D,"REL. PONTAULT",Détail!$A:$A,"&gt;="&amp;DATE(2025,10,1),Détail!$A:$A,"&lt;"&amp;EDATE(DATE(2025,10,1),1))+SUMIFS(Détail!$E:$E,Détail!$D:$D,"RELAIS SENTINEL",Détail!$A:$A,"&gt;="&amp;DATE(2025,10,1),Détail!$A:$A,"&lt;"&amp;EDATE(DATE(2025,10,1),1))</f>
        <v>-40.8</v>
      </c>
    </row>
    <row r="156" customFormat="false" ht="15" hidden="false" customHeight="true" outlineLevel="0" collapsed="false">
      <c r="A156" s="8" t="s">
        <v>75</v>
      </c>
      <c r="B156" s="31" t="n">
        <f aca="false">SUMIFS(Détail!$E:$E,Détail!$D:$D,"RELAIS TREMBLAY",Détail!$A:$A,"&gt;="&amp;DATE(2025,11,1),Détail!$A:$A,"&lt;"&amp;EDATE(DATE(2025,11,1),1))+SUMIFS(Détail!$E:$E,Détail!$D:$D,"REL.HARDIVILLER",Détail!$A:$A,"&gt;="&amp;DATE(2025,11,1),Détail!$A:$A,"&lt;"&amp;EDATE(DATE(2025,11,1),1))+SUMIFS(Détail!$E:$E,Détail!$D:$D,"REL. PONTAULT",Détail!$A:$A,"&gt;="&amp;DATE(2025,11,1),Détail!$A:$A,"&lt;"&amp;EDATE(DATE(2025,11,1),1))+SUMIFS(Détail!$E:$E,Détail!$D:$D,"RELAIS SENTINEL",Détail!$A:$A,"&gt;="&amp;DATE(2025,11,1),Détail!$A:$A,"&lt;"&amp;EDATE(DATE(2025,11,1),1))</f>
        <v>-34.67</v>
      </c>
    </row>
    <row r="157" customFormat="false" ht="15" hidden="false" customHeight="true" outlineLevel="0" collapsed="false">
      <c r="A157" s="8" t="s">
        <v>76</v>
      </c>
      <c r="B157" s="31" t="n">
        <f aca="false">SUMIFS(Détail!$E:$E,Détail!$D:$D,"RELAIS TREMBLAY",Détail!$A:$A,"&gt;="&amp;DATE(2025,12,1),Détail!$A:$A,"&lt;"&amp;EDATE(DATE(2025,12,1),1))+SUMIFS(Détail!$E:$E,Détail!$D:$D,"REL.HARDIVILLER",Détail!$A:$A,"&gt;="&amp;DATE(2025,12,1),Détail!$A:$A,"&lt;"&amp;EDATE(DATE(2025,12,1),1))+SUMIFS(Détail!$E:$E,Détail!$D:$D,"REL. PONTAULT",Détail!$A:$A,"&gt;="&amp;DATE(2025,12,1),Détail!$A:$A,"&lt;"&amp;EDATE(DATE(2025,12,1),1))+SUMIFS(Détail!$E:$E,Détail!$D:$D,"RELAIS SENTINEL",Détail!$A:$A,"&gt;="&amp;DATE(2025,12,1),Détail!$A:$A,"&lt;"&amp;EDATE(DATE(2025,12,1),1))</f>
        <v>0</v>
      </c>
    </row>
    <row r="158" customFormat="false" ht="15" hidden="false" customHeight="true" outlineLevel="0" collapsed="false">
      <c r="A158" s="26" t="s">
        <v>285</v>
      </c>
      <c r="B158" s="26" t="s">
        <v>298</v>
      </c>
    </row>
  </sheetData>
  <mergeCells count="10">
    <mergeCell ref="A4:B4"/>
    <mergeCell ref="A19:B19"/>
    <mergeCell ref="A34:B34"/>
    <mergeCell ref="A50:B50"/>
    <mergeCell ref="A65:B65"/>
    <mergeCell ref="A80:B80"/>
    <mergeCell ref="A96:B96"/>
    <mergeCell ref="A112:B112"/>
    <mergeCell ref="A128:B128"/>
    <mergeCell ref="A144:B1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28" t="s">
        <v>299</v>
      </c>
    </row>
    <row r="3" customFormat="false" ht="15" hidden="false" customHeight="true" outlineLevel="0" collapsed="false">
      <c r="A3" s="29" t="s">
        <v>300</v>
      </c>
      <c r="B3" s="29"/>
      <c r="C3" s="30" t="n">
        <f aca="false">SUMIF(Détail!$D:$D,"CENTER PNEU MON",Détail!$E:$E)</f>
        <v>-840</v>
      </c>
    </row>
    <row r="4" customFormat="false" ht="15" hidden="false" customHeight="true" outlineLevel="0" collapsed="false">
      <c r="A4" s="24" t="s">
        <v>63</v>
      </c>
      <c r="B4" s="24" t="s">
        <v>64</v>
      </c>
    </row>
    <row r="5" customFormat="false" ht="15" hidden="false" customHeight="true" outlineLevel="0" collapsed="false">
      <c r="A5" s="8" t="s">
        <v>67</v>
      </c>
      <c r="B5" s="31" t="n">
        <f aca="false">SUMIFS(Détail!$E:$E,Détail!$D:$D,"CENTER PNEU MON",Détail!$A:$A,"&gt;="&amp;DATE(2025,3,1),Détail!$A:$A,"&lt;"&amp;EDATE(DATE(2025,3,1),1))</f>
        <v>-840</v>
      </c>
    </row>
    <row r="6" customFormat="false" ht="15" hidden="false" customHeight="true" outlineLevel="0" collapsed="false">
      <c r="A6" s="8" t="s">
        <v>74</v>
      </c>
      <c r="B6" s="31" t="n">
        <f aca="false">SUMIFS(Détail!$E:$E,Détail!$D:$D,"CENTER PNEU MON",Détail!$A:$A,"&gt;="&amp;DATE(2025,10,1),Détail!$A:$A,"&lt;"&amp;EDATE(DATE(2025,10,1),1))</f>
        <v>0</v>
      </c>
    </row>
    <row r="7" customFormat="false" ht="15" hidden="false" customHeight="true" outlineLevel="0" collapsed="false">
      <c r="A7" s="8" t="s">
        <v>75</v>
      </c>
      <c r="B7" s="31" t="n">
        <f aca="false">SUMIFS(Détail!$E:$E,Détail!$D:$D,"CENTER PNEU MON",Détail!$A:$A,"&gt;="&amp;DATE(2025,11,1),Détail!$A:$A,"&lt;"&amp;EDATE(DATE(2025,11,1),1))</f>
        <v>0</v>
      </c>
    </row>
    <row r="10" customFormat="false" ht="15" hidden="false" customHeight="true" outlineLevel="0" collapsed="false">
      <c r="A10" s="29" t="s">
        <v>301</v>
      </c>
      <c r="B10" s="29"/>
      <c r="C10" s="30" t="n">
        <f aca="false">SUMIF(Détail!$D:$D,"COMO FONTENAY",Détail!$E:$E)</f>
        <v>-473.26</v>
      </c>
    </row>
    <row r="11" customFormat="false" ht="15" hidden="false" customHeight="true" outlineLevel="0" collapsed="false">
      <c r="A11" s="24" t="s">
        <v>63</v>
      </c>
      <c r="B11" s="24" t="s">
        <v>64</v>
      </c>
    </row>
    <row r="12" customFormat="false" ht="15" hidden="false" customHeight="true" outlineLevel="0" collapsed="false">
      <c r="A12" s="8" t="s">
        <v>67</v>
      </c>
      <c r="B12" s="31" t="n">
        <f aca="false">SUMIFS(Détail!$E:$E,Détail!$D:$D,"COMO FONTENAY",Détail!$A:$A,"&gt;="&amp;DATE(2025,3,1),Détail!$A:$A,"&lt;"&amp;EDATE(DATE(2025,3,1),1))</f>
        <v>-473.26</v>
      </c>
    </row>
    <row r="13" customFormat="false" ht="15" hidden="false" customHeight="true" outlineLevel="0" collapsed="false">
      <c r="A13" s="8" t="s">
        <v>74</v>
      </c>
      <c r="B13" s="31" t="n">
        <f aca="false">SUMIFS(Détail!$E:$E,Détail!$D:$D,"COMO FONTENAY",Détail!$A:$A,"&gt;="&amp;DATE(2025,10,1),Détail!$A:$A,"&lt;"&amp;EDATE(DATE(2025,10,1),1))</f>
        <v>0</v>
      </c>
    </row>
    <row r="14" customFormat="false" ht="15" hidden="false" customHeight="true" outlineLevel="0" collapsed="false">
      <c r="A14" s="8" t="s">
        <v>75</v>
      </c>
      <c r="B14" s="31" t="n">
        <f aca="false">SUMIFS(Détail!$E:$E,Détail!$D:$D,"COMO FONTENAY",Détail!$A:$A,"&gt;="&amp;DATE(2025,11,1),Détail!$A:$A,"&lt;"&amp;EDATE(DATE(2025,11,1),1))</f>
        <v>0</v>
      </c>
    </row>
    <row r="17" customFormat="false" ht="15" hidden="false" customHeight="true" outlineLevel="0" collapsed="false">
      <c r="A17" s="29" t="s">
        <v>302</v>
      </c>
      <c r="B17" s="29"/>
      <c r="C17" s="30" t="n">
        <f aca="false">SUMIF(Détail!$D:$D,"WEB AMENDE.GOUV",Détail!$E:$E)</f>
        <v>-450</v>
      </c>
    </row>
    <row r="18" customFormat="false" ht="15" hidden="false" customHeight="true" outlineLevel="0" collapsed="false">
      <c r="A18" s="24" t="s">
        <v>63</v>
      </c>
      <c r="B18" s="24" t="s">
        <v>64</v>
      </c>
    </row>
    <row r="19" customFormat="false" ht="15" hidden="false" customHeight="true" outlineLevel="0" collapsed="false">
      <c r="A19" s="8" t="s">
        <v>67</v>
      </c>
      <c r="B19" s="31" t="n">
        <f aca="false">SUMIFS(Détail!$E:$E,Détail!$D:$D,"WEB AMENDE.GOUV",Détail!$A:$A,"&gt;="&amp;DATE(2025,3,1),Détail!$A:$A,"&lt;"&amp;EDATE(DATE(2025,3,1),1))</f>
        <v>0</v>
      </c>
    </row>
    <row r="20" customFormat="false" ht="15" hidden="false" customHeight="true" outlineLevel="0" collapsed="false">
      <c r="A20" s="8" t="s">
        <v>74</v>
      </c>
      <c r="B20" s="31" t="n">
        <f aca="false">SUMIFS(Détail!$E:$E,Détail!$D:$D,"WEB AMENDE.GOUV",Détail!$A:$A,"&gt;="&amp;DATE(2025,10,1),Détail!$A:$A,"&lt;"&amp;EDATE(DATE(2025,10,1),1))</f>
        <v>-450</v>
      </c>
    </row>
    <row r="21" customFormat="false" ht="15" hidden="false" customHeight="true" outlineLevel="0" collapsed="false">
      <c r="A21" s="8" t="s">
        <v>75</v>
      </c>
      <c r="B21" s="31" t="n">
        <f aca="false">SUMIFS(Détail!$E:$E,Détail!$D:$D,"WEB AMENDE.GOUV",Détail!$A:$A,"&gt;="&amp;DATE(2025,11,1),Détail!$A:$A,"&lt;"&amp;EDATE(DATE(2025,11,1),1))</f>
        <v>0</v>
      </c>
    </row>
    <row r="24" customFormat="false" ht="15" hidden="false" customHeight="true" outlineLevel="0" collapsed="false">
      <c r="A24" s="29" t="s">
        <v>303</v>
      </c>
      <c r="B24" s="29"/>
      <c r="C24" s="30" t="n">
        <f aca="false">SUMIF(Détail!$D:$D,"EXPERT DU PEU 2",Détail!$E:$E)</f>
        <v>-80</v>
      </c>
    </row>
    <row r="25" customFormat="false" ht="15" hidden="false" customHeight="true" outlineLevel="0" collapsed="false">
      <c r="A25" s="24" t="s">
        <v>63</v>
      </c>
      <c r="B25" s="24" t="s">
        <v>64</v>
      </c>
    </row>
    <row r="26" customFormat="false" ht="15" hidden="false" customHeight="true" outlineLevel="0" collapsed="false">
      <c r="A26" s="8" t="s">
        <v>67</v>
      </c>
      <c r="B26" s="31" t="n">
        <f aca="false">SUMIFS(Détail!$E:$E,Détail!$D:$D,"EXPERT DU PEU 2",Détail!$A:$A,"&gt;="&amp;DATE(2025,3,1),Détail!$A:$A,"&lt;"&amp;EDATE(DATE(2025,3,1),1))</f>
        <v>0</v>
      </c>
    </row>
    <row r="27" customFormat="false" ht="15" hidden="false" customHeight="true" outlineLevel="0" collapsed="false">
      <c r="A27" s="8" t="s">
        <v>74</v>
      </c>
      <c r="B27" s="31" t="n">
        <f aca="false">SUMIFS(Détail!$E:$E,Détail!$D:$D,"EXPERT DU PEU 2",Détail!$A:$A,"&gt;="&amp;DATE(2025,10,1),Détail!$A:$A,"&lt;"&amp;EDATE(DATE(2025,10,1),1))</f>
        <v>0</v>
      </c>
    </row>
    <row r="28" customFormat="false" ht="15" hidden="false" customHeight="true" outlineLevel="0" collapsed="false">
      <c r="A28" s="8" t="s">
        <v>75</v>
      </c>
      <c r="B28" s="31" t="n">
        <f aca="false">SUMIFS(Détail!$E:$E,Détail!$D:$D,"EXPERT DU PEU 2",Détail!$A:$A,"&gt;="&amp;DATE(2025,11,1),Détail!$A:$A,"&lt;"&amp;EDATE(DATE(2025,11,1),1))</f>
        <v>-80</v>
      </c>
    </row>
  </sheetData>
  <mergeCells count="4">
    <mergeCell ref="A3:B3"/>
    <mergeCell ref="A10:B10"/>
    <mergeCell ref="A17:B17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0"/>
    <col collapsed="false" customWidth="true" hidden="false" outlineLevel="0" max="4" min="4" style="1" width="44"/>
    <col collapsed="false" customWidth="true" hidden="false" outlineLevel="0" max="5" min="5" style="1" width="14"/>
    <col collapsed="false" customWidth="true" hidden="false" outlineLevel="0" max="6" min="6" style="1" width="44"/>
  </cols>
  <sheetData>
    <row r="1" customFormat="false" ht="15" hidden="false" customHeight="true" outlineLevel="0" collapsed="false">
      <c r="A1" s="7" t="s">
        <v>304</v>
      </c>
      <c r="B1" s="7" t="s">
        <v>305</v>
      </c>
      <c r="C1" s="7" t="s">
        <v>306</v>
      </c>
      <c r="D1" s="7" t="s">
        <v>307</v>
      </c>
      <c r="E1" s="7" t="s">
        <v>308</v>
      </c>
      <c r="F1" s="7" t="s">
        <v>6</v>
      </c>
    </row>
    <row r="2" customFormat="false" ht="15" hidden="false" customHeight="true" outlineLevel="0" collapsed="false">
      <c r="A2" s="34" t="n">
        <v>45659</v>
      </c>
      <c r="B2" s="8" t="s">
        <v>309</v>
      </c>
      <c r="C2" s="8" t="s">
        <v>310</v>
      </c>
      <c r="D2" s="8" t="s">
        <v>311</v>
      </c>
      <c r="E2" s="9" t="n">
        <v>-73.84</v>
      </c>
      <c r="F2" s="8" t="s">
        <v>26</v>
      </c>
    </row>
    <row r="3" customFormat="false" ht="15" hidden="false" customHeight="true" outlineLevel="0" collapsed="false">
      <c r="A3" s="34" t="n">
        <v>45659</v>
      </c>
      <c r="B3" s="8" t="s">
        <v>312</v>
      </c>
      <c r="C3" s="8" t="s">
        <v>313</v>
      </c>
      <c r="D3" s="8" t="s">
        <v>314</v>
      </c>
      <c r="E3" s="9" t="n">
        <v>-31.7</v>
      </c>
      <c r="F3" s="8" t="s">
        <v>19</v>
      </c>
    </row>
    <row r="4" customFormat="false" ht="15" hidden="false" customHeight="true" outlineLevel="0" collapsed="false">
      <c r="A4" s="34" t="n">
        <v>45659</v>
      </c>
      <c r="B4" s="8" t="s">
        <v>315</v>
      </c>
      <c r="C4" s="8" t="s">
        <v>310</v>
      </c>
      <c r="D4" s="8" t="s">
        <v>316</v>
      </c>
      <c r="E4" s="9" t="n">
        <v>-872.67</v>
      </c>
      <c r="F4" s="8" t="s">
        <v>19</v>
      </c>
    </row>
    <row r="5" customFormat="false" ht="15" hidden="false" customHeight="true" outlineLevel="0" collapsed="false">
      <c r="A5" s="34" t="n">
        <v>45659</v>
      </c>
      <c r="B5" s="8" t="s">
        <v>309</v>
      </c>
      <c r="C5" s="8" t="s">
        <v>310</v>
      </c>
      <c r="D5" s="8" t="s">
        <v>317</v>
      </c>
      <c r="E5" s="9" t="n">
        <v>-956.33</v>
      </c>
      <c r="F5" s="8" t="s">
        <v>22</v>
      </c>
    </row>
    <row r="6" customFormat="false" ht="15" hidden="false" customHeight="true" outlineLevel="0" collapsed="false">
      <c r="A6" s="34" t="n">
        <v>45659</v>
      </c>
      <c r="B6" s="8" t="s">
        <v>318</v>
      </c>
      <c r="C6" s="8" t="s">
        <v>310</v>
      </c>
      <c r="D6" s="8" t="s">
        <v>319</v>
      </c>
      <c r="E6" s="9" t="n">
        <v>-145.18</v>
      </c>
      <c r="F6" s="8" t="s">
        <v>13</v>
      </c>
    </row>
    <row r="7" customFormat="false" ht="15" hidden="false" customHeight="true" outlineLevel="0" collapsed="false">
      <c r="A7" s="34" t="n">
        <v>45659</v>
      </c>
      <c r="B7" s="8" t="s">
        <v>320</v>
      </c>
      <c r="C7" s="8" t="s">
        <v>313</v>
      </c>
      <c r="D7" s="8" t="s">
        <v>33</v>
      </c>
      <c r="E7" s="9" t="n">
        <v>-90.64</v>
      </c>
      <c r="F7" s="8" t="s">
        <v>19</v>
      </c>
    </row>
    <row r="8" customFormat="false" ht="15" hidden="false" customHeight="true" outlineLevel="0" collapsed="false">
      <c r="A8" s="34" t="n">
        <v>45660</v>
      </c>
      <c r="B8" s="8" t="s">
        <v>321</v>
      </c>
      <c r="C8" s="8" t="s">
        <v>313</v>
      </c>
      <c r="D8" s="8" t="s">
        <v>322</v>
      </c>
      <c r="E8" s="9" t="n">
        <v>-40.4</v>
      </c>
      <c r="F8" s="8" t="s">
        <v>19</v>
      </c>
    </row>
    <row r="9" customFormat="false" ht="15" hidden="false" customHeight="true" outlineLevel="0" collapsed="false">
      <c r="A9" s="34" t="n">
        <v>45660</v>
      </c>
      <c r="B9" s="8" t="s">
        <v>323</v>
      </c>
      <c r="C9" s="8" t="s">
        <v>324</v>
      </c>
      <c r="D9" s="8" t="s">
        <v>325</v>
      </c>
      <c r="E9" s="9" t="n">
        <v>-42</v>
      </c>
      <c r="F9" s="8" t="s">
        <v>25</v>
      </c>
    </row>
    <row r="10" customFormat="false" ht="15" hidden="false" customHeight="true" outlineLevel="0" collapsed="false">
      <c r="A10" s="34" t="n">
        <v>45663</v>
      </c>
      <c r="B10" s="8" t="s">
        <v>326</v>
      </c>
      <c r="C10" s="8" t="s">
        <v>310</v>
      </c>
      <c r="D10" s="8" t="s">
        <v>317</v>
      </c>
      <c r="E10" s="9" t="n">
        <v>-146.66</v>
      </c>
      <c r="F10" s="8" t="s">
        <v>22</v>
      </c>
    </row>
    <row r="11" customFormat="false" ht="15" hidden="false" customHeight="true" outlineLevel="0" collapsed="false">
      <c r="A11" s="34" t="n">
        <v>45663</v>
      </c>
      <c r="B11" s="8" t="s">
        <v>327</v>
      </c>
      <c r="C11" s="8" t="s">
        <v>313</v>
      </c>
      <c r="D11" s="8" t="s">
        <v>33</v>
      </c>
      <c r="E11" s="9" t="n">
        <v>-60</v>
      </c>
      <c r="F11" s="8" t="s">
        <v>19</v>
      </c>
    </row>
    <row r="12" customFormat="false" ht="15" hidden="false" customHeight="true" outlineLevel="0" collapsed="false">
      <c r="A12" s="34" t="n">
        <v>45663</v>
      </c>
      <c r="B12" s="8" t="s">
        <v>328</v>
      </c>
      <c r="C12" s="8" t="s">
        <v>313</v>
      </c>
      <c r="D12" s="8" t="s">
        <v>329</v>
      </c>
      <c r="E12" s="9" t="n">
        <v>-215.28</v>
      </c>
      <c r="F12" s="8" t="s">
        <v>20</v>
      </c>
    </row>
    <row r="13" customFormat="false" ht="15" hidden="false" customHeight="true" outlineLevel="0" collapsed="false">
      <c r="A13" s="34" t="n">
        <v>45664</v>
      </c>
      <c r="B13" s="8" t="s">
        <v>330</v>
      </c>
      <c r="C13" s="8" t="s">
        <v>313</v>
      </c>
      <c r="D13" s="8" t="s">
        <v>331</v>
      </c>
      <c r="E13" s="9" t="n">
        <v>-73</v>
      </c>
      <c r="F13" s="8" t="s">
        <v>17</v>
      </c>
    </row>
    <row r="14" customFormat="false" ht="15" hidden="false" customHeight="true" outlineLevel="0" collapsed="false">
      <c r="A14" s="34" t="n">
        <v>45665</v>
      </c>
      <c r="B14" s="8" t="s">
        <v>332</v>
      </c>
      <c r="C14" s="8" t="s">
        <v>333</v>
      </c>
      <c r="D14" s="8" t="s">
        <v>334</v>
      </c>
      <c r="E14" s="9" t="n">
        <v>60.72</v>
      </c>
      <c r="F14" s="8" t="s">
        <v>335</v>
      </c>
    </row>
    <row r="15" customFormat="false" ht="15" hidden="false" customHeight="true" outlineLevel="0" collapsed="false">
      <c r="A15" s="34" t="n">
        <v>45665</v>
      </c>
      <c r="B15" s="8" t="s">
        <v>336</v>
      </c>
      <c r="C15" s="8" t="s">
        <v>313</v>
      </c>
      <c r="D15" s="8" t="s">
        <v>337</v>
      </c>
      <c r="E15" s="9" t="n">
        <v>-93.06</v>
      </c>
      <c r="F15" s="8" t="s">
        <v>19</v>
      </c>
    </row>
    <row r="16" customFormat="false" ht="15" hidden="false" customHeight="true" outlineLevel="0" collapsed="false">
      <c r="A16" s="34" t="n">
        <v>45666</v>
      </c>
      <c r="B16" s="8" t="s">
        <v>338</v>
      </c>
      <c r="C16" s="8" t="s">
        <v>313</v>
      </c>
      <c r="D16" s="8" t="s">
        <v>339</v>
      </c>
      <c r="E16" s="9" t="n">
        <v>-49.57</v>
      </c>
      <c r="F16" s="8" t="s">
        <v>19</v>
      </c>
    </row>
    <row r="17" customFormat="false" ht="15" hidden="false" customHeight="true" outlineLevel="0" collapsed="false">
      <c r="A17" s="34" t="n">
        <v>45666</v>
      </c>
      <c r="B17" s="8" t="s">
        <v>340</v>
      </c>
      <c r="C17" s="8" t="s">
        <v>313</v>
      </c>
      <c r="D17" s="8" t="s">
        <v>341</v>
      </c>
      <c r="E17" s="9" t="n">
        <v>-10.7</v>
      </c>
      <c r="F17" s="8" t="s">
        <v>19</v>
      </c>
    </row>
    <row r="18" customFormat="false" ht="15" hidden="false" customHeight="true" outlineLevel="0" collapsed="false">
      <c r="A18" s="34" t="n">
        <v>45666</v>
      </c>
      <c r="B18" s="8" t="s">
        <v>342</v>
      </c>
      <c r="C18" s="8" t="s">
        <v>313</v>
      </c>
      <c r="D18" s="8" t="s">
        <v>337</v>
      </c>
      <c r="E18" s="9" t="n">
        <v>-60</v>
      </c>
      <c r="F18" s="8" t="s">
        <v>19</v>
      </c>
    </row>
    <row r="19" customFormat="false" ht="15" hidden="false" customHeight="true" outlineLevel="0" collapsed="false">
      <c r="A19" s="34" t="n">
        <v>45666</v>
      </c>
      <c r="B19" s="8" t="s">
        <v>343</v>
      </c>
      <c r="C19" s="8" t="s">
        <v>313</v>
      </c>
      <c r="D19" s="8" t="s">
        <v>344</v>
      </c>
      <c r="E19" s="9" t="n">
        <v>-14.85</v>
      </c>
      <c r="F19" s="8" t="s">
        <v>13</v>
      </c>
    </row>
    <row r="20" customFormat="false" ht="15" hidden="false" customHeight="true" outlineLevel="0" collapsed="false">
      <c r="A20" s="34" t="n">
        <v>45666</v>
      </c>
      <c r="B20" s="8" t="s">
        <v>345</v>
      </c>
      <c r="C20" s="8" t="s">
        <v>313</v>
      </c>
      <c r="D20" s="8" t="s">
        <v>346</v>
      </c>
      <c r="E20" s="9" t="n">
        <v>-10.7</v>
      </c>
      <c r="F20" s="8" t="s">
        <v>19</v>
      </c>
    </row>
    <row r="21" customFormat="false" ht="15" hidden="false" customHeight="true" outlineLevel="0" collapsed="false">
      <c r="A21" s="34" t="n">
        <v>45667</v>
      </c>
      <c r="B21" s="8" t="s">
        <v>347</v>
      </c>
      <c r="C21" s="8" t="s">
        <v>310</v>
      </c>
      <c r="D21" s="8" t="s">
        <v>348</v>
      </c>
      <c r="E21" s="9" t="n">
        <v>-132.36</v>
      </c>
      <c r="F21" s="8" t="s">
        <v>26</v>
      </c>
    </row>
    <row r="22" customFormat="false" ht="15" hidden="false" customHeight="true" outlineLevel="0" collapsed="false">
      <c r="A22" s="34" t="n">
        <v>45667</v>
      </c>
      <c r="B22" s="8" t="s">
        <v>349</v>
      </c>
      <c r="C22" s="8" t="s">
        <v>313</v>
      </c>
      <c r="D22" s="8" t="s">
        <v>350</v>
      </c>
      <c r="E22" s="9" t="n">
        <v>-105.5</v>
      </c>
      <c r="F22" s="8" t="s">
        <v>29</v>
      </c>
    </row>
    <row r="23" customFormat="false" ht="15" hidden="false" customHeight="true" outlineLevel="0" collapsed="false">
      <c r="A23" s="34" t="n">
        <v>45667</v>
      </c>
      <c r="B23" s="8" t="s">
        <v>351</v>
      </c>
      <c r="C23" s="8" t="s">
        <v>310</v>
      </c>
      <c r="D23" s="8" t="s">
        <v>352</v>
      </c>
      <c r="E23" s="9" t="n">
        <v>-420</v>
      </c>
      <c r="F23" s="8" t="s">
        <v>23</v>
      </c>
    </row>
    <row r="24" customFormat="false" ht="15" hidden="false" customHeight="true" outlineLevel="0" collapsed="false">
      <c r="A24" s="34" t="n">
        <v>45667</v>
      </c>
      <c r="B24" s="8" t="s">
        <v>353</v>
      </c>
      <c r="C24" s="8" t="s">
        <v>310</v>
      </c>
      <c r="D24" s="8" t="s">
        <v>311</v>
      </c>
      <c r="E24" s="9" t="n">
        <v>-125.16</v>
      </c>
      <c r="F24" s="8" t="s">
        <v>26</v>
      </c>
    </row>
    <row r="25" customFormat="false" ht="15" hidden="false" customHeight="true" outlineLevel="0" collapsed="false">
      <c r="A25" s="34" t="n">
        <v>45667</v>
      </c>
      <c r="B25" s="8" t="s">
        <v>354</v>
      </c>
      <c r="C25" s="8" t="s">
        <v>310</v>
      </c>
      <c r="D25" s="8" t="s">
        <v>355</v>
      </c>
      <c r="E25" s="9" t="n">
        <v>-67.36</v>
      </c>
      <c r="F25" s="8" t="s">
        <v>31</v>
      </c>
    </row>
    <row r="26" customFormat="false" ht="15" hidden="false" customHeight="true" outlineLevel="0" collapsed="false">
      <c r="A26" s="34" t="n">
        <v>45667</v>
      </c>
      <c r="B26" s="8" t="s">
        <v>356</v>
      </c>
      <c r="C26" s="8" t="s">
        <v>357</v>
      </c>
      <c r="D26" s="8"/>
      <c r="E26" s="9" t="n">
        <v>-292.18</v>
      </c>
      <c r="F26" s="8" t="s">
        <v>25</v>
      </c>
    </row>
    <row r="27" customFormat="false" ht="15" hidden="false" customHeight="true" outlineLevel="0" collapsed="false">
      <c r="A27" s="34" t="n">
        <v>45670</v>
      </c>
      <c r="B27" s="8" t="s">
        <v>330</v>
      </c>
      <c r="C27" s="8" t="s">
        <v>313</v>
      </c>
      <c r="D27" s="8" t="s">
        <v>331</v>
      </c>
      <c r="E27" s="9" t="n">
        <v>-28</v>
      </c>
      <c r="F27" s="8" t="s">
        <v>17</v>
      </c>
    </row>
    <row r="28" customFormat="false" ht="15" hidden="false" customHeight="true" outlineLevel="0" collapsed="false">
      <c r="A28" s="34" t="n">
        <v>45670</v>
      </c>
      <c r="B28" s="8" t="s">
        <v>358</v>
      </c>
      <c r="C28" s="8" t="s">
        <v>359</v>
      </c>
      <c r="D28" s="8" t="s">
        <v>360</v>
      </c>
      <c r="E28" s="9" t="n">
        <v>-1.2</v>
      </c>
      <c r="F28" s="8" t="s">
        <v>25</v>
      </c>
    </row>
    <row r="29" customFormat="false" ht="15" hidden="false" customHeight="true" outlineLevel="0" collapsed="false">
      <c r="A29" s="34" t="n">
        <v>45670</v>
      </c>
      <c r="B29" s="8" t="s">
        <v>358</v>
      </c>
      <c r="C29" s="8" t="s">
        <v>361</v>
      </c>
      <c r="D29" s="8" t="s">
        <v>362</v>
      </c>
      <c r="E29" s="9" t="n">
        <v>23001</v>
      </c>
      <c r="F29" s="8" t="s">
        <v>335</v>
      </c>
    </row>
    <row r="30" customFormat="false" ht="15" hidden="false" customHeight="true" outlineLevel="0" collapsed="false">
      <c r="A30" s="34" t="n">
        <v>45670</v>
      </c>
      <c r="B30" s="8" t="s">
        <v>363</v>
      </c>
      <c r="C30" s="8" t="s">
        <v>313</v>
      </c>
      <c r="D30" s="8" t="s">
        <v>364</v>
      </c>
      <c r="E30" s="9" t="n">
        <v>-40.97</v>
      </c>
      <c r="F30" s="8" t="s">
        <v>20</v>
      </c>
    </row>
    <row r="31" customFormat="false" ht="15" hidden="false" customHeight="true" outlineLevel="0" collapsed="false">
      <c r="A31" s="34" t="n">
        <v>45670</v>
      </c>
      <c r="B31" s="8" t="s">
        <v>363</v>
      </c>
      <c r="C31" s="8" t="s">
        <v>365</v>
      </c>
      <c r="D31" s="8" t="s">
        <v>364</v>
      </c>
      <c r="E31" s="9" t="n">
        <v>-0.61</v>
      </c>
      <c r="F31" s="8" t="s">
        <v>25</v>
      </c>
    </row>
    <row r="32" customFormat="false" ht="15" hidden="false" customHeight="true" outlineLevel="0" collapsed="false">
      <c r="A32" s="34" t="n">
        <v>45671</v>
      </c>
      <c r="B32" s="8" t="s">
        <v>366</v>
      </c>
      <c r="C32" s="8" t="s">
        <v>367</v>
      </c>
      <c r="D32" s="8" t="s">
        <v>368</v>
      </c>
      <c r="E32" s="9" t="n">
        <v>-11938.11</v>
      </c>
      <c r="F32" s="8" t="s">
        <v>11</v>
      </c>
    </row>
    <row r="33" customFormat="false" ht="15" hidden="false" customHeight="true" outlineLevel="0" collapsed="false">
      <c r="A33" s="34" t="n">
        <v>45671</v>
      </c>
      <c r="B33" s="8" t="s">
        <v>369</v>
      </c>
      <c r="C33" s="8" t="s">
        <v>359</v>
      </c>
      <c r="D33" s="8" t="s">
        <v>360</v>
      </c>
      <c r="E33" s="9" t="n">
        <v>-1.2</v>
      </c>
      <c r="F33" s="8" t="s">
        <v>25</v>
      </c>
    </row>
    <row r="34" customFormat="false" ht="15" hidden="false" customHeight="true" outlineLevel="0" collapsed="false">
      <c r="A34" s="34" t="n">
        <v>45671</v>
      </c>
      <c r="B34" s="8" t="s">
        <v>370</v>
      </c>
      <c r="C34" s="8" t="s">
        <v>313</v>
      </c>
      <c r="D34" s="8" t="s">
        <v>33</v>
      </c>
      <c r="E34" s="9" t="n">
        <v>-80</v>
      </c>
      <c r="F34" s="8" t="s">
        <v>19</v>
      </c>
    </row>
    <row r="35" customFormat="false" ht="15" hidden="false" customHeight="true" outlineLevel="0" collapsed="false">
      <c r="A35" s="34" t="n">
        <v>45671</v>
      </c>
      <c r="B35" s="8" t="s">
        <v>371</v>
      </c>
      <c r="C35" s="8" t="s">
        <v>365</v>
      </c>
      <c r="D35" s="8" t="s">
        <v>364</v>
      </c>
      <c r="E35" s="9" t="n">
        <v>-0.64</v>
      </c>
      <c r="F35" s="8" t="s">
        <v>25</v>
      </c>
    </row>
    <row r="36" customFormat="false" ht="15" hidden="false" customHeight="true" outlineLevel="0" collapsed="false">
      <c r="A36" s="34" t="n">
        <v>45671</v>
      </c>
      <c r="B36" s="8" t="s">
        <v>372</v>
      </c>
      <c r="C36" s="8" t="s">
        <v>373</v>
      </c>
      <c r="D36" s="8"/>
      <c r="E36" s="9" t="n">
        <v>-17</v>
      </c>
      <c r="F36" s="8" t="s">
        <v>25</v>
      </c>
    </row>
    <row r="37" customFormat="false" ht="15" hidden="false" customHeight="true" outlineLevel="0" collapsed="false">
      <c r="A37" s="34" t="n">
        <v>45671</v>
      </c>
      <c r="B37" s="8" t="s">
        <v>372</v>
      </c>
      <c r="C37" s="8" t="s">
        <v>359</v>
      </c>
      <c r="D37" s="8" t="s">
        <v>360</v>
      </c>
      <c r="E37" s="9" t="n">
        <v>-1.2</v>
      </c>
      <c r="F37" s="8" t="s">
        <v>25</v>
      </c>
    </row>
    <row r="38" customFormat="false" ht="15" hidden="false" customHeight="true" outlineLevel="0" collapsed="false">
      <c r="A38" s="34" t="n">
        <v>45671</v>
      </c>
      <c r="B38" s="8" t="s">
        <v>374</v>
      </c>
      <c r="C38" s="8" t="s">
        <v>375</v>
      </c>
      <c r="D38" s="8" t="s">
        <v>376</v>
      </c>
      <c r="E38" s="9" t="n">
        <v>-24.03</v>
      </c>
      <c r="F38" s="8" t="s">
        <v>25</v>
      </c>
    </row>
    <row r="39" customFormat="false" ht="15" hidden="false" customHeight="true" outlineLevel="0" collapsed="false">
      <c r="A39" s="34" t="n">
        <v>45671</v>
      </c>
      <c r="B39" s="8" t="s">
        <v>372</v>
      </c>
      <c r="C39" s="8" t="s">
        <v>377</v>
      </c>
      <c r="D39" s="8" t="s">
        <v>378</v>
      </c>
      <c r="E39" s="9" t="n">
        <v>-28.2</v>
      </c>
      <c r="F39" s="8" t="s">
        <v>25</v>
      </c>
    </row>
    <row r="40" customFormat="false" ht="15" hidden="false" customHeight="true" outlineLevel="0" collapsed="false">
      <c r="A40" s="34" t="n">
        <v>45671</v>
      </c>
      <c r="B40" s="8" t="s">
        <v>369</v>
      </c>
      <c r="C40" s="8" t="s">
        <v>361</v>
      </c>
      <c r="D40" s="8" t="s">
        <v>379</v>
      </c>
      <c r="E40" s="9" t="n">
        <v>30000</v>
      </c>
      <c r="F40" s="8" t="s">
        <v>335</v>
      </c>
    </row>
    <row r="41" customFormat="false" ht="15" hidden="false" customHeight="true" outlineLevel="0" collapsed="false">
      <c r="A41" s="34" t="n">
        <v>45671</v>
      </c>
      <c r="B41" s="8" t="s">
        <v>371</v>
      </c>
      <c r="C41" s="8" t="s">
        <v>313</v>
      </c>
      <c r="D41" s="8" t="s">
        <v>364</v>
      </c>
      <c r="E41" s="9" t="n">
        <v>-42.92</v>
      </c>
      <c r="F41" s="8" t="s">
        <v>20</v>
      </c>
    </row>
    <row r="42" customFormat="false" ht="15" hidden="false" customHeight="true" outlineLevel="0" collapsed="false">
      <c r="A42" s="34" t="n">
        <v>45671</v>
      </c>
      <c r="B42" s="8" t="s">
        <v>372</v>
      </c>
      <c r="C42" s="8" t="s">
        <v>380</v>
      </c>
      <c r="D42" s="8" t="s">
        <v>381</v>
      </c>
      <c r="E42" s="9" t="n">
        <v>-4970.9</v>
      </c>
      <c r="F42" s="8" t="s">
        <v>12</v>
      </c>
    </row>
    <row r="43" customFormat="false" ht="15" hidden="false" customHeight="true" outlineLevel="0" collapsed="false">
      <c r="A43" s="34" t="n">
        <v>45671</v>
      </c>
      <c r="B43" s="8" t="s">
        <v>372</v>
      </c>
      <c r="C43" s="8" t="s">
        <v>382</v>
      </c>
      <c r="D43" s="8" t="s">
        <v>383</v>
      </c>
      <c r="E43" s="9" t="n">
        <v>-15.6</v>
      </c>
      <c r="F43" s="8" t="s">
        <v>25</v>
      </c>
    </row>
    <row r="44" customFormat="false" ht="15" hidden="false" customHeight="true" outlineLevel="0" collapsed="false">
      <c r="A44" s="34" t="n">
        <v>45672</v>
      </c>
      <c r="B44" s="8" t="s">
        <v>356</v>
      </c>
      <c r="C44" s="8" t="s">
        <v>384</v>
      </c>
      <c r="D44" s="8"/>
      <c r="E44" s="9" t="n">
        <v>-7.69</v>
      </c>
      <c r="F44" s="8" t="s">
        <v>25</v>
      </c>
    </row>
    <row r="45" customFormat="false" ht="15" hidden="false" customHeight="true" outlineLevel="0" collapsed="false">
      <c r="A45" s="34" t="n">
        <v>45672</v>
      </c>
      <c r="B45" s="8" t="s">
        <v>385</v>
      </c>
      <c r="C45" s="8" t="s">
        <v>367</v>
      </c>
      <c r="D45" s="8" t="s">
        <v>386</v>
      </c>
      <c r="E45" s="9" t="n">
        <v>-5000</v>
      </c>
      <c r="F45" s="8" t="s">
        <v>16</v>
      </c>
    </row>
    <row r="46" customFormat="false" ht="15" hidden="false" customHeight="true" outlineLevel="0" collapsed="false">
      <c r="A46" s="34" t="n">
        <v>45673</v>
      </c>
      <c r="B46" s="8" t="s">
        <v>387</v>
      </c>
      <c r="C46" s="8" t="s">
        <v>313</v>
      </c>
      <c r="D46" s="8" t="s">
        <v>388</v>
      </c>
      <c r="E46" s="9" t="n">
        <v>-75.31</v>
      </c>
      <c r="F46" s="8" t="s">
        <v>19</v>
      </c>
    </row>
    <row r="47" customFormat="false" ht="15" hidden="false" customHeight="true" outlineLevel="0" collapsed="false">
      <c r="A47" s="34" t="n">
        <v>45673</v>
      </c>
      <c r="B47" s="8" t="s">
        <v>389</v>
      </c>
      <c r="C47" s="8" t="s">
        <v>310</v>
      </c>
      <c r="D47" s="8" t="s">
        <v>390</v>
      </c>
      <c r="E47" s="9" t="n">
        <v>-1248</v>
      </c>
      <c r="F47" s="8" t="s">
        <v>15</v>
      </c>
    </row>
    <row r="48" customFormat="false" ht="15" hidden="false" customHeight="true" outlineLevel="0" collapsed="false">
      <c r="A48" s="34" t="n">
        <v>45673</v>
      </c>
      <c r="B48" s="8" t="s">
        <v>391</v>
      </c>
      <c r="C48" s="8" t="s">
        <v>313</v>
      </c>
      <c r="D48" s="8" t="s">
        <v>337</v>
      </c>
      <c r="E48" s="9" t="n">
        <v>-55.23</v>
      </c>
      <c r="F48" s="8" t="s">
        <v>19</v>
      </c>
    </row>
    <row r="49" customFormat="false" ht="15" hidden="false" customHeight="true" outlineLevel="0" collapsed="false">
      <c r="A49" s="34" t="n">
        <v>45673</v>
      </c>
      <c r="B49" s="8" t="s">
        <v>392</v>
      </c>
      <c r="C49" s="8" t="s">
        <v>313</v>
      </c>
      <c r="D49" s="8" t="s">
        <v>393</v>
      </c>
      <c r="E49" s="9" t="n">
        <v>-6.5</v>
      </c>
      <c r="F49" s="8" t="s">
        <v>19</v>
      </c>
    </row>
    <row r="50" customFormat="false" ht="15" hidden="false" customHeight="true" outlineLevel="0" collapsed="false">
      <c r="A50" s="34" t="n">
        <v>45673</v>
      </c>
      <c r="B50" s="8" t="s">
        <v>394</v>
      </c>
      <c r="C50" s="8" t="s">
        <v>313</v>
      </c>
      <c r="D50" s="8" t="s">
        <v>395</v>
      </c>
      <c r="E50" s="9" t="n">
        <v>-9.6</v>
      </c>
      <c r="F50" s="8" t="s">
        <v>29</v>
      </c>
    </row>
    <row r="51" customFormat="false" ht="15" hidden="false" customHeight="true" outlineLevel="0" collapsed="false">
      <c r="A51" s="34" t="n">
        <v>45674</v>
      </c>
      <c r="B51" s="8" t="s">
        <v>396</v>
      </c>
      <c r="C51" s="8" t="s">
        <v>380</v>
      </c>
      <c r="D51" s="8" t="s">
        <v>381</v>
      </c>
      <c r="E51" s="9" t="n">
        <v>-756.76</v>
      </c>
      <c r="F51" s="8" t="s">
        <v>12</v>
      </c>
    </row>
    <row r="52" customFormat="false" ht="15" hidden="false" customHeight="true" outlineLevel="0" collapsed="false">
      <c r="A52" s="34" t="n">
        <v>45674</v>
      </c>
      <c r="B52" s="8" t="s">
        <v>397</v>
      </c>
      <c r="C52" s="8" t="s">
        <v>313</v>
      </c>
      <c r="D52" s="8" t="s">
        <v>346</v>
      </c>
      <c r="E52" s="9" t="n">
        <v>-10.7</v>
      </c>
      <c r="F52" s="8" t="s">
        <v>19</v>
      </c>
    </row>
    <row r="53" customFormat="false" ht="15" hidden="false" customHeight="true" outlineLevel="0" collapsed="false">
      <c r="A53" s="34" t="n">
        <v>45674</v>
      </c>
      <c r="B53" s="8" t="s">
        <v>398</v>
      </c>
      <c r="C53" s="8" t="s">
        <v>313</v>
      </c>
      <c r="D53" s="8" t="s">
        <v>341</v>
      </c>
      <c r="E53" s="9" t="n">
        <v>-10.7</v>
      </c>
      <c r="F53" s="8" t="s">
        <v>19</v>
      </c>
    </row>
    <row r="54" customFormat="false" ht="15" hidden="false" customHeight="true" outlineLevel="0" collapsed="false">
      <c r="A54" s="34" t="n">
        <v>45674</v>
      </c>
      <c r="B54" s="8" t="s">
        <v>396</v>
      </c>
      <c r="C54" s="8" t="s">
        <v>382</v>
      </c>
      <c r="D54" s="8" t="s">
        <v>383</v>
      </c>
      <c r="E54" s="9" t="n">
        <v>-15.6</v>
      </c>
      <c r="F54" s="8" t="s">
        <v>25</v>
      </c>
    </row>
    <row r="55" customFormat="false" ht="15" hidden="false" customHeight="true" outlineLevel="0" collapsed="false">
      <c r="A55" s="34" t="n">
        <v>45674</v>
      </c>
      <c r="B55" s="8" t="s">
        <v>399</v>
      </c>
      <c r="C55" s="8" t="s">
        <v>310</v>
      </c>
      <c r="D55" s="8" t="s">
        <v>400</v>
      </c>
      <c r="E55" s="9" t="n">
        <v>-89.45</v>
      </c>
      <c r="F55" s="8" t="s">
        <v>20</v>
      </c>
    </row>
    <row r="56" customFormat="false" ht="15" hidden="false" customHeight="true" outlineLevel="0" collapsed="false">
      <c r="A56" s="34" t="n">
        <v>45674</v>
      </c>
      <c r="B56" s="8" t="s">
        <v>396</v>
      </c>
      <c r="C56" s="8" t="s">
        <v>373</v>
      </c>
      <c r="D56" s="8"/>
      <c r="E56" s="9" t="n">
        <v>-17</v>
      </c>
      <c r="F56" s="8" t="s">
        <v>25</v>
      </c>
    </row>
    <row r="57" customFormat="false" ht="15" hidden="false" customHeight="true" outlineLevel="0" collapsed="false">
      <c r="A57" s="34" t="n">
        <v>45674</v>
      </c>
      <c r="B57" s="8" t="s">
        <v>396</v>
      </c>
      <c r="C57" s="8" t="s">
        <v>359</v>
      </c>
      <c r="D57" s="8" t="s">
        <v>360</v>
      </c>
      <c r="E57" s="9" t="n">
        <v>-1.2</v>
      </c>
      <c r="F57" s="8" t="s">
        <v>25</v>
      </c>
    </row>
    <row r="58" customFormat="false" ht="15" hidden="false" customHeight="true" outlineLevel="0" collapsed="false">
      <c r="A58" s="34" t="n">
        <v>45674</v>
      </c>
      <c r="B58" s="8" t="s">
        <v>396</v>
      </c>
      <c r="C58" s="8" t="s">
        <v>377</v>
      </c>
      <c r="D58" s="8" t="s">
        <v>378</v>
      </c>
      <c r="E58" s="9" t="n">
        <v>-28.2</v>
      </c>
      <c r="F58" s="8" t="s">
        <v>25</v>
      </c>
    </row>
    <row r="59" customFormat="false" ht="15" hidden="false" customHeight="true" outlineLevel="0" collapsed="false">
      <c r="A59" s="34" t="n">
        <v>45674</v>
      </c>
      <c r="B59" s="8" t="s">
        <v>401</v>
      </c>
      <c r="C59" s="8" t="s">
        <v>313</v>
      </c>
      <c r="D59" s="8" t="s">
        <v>402</v>
      </c>
      <c r="E59" s="9" t="n">
        <v>-7.2</v>
      </c>
      <c r="F59" s="8" t="s">
        <v>28</v>
      </c>
    </row>
    <row r="60" customFormat="false" ht="15" hidden="false" customHeight="true" outlineLevel="0" collapsed="false">
      <c r="A60" s="34" t="n">
        <v>45677</v>
      </c>
      <c r="B60" s="8" t="s">
        <v>403</v>
      </c>
      <c r="C60" s="8" t="s">
        <v>380</v>
      </c>
      <c r="D60" s="8" t="s">
        <v>404</v>
      </c>
      <c r="E60" s="9" t="n">
        <v>-2950</v>
      </c>
      <c r="F60" s="8" t="s">
        <v>10</v>
      </c>
    </row>
    <row r="61" customFormat="false" ht="15" hidden="false" customHeight="true" outlineLevel="0" collapsed="false">
      <c r="A61" s="34" t="n">
        <v>45677</v>
      </c>
      <c r="B61" s="8" t="s">
        <v>403</v>
      </c>
      <c r="C61" s="8" t="s">
        <v>377</v>
      </c>
      <c r="D61" s="8" t="s">
        <v>378</v>
      </c>
      <c r="E61" s="9" t="n">
        <v>-28.2</v>
      </c>
      <c r="F61" s="8" t="s">
        <v>25</v>
      </c>
    </row>
    <row r="62" customFormat="false" ht="15" hidden="false" customHeight="true" outlineLevel="0" collapsed="false">
      <c r="A62" s="34" t="n">
        <v>45677</v>
      </c>
      <c r="B62" s="8" t="s">
        <v>403</v>
      </c>
      <c r="C62" s="8" t="s">
        <v>382</v>
      </c>
      <c r="D62" s="8" t="s">
        <v>383</v>
      </c>
      <c r="E62" s="9" t="n">
        <v>-15.6</v>
      </c>
      <c r="F62" s="8" t="s">
        <v>25</v>
      </c>
    </row>
    <row r="63" customFormat="false" ht="15" hidden="false" customHeight="true" outlineLevel="0" collapsed="false">
      <c r="A63" s="34" t="n">
        <v>45677</v>
      </c>
      <c r="B63" s="8" t="s">
        <v>405</v>
      </c>
      <c r="C63" s="8" t="s">
        <v>367</v>
      </c>
      <c r="D63" s="8" t="s">
        <v>406</v>
      </c>
      <c r="E63" s="9" t="n">
        <v>-140.96</v>
      </c>
      <c r="F63" s="8" t="s">
        <v>17</v>
      </c>
    </row>
    <row r="64" customFormat="false" ht="15" hidden="false" customHeight="true" outlineLevel="0" collapsed="false">
      <c r="A64" s="34" t="n">
        <v>45677</v>
      </c>
      <c r="B64" s="8" t="s">
        <v>403</v>
      </c>
      <c r="C64" s="8" t="s">
        <v>359</v>
      </c>
      <c r="D64" s="8" t="s">
        <v>360</v>
      </c>
      <c r="E64" s="9" t="n">
        <v>-1.2</v>
      </c>
      <c r="F64" s="8" t="s">
        <v>25</v>
      </c>
    </row>
    <row r="65" customFormat="false" ht="15" hidden="false" customHeight="true" outlineLevel="0" collapsed="false">
      <c r="A65" s="34" t="n">
        <v>45677</v>
      </c>
      <c r="B65" s="8" t="s">
        <v>407</v>
      </c>
      <c r="C65" s="8" t="s">
        <v>367</v>
      </c>
      <c r="D65" s="8" t="s">
        <v>368</v>
      </c>
      <c r="E65" s="9" t="n">
        <v>-10000</v>
      </c>
      <c r="F65" s="8" t="s">
        <v>11</v>
      </c>
    </row>
    <row r="66" customFormat="false" ht="15" hidden="false" customHeight="true" outlineLevel="0" collapsed="false">
      <c r="A66" s="34" t="n">
        <v>45677</v>
      </c>
      <c r="B66" s="8" t="s">
        <v>408</v>
      </c>
      <c r="C66" s="8" t="s">
        <v>367</v>
      </c>
      <c r="D66" s="8" t="s">
        <v>409</v>
      </c>
      <c r="E66" s="9" t="n">
        <v>-5075</v>
      </c>
      <c r="F66" s="8" t="s">
        <v>10</v>
      </c>
    </row>
    <row r="67" customFormat="false" ht="15" hidden="false" customHeight="true" outlineLevel="0" collapsed="false">
      <c r="A67" s="34" t="n">
        <v>45678</v>
      </c>
      <c r="B67" s="8" t="s">
        <v>410</v>
      </c>
      <c r="C67" s="8" t="s">
        <v>411</v>
      </c>
      <c r="D67" s="8" t="s">
        <v>412</v>
      </c>
      <c r="E67" s="9" t="n">
        <v>-1000</v>
      </c>
      <c r="F67" s="8" t="s">
        <v>14</v>
      </c>
    </row>
    <row r="68" customFormat="false" ht="15" hidden="false" customHeight="true" outlineLevel="0" collapsed="false">
      <c r="A68" s="34" t="n">
        <v>45679</v>
      </c>
      <c r="B68" s="8" t="s">
        <v>413</v>
      </c>
      <c r="C68" s="8" t="s">
        <v>414</v>
      </c>
      <c r="D68" s="8" t="s">
        <v>415</v>
      </c>
      <c r="E68" s="9" t="n">
        <v>-33</v>
      </c>
      <c r="F68" s="8" t="s">
        <v>15</v>
      </c>
    </row>
    <row r="69" customFormat="false" ht="15" hidden="false" customHeight="true" outlineLevel="0" collapsed="false">
      <c r="A69" s="34" t="n">
        <v>45679</v>
      </c>
      <c r="B69" s="8" t="s">
        <v>416</v>
      </c>
      <c r="C69" s="8" t="s">
        <v>313</v>
      </c>
      <c r="D69" s="8" t="s">
        <v>344</v>
      </c>
      <c r="E69" s="9" t="n">
        <v>-20.9</v>
      </c>
      <c r="F69" s="8" t="s">
        <v>13</v>
      </c>
    </row>
    <row r="70" customFormat="false" ht="15" hidden="false" customHeight="true" outlineLevel="0" collapsed="false">
      <c r="A70" s="34" t="n">
        <v>45680</v>
      </c>
      <c r="B70" s="8" t="s">
        <v>327</v>
      </c>
      <c r="C70" s="8" t="s">
        <v>313</v>
      </c>
      <c r="D70" s="8" t="s">
        <v>33</v>
      </c>
      <c r="E70" s="9" t="n">
        <v>-50.63</v>
      </c>
      <c r="F70" s="8" t="s">
        <v>19</v>
      </c>
    </row>
    <row r="71" customFormat="false" ht="15" hidden="false" customHeight="true" outlineLevel="0" collapsed="false">
      <c r="A71" s="34" t="n">
        <v>45680</v>
      </c>
      <c r="B71" s="8" t="s">
        <v>417</v>
      </c>
      <c r="C71" s="8" t="s">
        <v>310</v>
      </c>
      <c r="D71" s="8" t="s">
        <v>418</v>
      </c>
      <c r="E71" s="9" t="n">
        <v>-87.43</v>
      </c>
      <c r="F71" s="8" t="s">
        <v>26</v>
      </c>
    </row>
    <row r="72" customFormat="false" ht="15" hidden="false" customHeight="true" outlineLevel="0" collapsed="false">
      <c r="A72" s="34" t="n">
        <v>45680</v>
      </c>
      <c r="B72" s="8" t="s">
        <v>419</v>
      </c>
      <c r="C72" s="8" t="s">
        <v>313</v>
      </c>
      <c r="D72" s="8" t="s">
        <v>420</v>
      </c>
      <c r="E72" s="9" t="n">
        <v>-97.34</v>
      </c>
      <c r="F72" s="8" t="s">
        <v>30</v>
      </c>
    </row>
    <row r="73" customFormat="false" ht="15" hidden="false" customHeight="true" outlineLevel="0" collapsed="false">
      <c r="A73" s="34" t="n">
        <v>45680</v>
      </c>
      <c r="B73" s="8" t="s">
        <v>421</v>
      </c>
      <c r="C73" s="8" t="s">
        <v>310</v>
      </c>
      <c r="D73" s="8" t="s">
        <v>390</v>
      </c>
      <c r="E73" s="9" t="n">
        <v>-93</v>
      </c>
      <c r="F73" s="8" t="s">
        <v>15</v>
      </c>
    </row>
    <row r="74" customFormat="false" ht="15" hidden="false" customHeight="true" outlineLevel="0" collapsed="false">
      <c r="A74" s="34" t="n">
        <v>45680</v>
      </c>
      <c r="B74" s="8" t="s">
        <v>417</v>
      </c>
      <c r="C74" s="8" t="s">
        <v>310</v>
      </c>
      <c r="D74" s="8" t="s">
        <v>418</v>
      </c>
      <c r="E74" s="9" t="n">
        <v>-97.21</v>
      </c>
      <c r="F74" s="8" t="s">
        <v>26</v>
      </c>
    </row>
    <row r="75" customFormat="false" ht="15" hidden="false" customHeight="true" outlineLevel="0" collapsed="false">
      <c r="A75" s="34" t="n">
        <v>45680</v>
      </c>
      <c r="B75" s="8" t="s">
        <v>417</v>
      </c>
      <c r="C75" s="8" t="s">
        <v>310</v>
      </c>
      <c r="D75" s="8" t="s">
        <v>418</v>
      </c>
      <c r="E75" s="9" t="n">
        <v>-59.46</v>
      </c>
      <c r="F75" s="8" t="s">
        <v>26</v>
      </c>
    </row>
    <row r="76" customFormat="false" ht="15" hidden="false" customHeight="true" outlineLevel="0" collapsed="false">
      <c r="A76" s="34" t="n">
        <v>45681</v>
      </c>
      <c r="B76" s="8" t="s">
        <v>422</v>
      </c>
      <c r="C76" s="8" t="s">
        <v>367</v>
      </c>
      <c r="D76" s="8" t="s">
        <v>423</v>
      </c>
      <c r="E76" s="9" t="n">
        <v>-2251.2</v>
      </c>
      <c r="F76" s="8" t="s">
        <v>10</v>
      </c>
    </row>
    <row r="77" customFormat="false" ht="15" hidden="false" customHeight="true" outlineLevel="0" collapsed="false">
      <c r="A77" s="34" t="n">
        <v>45681</v>
      </c>
      <c r="B77" s="8" t="s">
        <v>424</v>
      </c>
      <c r="C77" s="8" t="s">
        <v>313</v>
      </c>
      <c r="D77" s="8" t="s">
        <v>346</v>
      </c>
      <c r="E77" s="9" t="n">
        <v>-10.7</v>
      </c>
      <c r="F77" s="8" t="s">
        <v>19</v>
      </c>
    </row>
    <row r="78" customFormat="false" ht="15" hidden="false" customHeight="true" outlineLevel="0" collapsed="false">
      <c r="A78" s="34" t="n">
        <v>45681</v>
      </c>
      <c r="B78" s="8" t="s">
        <v>425</v>
      </c>
      <c r="C78" s="8" t="s">
        <v>333</v>
      </c>
      <c r="D78" s="8" t="s">
        <v>426</v>
      </c>
      <c r="E78" s="9" t="n">
        <v>3000</v>
      </c>
      <c r="F78" s="8" t="s">
        <v>335</v>
      </c>
    </row>
    <row r="79" customFormat="false" ht="15" hidden="false" customHeight="true" outlineLevel="0" collapsed="false">
      <c r="A79" s="34" t="n">
        <v>45681</v>
      </c>
      <c r="B79" s="8" t="s">
        <v>427</v>
      </c>
      <c r="C79" s="8" t="s">
        <v>313</v>
      </c>
      <c r="D79" s="8" t="s">
        <v>341</v>
      </c>
      <c r="E79" s="9" t="n">
        <v>-12.4</v>
      </c>
      <c r="F79" s="8" t="s">
        <v>19</v>
      </c>
    </row>
    <row r="80" customFormat="false" ht="15" hidden="false" customHeight="true" outlineLevel="0" collapsed="false">
      <c r="A80" s="34" t="n">
        <v>45681</v>
      </c>
      <c r="B80" s="8" t="s">
        <v>428</v>
      </c>
      <c r="C80" s="8" t="s">
        <v>313</v>
      </c>
      <c r="D80" s="8" t="s">
        <v>429</v>
      </c>
      <c r="E80" s="9" t="n">
        <v>-16.85</v>
      </c>
      <c r="F80" s="8" t="s">
        <v>29</v>
      </c>
    </row>
    <row r="81" customFormat="false" ht="15" hidden="false" customHeight="true" outlineLevel="0" collapsed="false">
      <c r="A81" s="34" t="n">
        <v>45684</v>
      </c>
      <c r="B81" s="8" t="s">
        <v>430</v>
      </c>
      <c r="C81" s="8" t="s">
        <v>310</v>
      </c>
      <c r="D81" s="8" t="s">
        <v>400</v>
      </c>
      <c r="E81" s="9" t="n">
        <v>-354.34</v>
      </c>
      <c r="F81" s="8" t="s">
        <v>20</v>
      </c>
    </row>
    <row r="82" customFormat="false" ht="15" hidden="false" customHeight="true" outlineLevel="0" collapsed="false">
      <c r="A82" s="34" t="n">
        <v>45684</v>
      </c>
      <c r="B82" s="8" t="s">
        <v>431</v>
      </c>
      <c r="C82" s="8" t="s">
        <v>310</v>
      </c>
      <c r="D82" s="8" t="s">
        <v>432</v>
      </c>
      <c r="E82" s="9" t="n">
        <v>-268.42</v>
      </c>
      <c r="F82" s="8" t="s">
        <v>15</v>
      </c>
    </row>
    <row r="83" customFormat="false" ht="15" hidden="false" customHeight="true" outlineLevel="0" collapsed="false">
      <c r="A83" s="34" t="n">
        <v>45684</v>
      </c>
      <c r="B83" s="8" t="s">
        <v>433</v>
      </c>
      <c r="C83" s="8" t="s">
        <v>434</v>
      </c>
      <c r="D83" s="8" t="s">
        <v>435</v>
      </c>
      <c r="E83" s="9" t="n">
        <v>874</v>
      </c>
      <c r="F83" s="8" t="s">
        <v>335</v>
      </c>
    </row>
    <row r="84" customFormat="false" ht="15" hidden="false" customHeight="true" outlineLevel="0" collapsed="false">
      <c r="A84" s="34" t="n">
        <v>45685</v>
      </c>
      <c r="B84" s="8" t="s">
        <v>436</v>
      </c>
      <c r="C84" s="8" t="s">
        <v>434</v>
      </c>
      <c r="D84" s="8" t="s">
        <v>437</v>
      </c>
      <c r="E84" s="9" t="n">
        <v>2268</v>
      </c>
      <c r="F84" s="8" t="s">
        <v>335</v>
      </c>
    </row>
    <row r="85" customFormat="false" ht="15" hidden="false" customHeight="true" outlineLevel="0" collapsed="false">
      <c r="A85" s="34" t="n">
        <v>45685</v>
      </c>
      <c r="B85" s="8" t="s">
        <v>438</v>
      </c>
      <c r="C85" s="8" t="s">
        <v>359</v>
      </c>
      <c r="D85" s="8" t="s">
        <v>360</v>
      </c>
      <c r="E85" s="9" t="n">
        <v>-1.2</v>
      </c>
      <c r="F85" s="8" t="s">
        <v>25</v>
      </c>
    </row>
    <row r="86" customFormat="false" ht="15" hidden="false" customHeight="true" outlineLevel="0" collapsed="false">
      <c r="A86" s="34" t="n">
        <v>45685</v>
      </c>
      <c r="B86" s="8" t="s">
        <v>439</v>
      </c>
      <c r="C86" s="8" t="s">
        <v>313</v>
      </c>
      <c r="D86" s="8" t="s">
        <v>440</v>
      </c>
      <c r="E86" s="9" t="n">
        <v>-7.37</v>
      </c>
      <c r="F86" s="8" t="s">
        <v>30</v>
      </c>
    </row>
    <row r="87" customFormat="false" ht="15" hidden="false" customHeight="true" outlineLevel="0" collapsed="false">
      <c r="A87" s="34" t="n">
        <v>45685</v>
      </c>
      <c r="B87" s="8" t="s">
        <v>441</v>
      </c>
      <c r="C87" s="8" t="s">
        <v>313</v>
      </c>
      <c r="D87" s="8" t="s">
        <v>402</v>
      </c>
      <c r="E87" s="9" t="n">
        <v>-6.3</v>
      </c>
      <c r="F87" s="8" t="s">
        <v>28</v>
      </c>
    </row>
    <row r="88" customFormat="false" ht="15" hidden="false" customHeight="true" outlineLevel="0" collapsed="false">
      <c r="A88" s="34" t="n">
        <v>45685</v>
      </c>
      <c r="B88" s="8" t="s">
        <v>438</v>
      </c>
      <c r="C88" s="8" t="s">
        <v>361</v>
      </c>
      <c r="D88" s="8" t="s">
        <v>379</v>
      </c>
      <c r="E88" s="9" t="n">
        <v>14118.93</v>
      </c>
      <c r="F88" s="8" t="s">
        <v>335</v>
      </c>
    </row>
    <row r="89" customFormat="false" ht="15" hidden="false" customHeight="true" outlineLevel="0" collapsed="false">
      <c r="A89" s="34" t="n">
        <v>45686</v>
      </c>
      <c r="B89" s="8" t="s">
        <v>442</v>
      </c>
      <c r="C89" s="8" t="s">
        <v>367</v>
      </c>
      <c r="D89" s="8" t="s">
        <v>443</v>
      </c>
      <c r="E89" s="9" t="n">
        <v>-635</v>
      </c>
      <c r="F89" s="8" t="s">
        <v>17</v>
      </c>
    </row>
    <row r="90" customFormat="false" ht="15" hidden="false" customHeight="true" outlineLevel="0" collapsed="false">
      <c r="A90" s="34" t="n">
        <v>45686</v>
      </c>
      <c r="B90" s="8" t="s">
        <v>444</v>
      </c>
      <c r="C90" s="8" t="s">
        <v>313</v>
      </c>
      <c r="D90" s="8" t="s">
        <v>319</v>
      </c>
      <c r="E90" s="9" t="n">
        <v>-194</v>
      </c>
      <c r="F90" s="8" t="s">
        <v>13</v>
      </c>
    </row>
    <row r="91" customFormat="false" ht="15" hidden="false" customHeight="true" outlineLevel="0" collapsed="false">
      <c r="A91" s="34" t="n">
        <v>45686</v>
      </c>
      <c r="B91" s="8" t="s">
        <v>327</v>
      </c>
      <c r="C91" s="8" t="s">
        <v>313</v>
      </c>
      <c r="D91" s="8" t="s">
        <v>33</v>
      </c>
      <c r="E91" s="9" t="n">
        <v>-61.89</v>
      </c>
      <c r="F91" s="8" t="s">
        <v>19</v>
      </c>
    </row>
    <row r="92" customFormat="false" ht="15" hidden="false" customHeight="true" outlineLevel="0" collapsed="false">
      <c r="A92" s="34" t="n">
        <v>45686</v>
      </c>
      <c r="B92" s="8" t="s">
        <v>445</v>
      </c>
      <c r="C92" s="8" t="s">
        <v>313</v>
      </c>
      <c r="D92" s="8" t="s">
        <v>346</v>
      </c>
      <c r="E92" s="9" t="n">
        <v>-10.7</v>
      </c>
      <c r="F92" s="8" t="s">
        <v>19</v>
      </c>
    </row>
    <row r="93" customFormat="false" ht="15" hidden="false" customHeight="true" outlineLevel="0" collapsed="false">
      <c r="A93" s="34" t="n">
        <v>45686</v>
      </c>
      <c r="B93" s="8" t="s">
        <v>446</v>
      </c>
      <c r="C93" s="8" t="s">
        <v>313</v>
      </c>
      <c r="D93" s="8" t="s">
        <v>447</v>
      </c>
      <c r="E93" s="9" t="n">
        <v>-19.8</v>
      </c>
      <c r="F93" s="8" t="s">
        <v>19</v>
      </c>
    </row>
    <row r="94" customFormat="false" ht="15" hidden="false" customHeight="true" outlineLevel="0" collapsed="false">
      <c r="A94" s="34" t="n">
        <v>45686</v>
      </c>
      <c r="B94" s="8" t="s">
        <v>397</v>
      </c>
      <c r="C94" s="8" t="s">
        <v>313</v>
      </c>
      <c r="D94" s="8" t="s">
        <v>346</v>
      </c>
      <c r="E94" s="9" t="n">
        <v>-10.7</v>
      </c>
      <c r="F94" s="8" t="s">
        <v>19</v>
      </c>
    </row>
    <row r="95" customFormat="false" ht="15" hidden="false" customHeight="true" outlineLevel="0" collapsed="false">
      <c r="A95" s="34" t="n">
        <v>45686</v>
      </c>
      <c r="B95" s="8" t="s">
        <v>448</v>
      </c>
      <c r="C95" s="8" t="s">
        <v>367</v>
      </c>
      <c r="D95" s="8" t="s">
        <v>368</v>
      </c>
      <c r="E95" s="9" t="n">
        <v>-10507.7</v>
      </c>
      <c r="F95" s="8" t="s">
        <v>11</v>
      </c>
    </row>
    <row r="96" customFormat="false" ht="15" hidden="false" customHeight="true" outlineLevel="0" collapsed="false">
      <c r="A96" s="34" t="n">
        <v>45686</v>
      </c>
      <c r="B96" s="8" t="s">
        <v>449</v>
      </c>
      <c r="C96" s="8" t="s">
        <v>313</v>
      </c>
      <c r="D96" s="8" t="s">
        <v>450</v>
      </c>
      <c r="E96" s="9" t="n">
        <v>-55.84</v>
      </c>
      <c r="F96" s="8" t="s">
        <v>20</v>
      </c>
    </row>
    <row r="97" customFormat="false" ht="15" hidden="false" customHeight="true" outlineLevel="0" collapsed="false">
      <c r="A97" s="34" t="n">
        <v>45686</v>
      </c>
      <c r="B97" s="8" t="s">
        <v>451</v>
      </c>
      <c r="C97" s="8" t="s">
        <v>367</v>
      </c>
      <c r="D97" s="8" t="s">
        <v>452</v>
      </c>
      <c r="E97" s="9" t="n">
        <v>-3026.96</v>
      </c>
      <c r="F97" s="8" t="s">
        <v>13</v>
      </c>
    </row>
    <row r="98" customFormat="false" ht="15" hidden="false" customHeight="true" outlineLevel="0" collapsed="false">
      <c r="A98" s="34" t="n">
        <v>45686</v>
      </c>
      <c r="B98" s="8" t="s">
        <v>453</v>
      </c>
      <c r="C98" s="8" t="s">
        <v>367</v>
      </c>
      <c r="D98" s="8" t="s">
        <v>368</v>
      </c>
      <c r="E98" s="9" t="n">
        <v>-1185</v>
      </c>
      <c r="F98" s="8" t="s">
        <v>11</v>
      </c>
    </row>
    <row r="99" customFormat="false" ht="15" hidden="false" customHeight="true" outlineLevel="0" collapsed="false">
      <c r="A99" s="34" t="n">
        <v>45686</v>
      </c>
      <c r="B99" s="8" t="s">
        <v>454</v>
      </c>
      <c r="C99" s="8" t="s">
        <v>313</v>
      </c>
      <c r="D99" s="8" t="s">
        <v>455</v>
      </c>
      <c r="E99" s="9" t="n">
        <v>-4.62</v>
      </c>
      <c r="F99" s="8" t="s">
        <v>17</v>
      </c>
    </row>
    <row r="100" customFormat="false" ht="15" hidden="false" customHeight="true" outlineLevel="0" collapsed="false">
      <c r="A100" s="34" t="n">
        <v>45687</v>
      </c>
      <c r="B100" s="8" t="s">
        <v>456</v>
      </c>
      <c r="C100" s="8" t="s">
        <v>313</v>
      </c>
      <c r="D100" s="8" t="s">
        <v>457</v>
      </c>
      <c r="E100" s="9" t="n">
        <v>-25.8</v>
      </c>
      <c r="F100" s="8" t="s">
        <v>29</v>
      </c>
    </row>
    <row r="101" customFormat="false" ht="15" hidden="false" customHeight="true" outlineLevel="0" collapsed="false">
      <c r="A101" s="34" t="n">
        <v>45687</v>
      </c>
      <c r="B101" s="8" t="s">
        <v>458</v>
      </c>
      <c r="C101" s="8" t="s">
        <v>313</v>
      </c>
      <c r="D101" s="8" t="s">
        <v>447</v>
      </c>
      <c r="E101" s="9" t="n">
        <v>-16.5</v>
      </c>
      <c r="F101" s="8" t="s">
        <v>19</v>
      </c>
    </row>
    <row r="102" customFormat="false" ht="15" hidden="false" customHeight="true" outlineLevel="0" collapsed="false">
      <c r="A102" s="34" t="n">
        <v>45687</v>
      </c>
      <c r="B102" s="8" t="s">
        <v>459</v>
      </c>
      <c r="C102" s="8" t="s">
        <v>313</v>
      </c>
      <c r="D102" s="8" t="s">
        <v>460</v>
      </c>
      <c r="E102" s="9" t="n">
        <v>-198.15</v>
      </c>
      <c r="F102" s="8" t="s">
        <v>18</v>
      </c>
    </row>
    <row r="103" customFormat="false" ht="15" hidden="false" customHeight="true" outlineLevel="0" collapsed="false">
      <c r="A103" s="34" t="n">
        <v>45687</v>
      </c>
      <c r="B103" s="8" t="s">
        <v>461</v>
      </c>
      <c r="C103" s="8" t="s">
        <v>313</v>
      </c>
      <c r="D103" s="8" t="s">
        <v>462</v>
      </c>
      <c r="E103" s="9" t="n">
        <v>-26</v>
      </c>
      <c r="F103" s="8" t="s">
        <v>18</v>
      </c>
    </row>
    <row r="104" customFormat="false" ht="15" hidden="false" customHeight="true" outlineLevel="0" collapsed="false">
      <c r="A104" s="34" t="n">
        <v>45688</v>
      </c>
      <c r="B104" s="8" t="s">
        <v>463</v>
      </c>
      <c r="C104" s="8" t="s">
        <v>367</v>
      </c>
      <c r="D104" s="8" t="s">
        <v>464</v>
      </c>
      <c r="E104" s="9" t="n">
        <v>-1449.27</v>
      </c>
      <c r="F104" s="8" t="s">
        <v>14</v>
      </c>
    </row>
    <row r="105" customFormat="false" ht="15" hidden="false" customHeight="true" outlineLevel="0" collapsed="false">
      <c r="A105" s="34" t="n">
        <v>45688</v>
      </c>
      <c r="B105" s="8" t="s">
        <v>465</v>
      </c>
      <c r="C105" s="8" t="s">
        <v>313</v>
      </c>
      <c r="D105" s="8" t="s">
        <v>466</v>
      </c>
      <c r="E105" s="9" t="n">
        <v>-1.7</v>
      </c>
      <c r="F105" s="8" t="s">
        <v>19</v>
      </c>
    </row>
    <row r="106" customFormat="false" ht="15" hidden="false" customHeight="true" outlineLevel="0" collapsed="false">
      <c r="A106" s="34" t="n">
        <v>45688</v>
      </c>
      <c r="B106" s="8" t="s">
        <v>467</v>
      </c>
      <c r="C106" s="8" t="s">
        <v>313</v>
      </c>
      <c r="D106" s="8" t="s">
        <v>337</v>
      </c>
      <c r="E106" s="9" t="n">
        <v>-92.6</v>
      </c>
      <c r="F106" s="8" t="s">
        <v>19</v>
      </c>
    </row>
    <row r="107" customFormat="false" ht="15" hidden="false" customHeight="true" outlineLevel="0" collapsed="false">
      <c r="A107" s="34" t="n">
        <v>45688</v>
      </c>
      <c r="B107" s="8" t="s">
        <v>468</v>
      </c>
      <c r="C107" s="8" t="s">
        <v>313</v>
      </c>
      <c r="D107" s="8" t="s">
        <v>337</v>
      </c>
      <c r="E107" s="9" t="n">
        <v>-10.17</v>
      </c>
      <c r="F107" s="8" t="s">
        <v>19</v>
      </c>
    </row>
    <row r="108" customFormat="false" ht="15" hidden="false" customHeight="true" outlineLevel="0" collapsed="false">
      <c r="A108" s="34" t="n">
        <v>45688</v>
      </c>
      <c r="B108" s="8" t="s">
        <v>465</v>
      </c>
      <c r="C108" s="8" t="s">
        <v>313</v>
      </c>
      <c r="D108" s="8" t="s">
        <v>466</v>
      </c>
      <c r="E108" s="9" t="n">
        <v>-1.7</v>
      </c>
      <c r="F108" s="8" t="s">
        <v>19</v>
      </c>
    </row>
    <row r="109" customFormat="false" ht="15" hidden="false" customHeight="true" outlineLevel="0" collapsed="false">
      <c r="A109" s="34" t="n">
        <v>45688</v>
      </c>
      <c r="B109" s="8" t="s">
        <v>469</v>
      </c>
      <c r="C109" s="8" t="s">
        <v>310</v>
      </c>
      <c r="D109" s="8" t="s">
        <v>319</v>
      </c>
      <c r="E109" s="9" t="n">
        <v>-104.46</v>
      </c>
      <c r="F109" s="8" t="s">
        <v>13</v>
      </c>
    </row>
    <row r="110" customFormat="false" ht="15" hidden="false" customHeight="true" outlineLevel="0" collapsed="false">
      <c r="A110" s="34" t="n">
        <v>45688</v>
      </c>
      <c r="B110" s="8" t="s">
        <v>470</v>
      </c>
      <c r="C110" s="8" t="s">
        <v>310</v>
      </c>
      <c r="D110" s="8" t="s">
        <v>317</v>
      </c>
      <c r="E110" s="9" t="n">
        <v>-930.75</v>
      </c>
      <c r="F110" s="8" t="s">
        <v>22</v>
      </c>
    </row>
    <row r="111" customFormat="false" ht="15" hidden="false" customHeight="true" outlineLevel="0" collapsed="false">
      <c r="A111" s="34" t="n">
        <v>45691</v>
      </c>
      <c r="B111" s="8" t="s">
        <v>327</v>
      </c>
      <c r="C111" s="8" t="s">
        <v>313</v>
      </c>
      <c r="D111" s="8" t="s">
        <v>33</v>
      </c>
      <c r="E111" s="9" t="n">
        <v>-99.59</v>
      </c>
      <c r="F111" s="8" t="s">
        <v>19</v>
      </c>
    </row>
    <row r="112" customFormat="false" ht="15" hidden="false" customHeight="true" outlineLevel="0" collapsed="false">
      <c r="A112" s="34" t="n">
        <v>45691</v>
      </c>
      <c r="B112" s="8" t="s">
        <v>327</v>
      </c>
      <c r="C112" s="8" t="s">
        <v>313</v>
      </c>
      <c r="D112" s="8" t="s">
        <v>33</v>
      </c>
      <c r="E112" s="9" t="n">
        <v>-62.56</v>
      </c>
      <c r="F112" s="8" t="s">
        <v>19</v>
      </c>
    </row>
    <row r="113" customFormat="false" ht="15" hidden="false" customHeight="true" outlineLevel="0" collapsed="false">
      <c r="A113" s="34" t="n">
        <v>45691</v>
      </c>
      <c r="B113" s="8" t="s">
        <v>471</v>
      </c>
      <c r="C113" s="8" t="s">
        <v>367</v>
      </c>
      <c r="D113" s="8" t="s">
        <v>412</v>
      </c>
      <c r="E113" s="9" t="n">
        <v>-323.57</v>
      </c>
      <c r="F113" s="8" t="s">
        <v>14</v>
      </c>
    </row>
    <row r="114" customFormat="false" ht="15" hidden="false" customHeight="true" outlineLevel="0" collapsed="false">
      <c r="A114" s="34" t="n">
        <v>45691</v>
      </c>
      <c r="B114" s="8" t="s">
        <v>472</v>
      </c>
      <c r="C114" s="8" t="s">
        <v>313</v>
      </c>
      <c r="D114" s="8" t="s">
        <v>329</v>
      </c>
      <c r="E114" s="9" t="n">
        <v>-107.63</v>
      </c>
      <c r="F114" s="8" t="s">
        <v>20</v>
      </c>
    </row>
    <row r="115" customFormat="false" ht="15" hidden="false" customHeight="true" outlineLevel="0" collapsed="false">
      <c r="A115" s="34" t="n">
        <v>45691</v>
      </c>
      <c r="B115" s="8" t="s">
        <v>473</v>
      </c>
      <c r="C115" s="8" t="s">
        <v>310</v>
      </c>
      <c r="D115" s="8" t="s">
        <v>316</v>
      </c>
      <c r="E115" s="9" t="n">
        <v>-872.67</v>
      </c>
      <c r="F115" s="8" t="s">
        <v>19</v>
      </c>
    </row>
    <row r="116" customFormat="false" ht="15" hidden="false" customHeight="true" outlineLevel="0" collapsed="false">
      <c r="A116" s="34" t="n">
        <v>45691</v>
      </c>
      <c r="B116" s="8" t="s">
        <v>474</v>
      </c>
      <c r="C116" s="8" t="s">
        <v>313</v>
      </c>
      <c r="D116" s="8" t="s">
        <v>393</v>
      </c>
      <c r="E116" s="9" t="n">
        <v>-13.35</v>
      </c>
      <c r="F116" s="8" t="s">
        <v>19</v>
      </c>
    </row>
    <row r="117" customFormat="false" ht="15" hidden="false" customHeight="true" outlineLevel="0" collapsed="false">
      <c r="A117" s="34" t="n">
        <v>45691</v>
      </c>
      <c r="B117" s="8" t="s">
        <v>475</v>
      </c>
      <c r="C117" s="8" t="s">
        <v>367</v>
      </c>
      <c r="D117" s="8" t="s">
        <v>476</v>
      </c>
      <c r="E117" s="9" t="n">
        <v>-1720.03</v>
      </c>
      <c r="F117" s="8" t="s">
        <v>14</v>
      </c>
    </row>
    <row r="118" customFormat="false" ht="15" hidden="false" customHeight="true" outlineLevel="0" collapsed="false">
      <c r="A118" s="34" t="n">
        <v>45692</v>
      </c>
      <c r="B118" s="8" t="s">
        <v>477</v>
      </c>
      <c r="C118" s="8" t="s">
        <v>313</v>
      </c>
      <c r="D118" s="8" t="s">
        <v>341</v>
      </c>
      <c r="E118" s="9" t="n">
        <v>-10.7</v>
      </c>
      <c r="F118" s="8" t="s">
        <v>19</v>
      </c>
    </row>
    <row r="119" customFormat="false" ht="15" hidden="false" customHeight="true" outlineLevel="0" collapsed="false">
      <c r="A119" s="34" t="n">
        <v>45692</v>
      </c>
      <c r="B119" s="8" t="s">
        <v>478</v>
      </c>
      <c r="C119" s="8" t="s">
        <v>313</v>
      </c>
      <c r="D119" s="8" t="s">
        <v>346</v>
      </c>
      <c r="E119" s="9" t="n">
        <v>-8.6</v>
      </c>
      <c r="F119" s="8" t="s">
        <v>19</v>
      </c>
    </row>
    <row r="120" customFormat="false" ht="15" hidden="false" customHeight="true" outlineLevel="0" collapsed="false">
      <c r="A120" s="34" t="n">
        <v>45692</v>
      </c>
      <c r="B120" s="8" t="s">
        <v>479</v>
      </c>
      <c r="C120" s="8" t="s">
        <v>310</v>
      </c>
      <c r="D120" s="8" t="s">
        <v>317</v>
      </c>
      <c r="E120" s="9" t="n">
        <v>-179.27</v>
      </c>
      <c r="F120" s="8" t="s">
        <v>22</v>
      </c>
    </row>
    <row r="121" customFormat="false" ht="15" hidden="false" customHeight="true" outlineLevel="0" collapsed="false">
      <c r="A121" s="34" t="n">
        <v>45692</v>
      </c>
      <c r="B121" s="8" t="s">
        <v>480</v>
      </c>
      <c r="C121" s="8" t="s">
        <v>313</v>
      </c>
      <c r="D121" s="8" t="s">
        <v>481</v>
      </c>
      <c r="E121" s="9" t="n">
        <v>-69.99</v>
      </c>
      <c r="F121" s="8" t="s">
        <v>20</v>
      </c>
    </row>
    <row r="122" customFormat="false" ht="15" hidden="false" customHeight="true" outlineLevel="0" collapsed="false">
      <c r="A122" s="34" t="n">
        <v>45692</v>
      </c>
      <c r="B122" s="8" t="s">
        <v>482</v>
      </c>
      <c r="C122" s="8" t="s">
        <v>313</v>
      </c>
      <c r="D122" s="8" t="s">
        <v>341</v>
      </c>
      <c r="E122" s="9" t="n">
        <v>-2.5</v>
      </c>
      <c r="F122" s="8" t="s">
        <v>19</v>
      </c>
    </row>
    <row r="123" customFormat="false" ht="15" hidden="false" customHeight="true" outlineLevel="0" collapsed="false">
      <c r="A123" s="34" t="n">
        <v>45692</v>
      </c>
      <c r="B123" s="8" t="s">
        <v>323</v>
      </c>
      <c r="C123" s="8" t="s">
        <v>324</v>
      </c>
      <c r="D123" s="8" t="s">
        <v>325</v>
      </c>
      <c r="E123" s="9" t="n">
        <v>-42</v>
      </c>
      <c r="F123" s="8" t="s">
        <v>25</v>
      </c>
    </row>
    <row r="124" customFormat="false" ht="15" hidden="false" customHeight="true" outlineLevel="0" collapsed="false">
      <c r="A124" s="34" t="n">
        <v>45693</v>
      </c>
      <c r="B124" s="8" t="s">
        <v>483</v>
      </c>
      <c r="C124" s="8" t="s">
        <v>361</v>
      </c>
      <c r="D124" s="8" t="s">
        <v>379</v>
      </c>
      <c r="E124" s="9" t="n">
        <v>25000</v>
      </c>
      <c r="F124" s="8" t="s">
        <v>335</v>
      </c>
    </row>
    <row r="125" customFormat="false" ht="15" hidden="false" customHeight="true" outlineLevel="0" collapsed="false">
      <c r="A125" s="34" t="n">
        <v>45693</v>
      </c>
      <c r="B125" s="8" t="s">
        <v>484</v>
      </c>
      <c r="C125" s="8" t="s">
        <v>313</v>
      </c>
      <c r="D125" s="8" t="s">
        <v>393</v>
      </c>
      <c r="E125" s="9" t="n">
        <v>-19.85</v>
      </c>
      <c r="F125" s="8" t="s">
        <v>19</v>
      </c>
    </row>
    <row r="126" customFormat="false" ht="15" hidden="false" customHeight="true" outlineLevel="0" collapsed="false">
      <c r="A126" s="34" t="n">
        <v>45693</v>
      </c>
      <c r="B126" s="8" t="s">
        <v>485</v>
      </c>
      <c r="C126" s="8" t="s">
        <v>310</v>
      </c>
      <c r="D126" s="8" t="s">
        <v>311</v>
      </c>
      <c r="E126" s="9" t="n">
        <v>-79</v>
      </c>
      <c r="F126" s="8" t="s">
        <v>26</v>
      </c>
    </row>
    <row r="127" customFormat="false" ht="15" hidden="false" customHeight="true" outlineLevel="0" collapsed="false">
      <c r="A127" s="34" t="n">
        <v>45693</v>
      </c>
      <c r="B127" s="8" t="s">
        <v>483</v>
      </c>
      <c r="C127" s="8" t="s">
        <v>359</v>
      </c>
      <c r="D127" s="8" t="s">
        <v>360</v>
      </c>
      <c r="E127" s="9" t="n">
        <v>-1.2</v>
      </c>
      <c r="F127" s="8" t="s">
        <v>25</v>
      </c>
    </row>
    <row r="128" customFormat="false" ht="15" hidden="false" customHeight="true" outlineLevel="0" collapsed="false">
      <c r="A128" s="34" t="n">
        <v>45694</v>
      </c>
      <c r="B128" s="8" t="s">
        <v>486</v>
      </c>
      <c r="C128" s="8" t="s">
        <v>367</v>
      </c>
      <c r="D128" s="8" t="s">
        <v>487</v>
      </c>
      <c r="E128" s="9" t="n">
        <v>-742.8</v>
      </c>
      <c r="F128" s="8" t="s">
        <v>17</v>
      </c>
    </row>
    <row r="129" customFormat="false" ht="15" hidden="false" customHeight="true" outlineLevel="0" collapsed="false">
      <c r="A129" s="34" t="n">
        <v>45694</v>
      </c>
      <c r="B129" s="8" t="s">
        <v>488</v>
      </c>
      <c r="C129" s="8" t="s">
        <v>367</v>
      </c>
      <c r="D129" s="8" t="s">
        <v>409</v>
      </c>
      <c r="E129" s="9" t="n">
        <v>-13125</v>
      </c>
      <c r="F129" s="8" t="s">
        <v>10</v>
      </c>
    </row>
    <row r="130" customFormat="false" ht="15" hidden="false" customHeight="true" outlineLevel="0" collapsed="false">
      <c r="A130" s="34" t="n">
        <v>45694</v>
      </c>
      <c r="B130" s="8" t="s">
        <v>489</v>
      </c>
      <c r="C130" s="8" t="s">
        <v>367</v>
      </c>
      <c r="D130" s="8" t="s">
        <v>490</v>
      </c>
      <c r="E130" s="9" t="n">
        <v>-660</v>
      </c>
      <c r="F130" s="8" t="s">
        <v>10</v>
      </c>
    </row>
    <row r="131" customFormat="false" ht="15" hidden="false" customHeight="true" outlineLevel="0" collapsed="false">
      <c r="A131" s="34" t="n">
        <v>45694</v>
      </c>
      <c r="B131" s="8" t="s">
        <v>491</v>
      </c>
      <c r="C131" s="8" t="s">
        <v>313</v>
      </c>
      <c r="D131" s="8" t="s">
        <v>341</v>
      </c>
      <c r="E131" s="9" t="n">
        <v>-10.7</v>
      </c>
      <c r="F131" s="8" t="s">
        <v>19</v>
      </c>
    </row>
    <row r="132" customFormat="false" ht="15" hidden="false" customHeight="true" outlineLevel="0" collapsed="false">
      <c r="A132" s="34" t="n">
        <v>45694</v>
      </c>
      <c r="B132" s="8" t="s">
        <v>345</v>
      </c>
      <c r="C132" s="8" t="s">
        <v>313</v>
      </c>
      <c r="D132" s="8" t="s">
        <v>346</v>
      </c>
      <c r="E132" s="9" t="n">
        <v>-10.7</v>
      </c>
      <c r="F132" s="8" t="s">
        <v>19</v>
      </c>
    </row>
    <row r="133" customFormat="false" ht="15" hidden="false" customHeight="true" outlineLevel="0" collapsed="false">
      <c r="A133" s="34" t="n">
        <v>45694</v>
      </c>
      <c r="B133" s="8" t="s">
        <v>492</v>
      </c>
      <c r="C133" s="8" t="s">
        <v>367</v>
      </c>
      <c r="D133" s="8" t="s">
        <v>452</v>
      </c>
      <c r="E133" s="9" t="n">
        <v>-2332.31</v>
      </c>
      <c r="F133" s="8" t="s">
        <v>13</v>
      </c>
    </row>
    <row r="134" customFormat="false" ht="15" hidden="false" customHeight="true" outlineLevel="0" collapsed="false">
      <c r="A134" s="34" t="n">
        <v>45695</v>
      </c>
      <c r="B134" s="8" t="s">
        <v>327</v>
      </c>
      <c r="C134" s="8" t="s">
        <v>313</v>
      </c>
      <c r="D134" s="8" t="s">
        <v>33</v>
      </c>
      <c r="E134" s="9" t="n">
        <v>-92.34</v>
      </c>
      <c r="F134" s="8" t="s">
        <v>19</v>
      </c>
    </row>
    <row r="135" customFormat="false" ht="15" hidden="false" customHeight="true" outlineLevel="0" collapsed="false">
      <c r="A135" s="34" t="n">
        <v>45695</v>
      </c>
      <c r="B135" s="8" t="s">
        <v>327</v>
      </c>
      <c r="C135" s="8" t="s">
        <v>313</v>
      </c>
      <c r="D135" s="8" t="s">
        <v>33</v>
      </c>
      <c r="E135" s="9" t="n">
        <v>-2.7</v>
      </c>
      <c r="F135" s="8" t="s">
        <v>19</v>
      </c>
    </row>
    <row r="136" customFormat="false" ht="15" hidden="false" customHeight="true" outlineLevel="0" collapsed="false">
      <c r="A136" s="34" t="n">
        <v>45695</v>
      </c>
      <c r="B136" s="8" t="s">
        <v>493</v>
      </c>
      <c r="C136" s="8" t="s">
        <v>367</v>
      </c>
      <c r="D136" s="8" t="s">
        <v>476</v>
      </c>
      <c r="E136" s="9" t="n">
        <v>-1016.24</v>
      </c>
      <c r="F136" s="8" t="s">
        <v>14</v>
      </c>
    </row>
    <row r="137" customFormat="false" ht="15" hidden="false" customHeight="true" outlineLevel="0" collapsed="false">
      <c r="A137" s="34" t="n">
        <v>45698</v>
      </c>
      <c r="B137" s="8" t="s">
        <v>494</v>
      </c>
      <c r="C137" s="8" t="s">
        <v>310</v>
      </c>
      <c r="D137" s="8" t="s">
        <v>311</v>
      </c>
      <c r="E137" s="9" t="n">
        <v>-125.16</v>
      </c>
      <c r="F137" s="8" t="s">
        <v>26</v>
      </c>
    </row>
    <row r="138" customFormat="false" ht="15" hidden="false" customHeight="true" outlineLevel="0" collapsed="false">
      <c r="A138" s="34" t="n">
        <v>45698</v>
      </c>
      <c r="B138" s="8" t="s">
        <v>495</v>
      </c>
      <c r="C138" s="8" t="s">
        <v>313</v>
      </c>
      <c r="D138" s="8" t="s">
        <v>339</v>
      </c>
      <c r="E138" s="9" t="n">
        <v>-48.06</v>
      </c>
      <c r="F138" s="8" t="s">
        <v>19</v>
      </c>
    </row>
    <row r="139" customFormat="false" ht="15" hidden="false" customHeight="true" outlineLevel="0" collapsed="false">
      <c r="A139" s="34" t="n">
        <v>45698</v>
      </c>
      <c r="B139" s="8" t="s">
        <v>496</v>
      </c>
      <c r="C139" s="8" t="s">
        <v>310</v>
      </c>
      <c r="D139" s="8" t="s">
        <v>497</v>
      </c>
      <c r="E139" s="9" t="n">
        <v>-28.86</v>
      </c>
      <c r="F139" s="8" t="s">
        <v>32</v>
      </c>
    </row>
    <row r="140" customFormat="false" ht="15" hidden="false" customHeight="true" outlineLevel="0" collapsed="false">
      <c r="A140" s="34" t="n">
        <v>45698</v>
      </c>
      <c r="B140" s="8" t="s">
        <v>498</v>
      </c>
      <c r="C140" s="8" t="s">
        <v>310</v>
      </c>
      <c r="D140" s="8" t="s">
        <v>348</v>
      </c>
      <c r="E140" s="9" t="n">
        <v>-132.36</v>
      </c>
      <c r="F140" s="8" t="s">
        <v>26</v>
      </c>
    </row>
    <row r="141" customFormat="false" ht="15" hidden="false" customHeight="true" outlineLevel="0" collapsed="false">
      <c r="A141" s="34" t="n">
        <v>45698</v>
      </c>
      <c r="B141" s="8" t="s">
        <v>494</v>
      </c>
      <c r="C141" s="8" t="s">
        <v>310</v>
      </c>
      <c r="D141" s="8" t="s">
        <v>499</v>
      </c>
      <c r="E141" s="9" t="n">
        <v>-504</v>
      </c>
      <c r="F141" s="8" t="s">
        <v>23</v>
      </c>
    </row>
    <row r="142" customFormat="false" ht="15" hidden="false" customHeight="true" outlineLevel="0" collapsed="false">
      <c r="A142" s="34" t="n">
        <v>45698</v>
      </c>
      <c r="B142" s="8" t="s">
        <v>500</v>
      </c>
      <c r="C142" s="8" t="s">
        <v>310</v>
      </c>
      <c r="D142" s="8" t="s">
        <v>355</v>
      </c>
      <c r="E142" s="9" t="n">
        <v>-67.36</v>
      </c>
      <c r="F142" s="8" t="s">
        <v>31</v>
      </c>
    </row>
    <row r="143" customFormat="false" ht="15" hidden="false" customHeight="true" outlineLevel="0" collapsed="false">
      <c r="A143" s="34" t="n">
        <v>45699</v>
      </c>
      <c r="B143" s="8" t="s">
        <v>501</v>
      </c>
      <c r="C143" s="8" t="s">
        <v>411</v>
      </c>
      <c r="D143" s="8" t="s">
        <v>502</v>
      </c>
      <c r="E143" s="9" t="n">
        <v>-2940</v>
      </c>
      <c r="F143" s="8" t="s">
        <v>17</v>
      </c>
    </row>
    <row r="144" customFormat="false" ht="15" hidden="false" customHeight="true" outlineLevel="0" collapsed="false">
      <c r="A144" s="34" t="n">
        <v>45699</v>
      </c>
      <c r="B144" s="8" t="s">
        <v>503</v>
      </c>
      <c r="C144" s="8" t="s">
        <v>313</v>
      </c>
      <c r="D144" s="8" t="s">
        <v>337</v>
      </c>
      <c r="E144" s="9" t="n">
        <v>-95.81</v>
      </c>
      <c r="F144" s="8" t="s">
        <v>19</v>
      </c>
    </row>
    <row r="145" customFormat="false" ht="15" hidden="false" customHeight="true" outlineLevel="0" collapsed="false">
      <c r="A145" s="34" t="n">
        <v>45699</v>
      </c>
      <c r="B145" s="8" t="s">
        <v>504</v>
      </c>
      <c r="C145" s="8" t="s">
        <v>310</v>
      </c>
      <c r="D145" s="8" t="s">
        <v>352</v>
      </c>
      <c r="E145" s="9" t="n">
        <v>-420</v>
      </c>
      <c r="F145" s="8" t="s">
        <v>23</v>
      </c>
    </row>
    <row r="146" customFormat="false" ht="15" hidden="false" customHeight="true" outlineLevel="0" collapsed="false">
      <c r="A146" s="34" t="n">
        <v>45699</v>
      </c>
      <c r="B146" s="8" t="s">
        <v>505</v>
      </c>
      <c r="C146" s="8" t="s">
        <v>313</v>
      </c>
      <c r="D146" s="8" t="s">
        <v>457</v>
      </c>
      <c r="E146" s="9" t="n">
        <v>-17.4</v>
      </c>
      <c r="F146" s="8" t="s">
        <v>29</v>
      </c>
    </row>
    <row r="147" customFormat="false" ht="15" hidden="false" customHeight="true" outlineLevel="0" collapsed="false">
      <c r="A147" s="34" t="n">
        <v>45700</v>
      </c>
      <c r="B147" s="8" t="s">
        <v>506</v>
      </c>
      <c r="C147" s="8" t="s">
        <v>313</v>
      </c>
      <c r="D147" s="8" t="s">
        <v>341</v>
      </c>
      <c r="E147" s="9" t="n">
        <v>-9.2</v>
      </c>
      <c r="F147" s="8" t="s">
        <v>19</v>
      </c>
    </row>
    <row r="148" customFormat="false" ht="15" hidden="false" customHeight="true" outlineLevel="0" collapsed="false">
      <c r="A148" s="34" t="n">
        <v>45700</v>
      </c>
      <c r="B148" s="8" t="s">
        <v>507</v>
      </c>
      <c r="C148" s="8" t="s">
        <v>313</v>
      </c>
      <c r="D148" s="8" t="s">
        <v>508</v>
      </c>
      <c r="E148" s="9" t="n">
        <v>-11.06</v>
      </c>
      <c r="F148" s="8" t="s">
        <v>30</v>
      </c>
    </row>
    <row r="149" customFormat="false" ht="15" hidden="false" customHeight="true" outlineLevel="0" collapsed="false">
      <c r="A149" s="34" t="n">
        <v>45700</v>
      </c>
      <c r="B149" s="8" t="s">
        <v>506</v>
      </c>
      <c r="C149" s="8" t="s">
        <v>313</v>
      </c>
      <c r="D149" s="8" t="s">
        <v>341</v>
      </c>
      <c r="E149" s="9" t="n">
        <v>-2.2</v>
      </c>
      <c r="F149" s="8" t="s">
        <v>19</v>
      </c>
    </row>
    <row r="150" customFormat="false" ht="15" hidden="false" customHeight="true" outlineLevel="0" collapsed="false">
      <c r="A150" s="34" t="n">
        <v>45700</v>
      </c>
      <c r="B150" s="8" t="s">
        <v>509</v>
      </c>
      <c r="C150" s="8" t="s">
        <v>313</v>
      </c>
      <c r="D150" s="8" t="s">
        <v>344</v>
      </c>
      <c r="E150" s="9" t="n">
        <v>-10.45</v>
      </c>
      <c r="F150" s="8" t="s">
        <v>13</v>
      </c>
    </row>
    <row r="151" customFormat="false" ht="15" hidden="false" customHeight="true" outlineLevel="0" collapsed="false">
      <c r="A151" s="34" t="n">
        <v>45701</v>
      </c>
      <c r="B151" s="8" t="s">
        <v>510</v>
      </c>
      <c r="C151" s="8" t="s">
        <v>313</v>
      </c>
      <c r="D151" s="8" t="s">
        <v>364</v>
      </c>
      <c r="E151" s="9" t="n">
        <v>-37.9</v>
      </c>
      <c r="F151" s="8" t="s">
        <v>20</v>
      </c>
    </row>
    <row r="152" customFormat="false" ht="15" hidden="false" customHeight="true" outlineLevel="0" collapsed="false">
      <c r="A152" s="34" t="n">
        <v>45701</v>
      </c>
      <c r="B152" s="8" t="s">
        <v>345</v>
      </c>
      <c r="C152" s="8" t="s">
        <v>313</v>
      </c>
      <c r="D152" s="8" t="s">
        <v>346</v>
      </c>
      <c r="E152" s="9" t="n">
        <v>-10.7</v>
      </c>
      <c r="F152" s="8" t="s">
        <v>19</v>
      </c>
    </row>
    <row r="153" customFormat="false" ht="15" hidden="false" customHeight="true" outlineLevel="0" collapsed="false">
      <c r="A153" s="34" t="n">
        <v>45701</v>
      </c>
      <c r="B153" s="8" t="s">
        <v>510</v>
      </c>
      <c r="C153" s="8" t="s">
        <v>365</v>
      </c>
      <c r="D153" s="8" t="s">
        <v>364</v>
      </c>
      <c r="E153" s="9" t="n">
        <v>-0.56</v>
      </c>
      <c r="F153" s="8" t="s">
        <v>25</v>
      </c>
    </row>
    <row r="154" customFormat="false" ht="15" hidden="false" customHeight="true" outlineLevel="0" collapsed="false">
      <c r="A154" s="34" t="n">
        <v>45702</v>
      </c>
      <c r="B154" s="8" t="s">
        <v>511</v>
      </c>
      <c r="C154" s="8" t="s">
        <v>375</v>
      </c>
      <c r="D154" s="8" t="s">
        <v>376</v>
      </c>
      <c r="E154" s="9" t="n">
        <v>-24.03</v>
      </c>
      <c r="F154" s="8" t="s">
        <v>25</v>
      </c>
    </row>
    <row r="155" customFormat="false" ht="15" hidden="false" customHeight="true" outlineLevel="0" collapsed="false">
      <c r="A155" s="34" t="n">
        <v>45702</v>
      </c>
      <c r="B155" s="8" t="s">
        <v>512</v>
      </c>
      <c r="C155" s="8" t="s">
        <v>313</v>
      </c>
      <c r="D155" s="8" t="s">
        <v>33</v>
      </c>
      <c r="E155" s="9" t="n">
        <v>-16.47</v>
      </c>
      <c r="F155" s="8" t="s">
        <v>19</v>
      </c>
    </row>
    <row r="156" customFormat="false" ht="15" hidden="false" customHeight="true" outlineLevel="0" collapsed="false">
      <c r="A156" s="34" t="n">
        <v>45702</v>
      </c>
      <c r="B156" s="8" t="s">
        <v>513</v>
      </c>
      <c r="C156" s="8" t="s">
        <v>313</v>
      </c>
      <c r="D156" s="8" t="s">
        <v>337</v>
      </c>
      <c r="E156" s="9" t="n">
        <v>-8.9</v>
      </c>
      <c r="F156" s="8" t="s">
        <v>19</v>
      </c>
    </row>
    <row r="157" customFormat="false" ht="15" hidden="false" customHeight="true" outlineLevel="0" collapsed="false">
      <c r="A157" s="34" t="n">
        <v>45705</v>
      </c>
      <c r="B157" s="8" t="s">
        <v>514</v>
      </c>
      <c r="C157" s="8" t="s">
        <v>313</v>
      </c>
      <c r="D157" s="8" t="s">
        <v>341</v>
      </c>
      <c r="E157" s="9" t="n">
        <v>-10.7</v>
      </c>
      <c r="F157" s="8" t="s">
        <v>19</v>
      </c>
    </row>
    <row r="158" customFormat="false" ht="15" hidden="false" customHeight="true" outlineLevel="0" collapsed="false">
      <c r="A158" s="34" t="n">
        <v>45705</v>
      </c>
      <c r="B158" s="8" t="s">
        <v>515</v>
      </c>
      <c r="C158" s="8" t="s">
        <v>310</v>
      </c>
      <c r="D158" s="8" t="s">
        <v>400</v>
      </c>
      <c r="E158" s="9" t="n">
        <v>-89.33</v>
      </c>
      <c r="F158" s="8" t="s">
        <v>20</v>
      </c>
    </row>
    <row r="159" customFormat="false" ht="15" hidden="false" customHeight="true" outlineLevel="0" collapsed="false">
      <c r="A159" s="34" t="n">
        <v>45705</v>
      </c>
      <c r="B159" s="8" t="s">
        <v>516</v>
      </c>
      <c r="C159" s="8" t="s">
        <v>313</v>
      </c>
      <c r="D159" s="8" t="s">
        <v>341</v>
      </c>
      <c r="E159" s="9" t="n">
        <v>-10.7</v>
      </c>
      <c r="F159" s="8" t="s">
        <v>19</v>
      </c>
    </row>
    <row r="160" customFormat="false" ht="15" hidden="false" customHeight="true" outlineLevel="0" collapsed="false">
      <c r="A160" s="34" t="n">
        <v>45705</v>
      </c>
      <c r="B160" s="8" t="s">
        <v>356</v>
      </c>
      <c r="C160" s="8" t="s">
        <v>384</v>
      </c>
      <c r="D160" s="8"/>
      <c r="E160" s="9" t="n">
        <v>-7.69</v>
      </c>
      <c r="F160" s="8" t="s">
        <v>25</v>
      </c>
    </row>
    <row r="161" customFormat="false" ht="15" hidden="false" customHeight="true" outlineLevel="0" collapsed="false">
      <c r="A161" s="34" t="n">
        <v>45705</v>
      </c>
      <c r="B161" s="8" t="s">
        <v>517</v>
      </c>
      <c r="C161" s="8" t="s">
        <v>313</v>
      </c>
      <c r="D161" s="8" t="s">
        <v>518</v>
      </c>
      <c r="E161" s="9" t="n">
        <v>-7.2</v>
      </c>
      <c r="F161" s="8" t="s">
        <v>19</v>
      </c>
    </row>
    <row r="162" customFormat="false" ht="15" hidden="false" customHeight="true" outlineLevel="0" collapsed="false">
      <c r="A162" s="34" t="n">
        <v>45706</v>
      </c>
      <c r="B162" s="8" t="s">
        <v>519</v>
      </c>
      <c r="C162" s="8" t="s">
        <v>313</v>
      </c>
      <c r="D162" s="8" t="s">
        <v>520</v>
      </c>
      <c r="E162" s="9" t="n">
        <v>-68.4</v>
      </c>
      <c r="F162" s="8" t="s">
        <v>19</v>
      </c>
    </row>
    <row r="163" customFormat="false" ht="15" hidden="false" customHeight="true" outlineLevel="0" collapsed="false">
      <c r="A163" s="34" t="n">
        <v>45706</v>
      </c>
      <c r="B163" s="8" t="s">
        <v>521</v>
      </c>
      <c r="C163" s="8" t="s">
        <v>313</v>
      </c>
      <c r="D163" s="8" t="s">
        <v>331</v>
      </c>
      <c r="E163" s="9" t="n">
        <v>-58</v>
      </c>
      <c r="F163" s="8" t="s">
        <v>17</v>
      </c>
    </row>
    <row r="164" customFormat="false" ht="15" hidden="false" customHeight="true" outlineLevel="0" collapsed="false">
      <c r="A164" s="34" t="n">
        <v>45706</v>
      </c>
      <c r="B164" s="8" t="s">
        <v>522</v>
      </c>
      <c r="C164" s="8" t="s">
        <v>313</v>
      </c>
      <c r="D164" s="8" t="s">
        <v>457</v>
      </c>
      <c r="E164" s="9" t="n">
        <v>-7.9</v>
      </c>
      <c r="F164" s="8" t="s">
        <v>29</v>
      </c>
    </row>
    <row r="165" customFormat="false" ht="15" hidden="false" customHeight="true" outlineLevel="0" collapsed="false">
      <c r="A165" s="34" t="n">
        <v>45706</v>
      </c>
      <c r="B165" s="8" t="s">
        <v>519</v>
      </c>
      <c r="C165" s="8" t="s">
        <v>313</v>
      </c>
      <c r="D165" s="8" t="s">
        <v>523</v>
      </c>
      <c r="E165" s="9" t="n">
        <v>-38.8</v>
      </c>
      <c r="F165" s="8" t="s">
        <v>19</v>
      </c>
    </row>
    <row r="166" customFormat="false" ht="15" hidden="false" customHeight="true" outlineLevel="0" collapsed="false">
      <c r="A166" s="34" t="n">
        <v>45706</v>
      </c>
      <c r="B166" s="8" t="s">
        <v>524</v>
      </c>
      <c r="C166" s="8" t="s">
        <v>310</v>
      </c>
      <c r="D166" s="8" t="s">
        <v>390</v>
      </c>
      <c r="E166" s="9" t="n">
        <v>-2312</v>
      </c>
      <c r="F166" s="8" t="s">
        <v>15</v>
      </c>
    </row>
    <row r="167" customFormat="false" ht="15" hidden="false" customHeight="true" outlineLevel="0" collapsed="false">
      <c r="A167" s="34" t="n">
        <v>45706</v>
      </c>
      <c r="B167" s="8" t="s">
        <v>525</v>
      </c>
      <c r="C167" s="8" t="s">
        <v>313</v>
      </c>
      <c r="D167" s="8" t="s">
        <v>526</v>
      </c>
      <c r="E167" s="9" t="n">
        <v>-4.8</v>
      </c>
      <c r="F167" s="8" t="s">
        <v>19</v>
      </c>
    </row>
    <row r="168" customFormat="false" ht="15" hidden="false" customHeight="true" outlineLevel="0" collapsed="false">
      <c r="A168" s="34" t="n">
        <v>45706</v>
      </c>
      <c r="B168" s="8" t="s">
        <v>527</v>
      </c>
      <c r="C168" s="8" t="s">
        <v>313</v>
      </c>
      <c r="D168" s="8" t="s">
        <v>528</v>
      </c>
      <c r="E168" s="9" t="n">
        <v>-22.5</v>
      </c>
      <c r="F168" s="8" t="s">
        <v>19</v>
      </c>
    </row>
    <row r="169" customFormat="false" ht="15" hidden="false" customHeight="true" outlineLevel="0" collapsed="false">
      <c r="A169" s="34" t="n">
        <v>45706</v>
      </c>
      <c r="B169" s="8" t="s">
        <v>529</v>
      </c>
      <c r="C169" s="8" t="s">
        <v>313</v>
      </c>
      <c r="D169" s="8" t="s">
        <v>530</v>
      </c>
      <c r="E169" s="9" t="n">
        <v>-52.47</v>
      </c>
      <c r="F169" s="8" t="s">
        <v>30</v>
      </c>
    </row>
    <row r="170" customFormat="false" ht="15" hidden="false" customHeight="true" outlineLevel="0" collapsed="false">
      <c r="A170" s="34" t="n">
        <v>45706</v>
      </c>
      <c r="B170" s="8" t="s">
        <v>522</v>
      </c>
      <c r="C170" s="8" t="s">
        <v>313</v>
      </c>
      <c r="D170" s="8" t="s">
        <v>457</v>
      </c>
      <c r="E170" s="9" t="n">
        <v>-1.2</v>
      </c>
      <c r="F170" s="8" t="s">
        <v>29</v>
      </c>
    </row>
    <row r="171" customFormat="false" ht="15" hidden="false" customHeight="true" outlineLevel="0" collapsed="false">
      <c r="A171" s="34" t="n">
        <v>45706</v>
      </c>
      <c r="B171" s="8" t="s">
        <v>531</v>
      </c>
      <c r="C171" s="8" t="s">
        <v>313</v>
      </c>
      <c r="D171" s="8" t="s">
        <v>322</v>
      </c>
      <c r="E171" s="9" t="n">
        <v>-54.1</v>
      </c>
      <c r="F171" s="8" t="s">
        <v>19</v>
      </c>
    </row>
    <row r="172" customFormat="false" ht="15" hidden="false" customHeight="true" outlineLevel="0" collapsed="false">
      <c r="A172" s="34" t="n">
        <v>45706</v>
      </c>
      <c r="B172" s="8" t="s">
        <v>532</v>
      </c>
      <c r="C172" s="8" t="s">
        <v>313</v>
      </c>
      <c r="D172" s="8" t="s">
        <v>533</v>
      </c>
      <c r="E172" s="9" t="n">
        <v>-26</v>
      </c>
      <c r="F172" s="8" t="s">
        <v>17</v>
      </c>
    </row>
    <row r="173" customFormat="false" ht="15" hidden="false" customHeight="true" outlineLevel="0" collapsed="false">
      <c r="A173" s="34" t="n">
        <v>45706</v>
      </c>
      <c r="B173" s="8" t="s">
        <v>534</v>
      </c>
      <c r="C173" s="8" t="s">
        <v>313</v>
      </c>
      <c r="D173" s="8" t="s">
        <v>535</v>
      </c>
      <c r="E173" s="9" t="n">
        <v>-8.7</v>
      </c>
      <c r="F173" s="8" t="s">
        <v>29</v>
      </c>
    </row>
    <row r="174" customFormat="false" ht="15" hidden="false" customHeight="true" outlineLevel="0" collapsed="false">
      <c r="A174" s="34" t="n">
        <v>45706</v>
      </c>
      <c r="B174" s="8" t="s">
        <v>536</v>
      </c>
      <c r="C174" s="8" t="s">
        <v>313</v>
      </c>
      <c r="D174" s="8" t="s">
        <v>339</v>
      </c>
      <c r="E174" s="9" t="n">
        <v>-45.01</v>
      </c>
      <c r="F174" s="8" t="s">
        <v>19</v>
      </c>
    </row>
    <row r="175" customFormat="false" ht="15" hidden="false" customHeight="true" outlineLevel="0" collapsed="false">
      <c r="A175" s="34" t="n">
        <v>45706</v>
      </c>
      <c r="B175" s="8" t="s">
        <v>537</v>
      </c>
      <c r="C175" s="8" t="s">
        <v>313</v>
      </c>
      <c r="D175" s="8" t="s">
        <v>538</v>
      </c>
      <c r="E175" s="9" t="n">
        <v>-80</v>
      </c>
      <c r="F175" s="8" t="s">
        <v>19</v>
      </c>
    </row>
    <row r="176" customFormat="false" ht="15" hidden="false" customHeight="true" outlineLevel="0" collapsed="false">
      <c r="A176" s="34" t="n">
        <v>45706</v>
      </c>
      <c r="B176" s="8" t="s">
        <v>539</v>
      </c>
      <c r="C176" s="8" t="s">
        <v>411</v>
      </c>
      <c r="D176" s="8" t="s">
        <v>368</v>
      </c>
      <c r="E176" s="9" t="n">
        <v>-34</v>
      </c>
      <c r="F176" s="8" t="s">
        <v>11</v>
      </c>
    </row>
    <row r="177" customFormat="false" ht="15" hidden="false" customHeight="true" outlineLevel="0" collapsed="false">
      <c r="A177" s="34" t="n">
        <v>45707</v>
      </c>
      <c r="B177" s="8" t="s">
        <v>540</v>
      </c>
      <c r="C177" s="8" t="s">
        <v>313</v>
      </c>
      <c r="D177" s="8" t="s">
        <v>541</v>
      </c>
      <c r="E177" s="9" t="n">
        <v>-70</v>
      </c>
      <c r="F177" s="8" t="s">
        <v>19</v>
      </c>
    </row>
    <row r="178" customFormat="false" ht="15" hidden="false" customHeight="true" outlineLevel="0" collapsed="false">
      <c r="A178" s="34" t="n">
        <v>45707</v>
      </c>
      <c r="B178" s="8" t="s">
        <v>542</v>
      </c>
      <c r="C178" s="8" t="s">
        <v>313</v>
      </c>
      <c r="D178" s="8" t="s">
        <v>543</v>
      </c>
      <c r="E178" s="9" t="n">
        <v>-10</v>
      </c>
      <c r="F178" s="8" t="s">
        <v>18</v>
      </c>
    </row>
    <row r="179" customFormat="false" ht="15" hidden="false" customHeight="true" outlineLevel="0" collapsed="false">
      <c r="A179" s="34" t="n">
        <v>45707</v>
      </c>
      <c r="B179" s="8" t="s">
        <v>544</v>
      </c>
      <c r="C179" s="8" t="s">
        <v>313</v>
      </c>
      <c r="D179" s="8" t="s">
        <v>545</v>
      </c>
      <c r="E179" s="9" t="n">
        <v>-128</v>
      </c>
      <c r="F179" s="8" t="s">
        <v>17</v>
      </c>
    </row>
    <row r="180" customFormat="false" ht="15" hidden="false" customHeight="true" outlineLevel="0" collapsed="false">
      <c r="A180" s="34" t="n">
        <v>45707</v>
      </c>
      <c r="B180" s="8" t="s">
        <v>546</v>
      </c>
      <c r="C180" s="8" t="s">
        <v>313</v>
      </c>
      <c r="D180" s="8" t="s">
        <v>547</v>
      </c>
      <c r="E180" s="9" t="n">
        <v>-12</v>
      </c>
      <c r="F180" s="8" t="s">
        <v>18</v>
      </c>
    </row>
    <row r="181" customFormat="false" ht="15" hidden="false" customHeight="true" outlineLevel="0" collapsed="false">
      <c r="A181" s="34" t="n">
        <v>45707</v>
      </c>
      <c r="B181" s="8" t="s">
        <v>548</v>
      </c>
      <c r="C181" s="8" t="s">
        <v>313</v>
      </c>
      <c r="D181" s="8" t="s">
        <v>549</v>
      </c>
      <c r="E181" s="9" t="n">
        <v>-11.5</v>
      </c>
      <c r="F181" s="8" t="s">
        <v>29</v>
      </c>
    </row>
    <row r="182" customFormat="false" ht="15" hidden="false" customHeight="true" outlineLevel="0" collapsed="false">
      <c r="A182" s="34" t="n">
        <v>45708</v>
      </c>
      <c r="B182" s="8" t="s">
        <v>550</v>
      </c>
      <c r="C182" s="8" t="s">
        <v>313</v>
      </c>
      <c r="D182" s="8" t="s">
        <v>551</v>
      </c>
      <c r="E182" s="9" t="n">
        <v>-9.4</v>
      </c>
      <c r="F182" s="8" t="s">
        <v>17</v>
      </c>
    </row>
    <row r="183" customFormat="false" ht="15" hidden="false" customHeight="true" outlineLevel="0" collapsed="false">
      <c r="A183" s="34" t="n">
        <v>45708</v>
      </c>
      <c r="B183" s="8" t="s">
        <v>552</v>
      </c>
      <c r="C183" s="8" t="s">
        <v>313</v>
      </c>
      <c r="D183" s="8" t="s">
        <v>551</v>
      </c>
      <c r="E183" s="9" t="n">
        <v>-15.4</v>
      </c>
      <c r="F183" s="8" t="s">
        <v>17</v>
      </c>
    </row>
    <row r="184" customFormat="false" ht="15" hidden="false" customHeight="true" outlineLevel="0" collapsed="false">
      <c r="A184" s="34" t="n">
        <v>45708</v>
      </c>
      <c r="B184" s="8" t="s">
        <v>552</v>
      </c>
      <c r="C184" s="8" t="s">
        <v>313</v>
      </c>
      <c r="D184" s="8" t="s">
        <v>551</v>
      </c>
      <c r="E184" s="9" t="n">
        <v>-39.6</v>
      </c>
      <c r="F184" s="8" t="s">
        <v>17</v>
      </c>
    </row>
    <row r="185" customFormat="false" ht="15" hidden="false" customHeight="true" outlineLevel="0" collapsed="false">
      <c r="A185" s="34" t="n">
        <v>45708</v>
      </c>
      <c r="B185" s="8" t="s">
        <v>550</v>
      </c>
      <c r="C185" s="8" t="s">
        <v>313</v>
      </c>
      <c r="D185" s="8" t="s">
        <v>551</v>
      </c>
      <c r="E185" s="9" t="n">
        <v>-1.7</v>
      </c>
      <c r="F185" s="8" t="s">
        <v>17</v>
      </c>
    </row>
    <row r="186" customFormat="false" ht="15" hidden="false" customHeight="true" outlineLevel="0" collapsed="false">
      <c r="A186" s="34" t="n">
        <v>45708</v>
      </c>
      <c r="B186" s="8" t="s">
        <v>550</v>
      </c>
      <c r="C186" s="8" t="s">
        <v>313</v>
      </c>
      <c r="D186" s="8" t="s">
        <v>551</v>
      </c>
      <c r="E186" s="9" t="n">
        <v>-14</v>
      </c>
      <c r="F186" s="8" t="s">
        <v>17</v>
      </c>
    </row>
    <row r="187" customFormat="false" ht="15" hidden="false" customHeight="true" outlineLevel="0" collapsed="false">
      <c r="A187" s="34" t="n">
        <v>45709</v>
      </c>
      <c r="B187" s="8" t="s">
        <v>553</v>
      </c>
      <c r="C187" s="8" t="s">
        <v>361</v>
      </c>
      <c r="D187" s="8" t="s">
        <v>379</v>
      </c>
      <c r="E187" s="9" t="n">
        <v>5000</v>
      </c>
      <c r="F187" s="8" t="s">
        <v>335</v>
      </c>
    </row>
    <row r="188" customFormat="false" ht="15" hidden="false" customHeight="true" outlineLevel="0" collapsed="false">
      <c r="A188" s="34" t="n">
        <v>45709</v>
      </c>
      <c r="B188" s="8" t="s">
        <v>553</v>
      </c>
      <c r="C188" s="8" t="s">
        <v>359</v>
      </c>
      <c r="D188" s="8" t="s">
        <v>360</v>
      </c>
      <c r="E188" s="9" t="n">
        <v>-1.2</v>
      </c>
      <c r="F188" s="8" t="s">
        <v>25</v>
      </c>
    </row>
    <row r="189" customFormat="false" ht="15" hidden="false" customHeight="true" outlineLevel="0" collapsed="false">
      <c r="A189" s="34" t="n">
        <v>45709</v>
      </c>
      <c r="B189" s="8" t="s">
        <v>554</v>
      </c>
      <c r="C189" s="8" t="s">
        <v>361</v>
      </c>
      <c r="D189" s="8" t="s">
        <v>379</v>
      </c>
      <c r="E189" s="9" t="n">
        <v>5000</v>
      </c>
      <c r="F189" s="8" t="s">
        <v>335</v>
      </c>
    </row>
    <row r="190" customFormat="false" ht="15" hidden="false" customHeight="true" outlineLevel="0" collapsed="false">
      <c r="A190" s="34" t="n">
        <v>45709</v>
      </c>
      <c r="B190" s="8" t="s">
        <v>554</v>
      </c>
      <c r="C190" s="8" t="s">
        <v>359</v>
      </c>
      <c r="D190" s="8" t="s">
        <v>360</v>
      </c>
      <c r="E190" s="9" t="n">
        <v>-1.2</v>
      </c>
      <c r="F190" s="8" t="s">
        <v>25</v>
      </c>
    </row>
    <row r="191" customFormat="false" ht="15" hidden="false" customHeight="true" outlineLevel="0" collapsed="false">
      <c r="A191" s="34" t="n">
        <v>45712</v>
      </c>
      <c r="B191" s="8" t="s">
        <v>555</v>
      </c>
      <c r="C191" s="8" t="s">
        <v>313</v>
      </c>
      <c r="D191" s="8" t="s">
        <v>556</v>
      </c>
      <c r="E191" s="9" t="n">
        <v>-4.8</v>
      </c>
      <c r="F191" s="8" t="s">
        <v>19</v>
      </c>
    </row>
    <row r="192" customFormat="false" ht="15" hidden="false" customHeight="true" outlineLevel="0" collapsed="false">
      <c r="A192" s="34" t="n">
        <v>45712</v>
      </c>
      <c r="B192" s="8" t="s">
        <v>557</v>
      </c>
      <c r="C192" s="8" t="s">
        <v>313</v>
      </c>
      <c r="D192" s="8" t="s">
        <v>33</v>
      </c>
      <c r="E192" s="9" t="n">
        <v>-8.35</v>
      </c>
      <c r="F192" s="8" t="s">
        <v>19</v>
      </c>
    </row>
    <row r="193" customFormat="false" ht="15" hidden="false" customHeight="true" outlineLevel="0" collapsed="false">
      <c r="A193" s="34" t="n">
        <v>45712</v>
      </c>
      <c r="B193" s="8" t="s">
        <v>558</v>
      </c>
      <c r="C193" s="8" t="s">
        <v>313</v>
      </c>
      <c r="D193" s="8" t="s">
        <v>559</v>
      </c>
      <c r="E193" s="9" t="n">
        <v>-16.2</v>
      </c>
      <c r="F193" s="8" t="s">
        <v>19</v>
      </c>
    </row>
    <row r="194" customFormat="false" ht="15" hidden="false" customHeight="true" outlineLevel="0" collapsed="false">
      <c r="A194" s="34" t="n">
        <v>45712</v>
      </c>
      <c r="B194" s="8" t="s">
        <v>558</v>
      </c>
      <c r="C194" s="8" t="s">
        <v>313</v>
      </c>
      <c r="D194" s="8" t="s">
        <v>559</v>
      </c>
      <c r="E194" s="9" t="n">
        <v>-21.6</v>
      </c>
      <c r="F194" s="8" t="s">
        <v>19</v>
      </c>
    </row>
    <row r="195" customFormat="false" ht="15" hidden="false" customHeight="true" outlineLevel="0" collapsed="false">
      <c r="A195" s="34" t="n">
        <v>45712</v>
      </c>
      <c r="B195" s="8" t="s">
        <v>560</v>
      </c>
      <c r="C195" s="8" t="s">
        <v>313</v>
      </c>
      <c r="D195" s="8" t="s">
        <v>530</v>
      </c>
      <c r="E195" s="9" t="n">
        <v>-9.02</v>
      </c>
      <c r="F195" s="8" t="s">
        <v>30</v>
      </c>
    </row>
    <row r="196" customFormat="false" ht="15" hidden="false" customHeight="true" outlineLevel="0" collapsed="false">
      <c r="A196" s="34" t="n">
        <v>45712</v>
      </c>
      <c r="B196" s="8" t="s">
        <v>561</v>
      </c>
      <c r="C196" s="8" t="s">
        <v>313</v>
      </c>
      <c r="D196" s="8" t="s">
        <v>562</v>
      </c>
      <c r="E196" s="9" t="n">
        <v>-98.02</v>
      </c>
      <c r="F196" s="8" t="s">
        <v>19</v>
      </c>
    </row>
    <row r="197" customFormat="false" ht="15" hidden="false" customHeight="true" outlineLevel="0" collapsed="false">
      <c r="A197" s="34" t="n">
        <v>45712</v>
      </c>
      <c r="B197" s="8" t="s">
        <v>563</v>
      </c>
      <c r="C197" s="8" t="s">
        <v>313</v>
      </c>
      <c r="D197" s="8" t="s">
        <v>457</v>
      </c>
      <c r="E197" s="9" t="n">
        <v>-9.1</v>
      </c>
      <c r="F197" s="8" t="s">
        <v>29</v>
      </c>
    </row>
    <row r="198" customFormat="false" ht="15" hidden="false" customHeight="true" outlineLevel="0" collapsed="false">
      <c r="A198" s="34" t="n">
        <v>45712</v>
      </c>
      <c r="B198" s="8" t="s">
        <v>564</v>
      </c>
      <c r="C198" s="8" t="s">
        <v>313</v>
      </c>
      <c r="D198" s="8" t="s">
        <v>565</v>
      </c>
      <c r="E198" s="9" t="n">
        <v>-206</v>
      </c>
      <c r="F198" s="8" t="s">
        <v>18</v>
      </c>
    </row>
    <row r="199" customFormat="false" ht="15" hidden="false" customHeight="true" outlineLevel="0" collapsed="false">
      <c r="A199" s="34" t="n">
        <v>45712</v>
      </c>
      <c r="B199" s="8" t="s">
        <v>566</v>
      </c>
      <c r="C199" s="8" t="s">
        <v>313</v>
      </c>
      <c r="D199" s="8" t="s">
        <v>420</v>
      </c>
      <c r="E199" s="9" t="n">
        <v>-80</v>
      </c>
      <c r="F199" s="8" t="s">
        <v>30</v>
      </c>
    </row>
    <row r="200" customFormat="false" ht="15" hidden="false" customHeight="true" outlineLevel="0" collapsed="false">
      <c r="A200" s="34" t="n">
        <v>45712</v>
      </c>
      <c r="B200" s="8" t="s">
        <v>567</v>
      </c>
      <c r="C200" s="8" t="s">
        <v>313</v>
      </c>
      <c r="D200" s="8" t="s">
        <v>568</v>
      </c>
      <c r="E200" s="9" t="n">
        <v>-10</v>
      </c>
      <c r="F200" s="8" t="s">
        <v>29</v>
      </c>
    </row>
    <row r="201" customFormat="false" ht="15" hidden="false" customHeight="true" outlineLevel="0" collapsed="false">
      <c r="A201" s="34" t="n">
        <v>45712</v>
      </c>
      <c r="B201" s="8" t="s">
        <v>569</v>
      </c>
      <c r="C201" s="8" t="s">
        <v>313</v>
      </c>
      <c r="D201" s="8" t="s">
        <v>570</v>
      </c>
      <c r="E201" s="9" t="n">
        <v>-54.1</v>
      </c>
      <c r="F201" s="8" t="s">
        <v>19</v>
      </c>
    </row>
    <row r="202" customFormat="false" ht="15" hidden="false" customHeight="true" outlineLevel="0" collapsed="false">
      <c r="A202" s="34" t="n">
        <v>45712</v>
      </c>
      <c r="B202" s="8" t="s">
        <v>571</v>
      </c>
      <c r="C202" s="8" t="s">
        <v>313</v>
      </c>
      <c r="D202" s="8" t="s">
        <v>551</v>
      </c>
      <c r="E202" s="9" t="n">
        <v>-2</v>
      </c>
      <c r="F202" s="8" t="s">
        <v>17</v>
      </c>
    </row>
    <row r="203" customFormat="false" ht="15" hidden="false" customHeight="true" outlineLevel="0" collapsed="false">
      <c r="A203" s="34" t="n">
        <v>45712</v>
      </c>
      <c r="B203" s="8" t="s">
        <v>572</v>
      </c>
      <c r="C203" s="8" t="s">
        <v>313</v>
      </c>
      <c r="D203" s="8" t="s">
        <v>547</v>
      </c>
      <c r="E203" s="9" t="n">
        <v>-20</v>
      </c>
      <c r="F203" s="8" t="s">
        <v>18</v>
      </c>
    </row>
    <row r="204" customFormat="false" ht="15" hidden="false" customHeight="true" outlineLevel="0" collapsed="false">
      <c r="A204" s="34" t="n">
        <v>45712</v>
      </c>
      <c r="B204" s="8" t="s">
        <v>573</v>
      </c>
      <c r="C204" s="8" t="s">
        <v>411</v>
      </c>
      <c r="D204" s="8" t="s">
        <v>386</v>
      </c>
      <c r="E204" s="9" t="n">
        <v>-4000</v>
      </c>
      <c r="F204" s="8" t="s">
        <v>16</v>
      </c>
    </row>
    <row r="205" customFormat="false" ht="15" hidden="false" customHeight="true" outlineLevel="0" collapsed="false">
      <c r="A205" s="34" t="n">
        <v>45713</v>
      </c>
      <c r="B205" s="8" t="s">
        <v>574</v>
      </c>
      <c r="C205" s="8" t="s">
        <v>414</v>
      </c>
      <c r="D205" s="8" t="s">
        <v>415</v>
      </c>
      <c r="E205" s="9" t="n">
        <v>-143</v>
      </c>
      <c r="F205" s="8" t="s">
        <v>15</v>
      </c>
    </row>
    <row r="206" customFormat="false" ht="15" hidden="false" customHeight="true" outlineLevel="0" collapsed="false">
      <c r="A206" s="34" t="n">
        <v>45713</v>
      </c>
      <c r="B206" s="8" t="s">
        <v>575</v>
      </c>
      <c r="C206" s="8" t="s">
        <v>313</v>
      </c>
      <c r="D206" s="8" t="s">
        <v>576</v>
      </c>
      <c r="E206" s="9" t="n">
        <v>-95.55</v>
      </c>
      <c r="F206" s="8" t="s">
        <v>17</v>
      </c>
    </row>
    <row r="207" customFormat="false" ht="15" hidden="false" customHeight="true" outlineLevel="0" collapsed="false">
      <c r="A207" s="34" t="n">
        <v>45713</v>
      </c>
      <c r="B207" s="8" t="s">
        <v>577</v>
      </c>
      <c r="C207" s="8" t="s">
        <v>310</v>
      </c>
      <c r="D207" s="8" t="s">
        <v>432</v>
      </c>
      <c r="E207" s="9" t="n">
        <v>-503.88</v>
      </c>
      <c r="F207" s="8" t="s">
        <v>15</v>
      </c>
    </row>
    <row r="208" customFormat="false" ht="15" hidden="false" customHeight="true" outlineLevel="0" collapsed="false">
      <c r="A208" s="34" t="n">
        <v>45713</v>
      </c>
      <c r="B208" s="8" t="s">
        <v>578</v>
      </c>
      <c r="C208" s="8" t="s">
        <v>310</v>
      </c>
      <c r="D208" s="8" t="s">
        <v>400</v>
      </c>
      <c r="E208" s="9" t="n">
        <v>-359.2</v>
      </c>
      <c r="F208" s="8" t="s">
        <v>20</v>
      </c>
    </row>
    <row r="209" customFormat="false" ht="15" hidden="false" customHeight="true" outlineLevel="0" collapsed="false">
      <c r="A209" s="34" t="n">
        <v>45713</v>
      </c>
      <c r="B209" s="8" t="s">
        <v>575</v>
      </c>
      <c r="C209" s="8" t="s">
        <v>313</v>
      </c>
      <c r="D209" s="8" t="s">
        <v>576</v>
      </c>
      <c r="E209" s="9" t="n">
        <v>-3.9</v>
      </c>
      <c r="F209" s="8" t="s">
        <v>17</v>
      </c>
    </row>
    <row r="210" customFormat="false" ht="15" hidden="false" customHeight="true" outlineLevel="0" collapsed="false">
      <c r="A210" s="34" t="n">
        <v>45713</v>
      </c>
      <c r="B210" s="8" t="s">
        <v>521</v>
      </c>
      <c r="C210" s="8" t="s">
        <v>313</v>
      </c>
      <c r="D210" s="8" t="s">
        <v>331</v>
      </c>
      <c r="E210" s="9" t="n">
        <v>-43</v>
      </c>
      <c r="F210" s="8" t="s">
        <v>17</v>
      </c>
    </row>
    <row r="211" customFormat="false" ht="15" hidden="false" customHeight="true" outlineLevel="0" collapsed="false">
      <c r="A211" s="34" t="n">
        <v>45713</v>
      </c>
      <c r="B211" s="8" t="s">
        <v>579</v>
      </c>
      <c r="C211" s="8" t="s">
        <v>367</v>
      </c>
      <c r="D211" s="8" t="s">
        <v>464</v>
      </c>
      <c r="E211" s="9" t="n">
        <v>-1449.27</v>
      </c>
      <c r="F211" s="8" t="s">
        <v>14</v>
      </c>
    </row>
    <row r="212" customFormat="false" ht="15" hidden="false" customHeight="true" outlineLevel="0" collapsed="false">
      <c r="A212" s="34" t="n">
        <v>45713</v>
      </c>
      <c r="B212" s="8" t="s">
        <v>580</v>
      </c>
      <c r="C212" s="8" t="s">
        <v>310</v>
      </c>
      <c r="D212" s="8" t="s">
        <v>390</v>
      </c>
      <c r="E212" s="9" t="n">
        <v>-93</v>
      </c>
      <c r="F212" s="8" t="s">
        <v>15</v>
      </c>
    </row>
    <row r="213" customFormat="false" ht="15" hidden="false" customHeight="true" outlineLevel="0" collapsed="false">
      <c r="A213" s="34" t="n">
        <v>45713</v>
      </c>
      <c r="B213" s="8" t="s">
        <v>581</v>
      </c>
      <c r="C213" s="8" t="s">
        <v>313</v>
      </c>
      <c r="D213" s="8" t="s">
        <v>551</v>
      </c>
      <c r="E213" s="9" t="n">
        <v>-22</v>
      </c>
      <c r="F213" s="8" t="s">
        <v>17</v>
      </c>
    </row>
    <row r="214" customFormat="false" ht="15" hidden="false" customHeight="true" outlineLevel="0" collapsed="false">
      <c r="A214" s="34" t="n">
        <v>45714</v>
      </c>
      <c r="B214" s="8" t="s">
        <v>582</v>
      </c>
      <c r="C214" s="8" t="s">
        <v>313</v>
      </c>
      <c r="D214" s="8" t="s">
        <v>583</v>
      </c>
      <c r="E214" s="9" t="n">
        <v>-12.99</v>
      </c>
      <c r="F214" s="8" t="s">
        <v>28</v>
      </c>
    </row>
    <row r="215" customFormat="false" ht="15" hidden="false" customHeight="true" outlineLevel="0" collapsed="false">
      <c r="A215" s="34" t="n">
        <v>45715</v>
      </c>
      <c r="B215" s="8" t="s">
        <v>584</v>
      </c>
      <c r="C215" s="8" t="s">
        <v>313</v>
      </c>
      <c r="D215" s="8" t="s">
        <v>562</v>
      </c>
      <c r="E215" s="9" t="n">
        <v>-68.21</v>
      </c>
      <c r="F215" s="8" t="s">
        <v>19</v>
      </c>
    </row>
    <row r="216" customFormat="false" ht="15" hidden="false" customHeight="true" outlineLevel="0" collapsed="false">
      <c r="A216" s="34" t="n">
        <v>45715</v>
      </c>
      <c r="B216" s="8" t="s">
        <v>585</v>
      </c>
      <c r="C216" s="8" t="s">
        <v>367</v>
      </c>
      <c r="D216" s="8" t="s">
        <v>412</v>
      </c>
      <c r="E216" s="9" t="n">
        <v>-1312.89</v>
      </c>
      <c r="F216" s="8" t="s">
        <v>14</v>
      </c>
    </row>
    <row r="217" customFormat="false" ht="15" hidden="false" customHeight="true" outlineLevel="0" collapsed="false">
      <c r="A217" s="34" t="n">
        <v>45715</v>
      </c>
      <c r="B217" s="8" t="s">
        <v>586</v>
      </c>
      <c r="C217" s="8" t="s">
        <v>367</v>
      </c>
      <c r="D217" s="8" t="s">
        <v>476</v>
      </c>
      <c r="E217" s="9" t="n">
        <v>-1984.55</v>
      </c>
      <c r="F217" s="8" t="s">
        <v>14</v>
      </c>
    </row>
    <row r="218" customFormat="false" ht="15" hidden="false" customHeight="true" outlineLevel="0" collapsed="false">
      <c r="A218" s="34" t="n">
        <v>45716</v>
      </c>
      <c r="B218" s="8" t="s">
        <v>587</v>
      </c>
      <c r="C218" s="8" t="s">
        <v>313</v>
      </c>
      <c r="D218" s="8" t="s">
        <v>440</v>
      </c>
      <c r="E218" s="9" t="n">
        <v>-41.79</v>
      </c>
      <c r="F218" s="8" t="s">
        <v>30</v>
      </c>
    </row>
    <row r="219" customFormat="false" ht="15" hidden="false" customHeight="true" outlineLevel="0" collapsed="false">
      <c r="A219" s="34" t="n">
        <v>45716</v>
      </c>
      <c r="B219" s="8" t="s">
        <v>588</v>
      </c>
      <c r="C219" s="8" t="s">
        <v>310</v>
      </c>
      <c r="D219" s="8" t="s">
        <v>319</v>
      </c>
      <c r="E219" s="9" t="n">
        <v>-66.18</v>
      </c>
      <c r="F219" s="8" t="s">
        <v>13</v>
      </c>
    </row>
    <row r="220" customFormat="false" ht="15" hidden="false" customHeight="true" outlineLevel="0" collapsed="false">
      <c r="A220" s="34" t="n">
        <v>45716</v>
      </c>
      <c r="B220" s="8" t="s">
        <v>589</v>
      </c>
      <c r="C220" s="8" t="s">
        <v>361</v>
      </c>
      <c r="D220" s="8"/>
      <c r="E220" s="9" t="n">
        <v>95044</v>
      </c>
      <c r="F220" s="8" t="s">
        <v>335</v>
      </c>
    </row>
    <row r="221" customFormat="false" ht="15" hidden="false" customHeight="true" outlineLevel="0" collapsed="false">
      <c r="A221" s="34" t="n">
        <v>45719</v>
      </c>
      <c r="B221" s="8" t="s">
        <v>590</v>
      </c>
      <c r="C221" s="8" t="s">
        <v>310</v>
      </c>
      <c r="D221" s="8" t="s">
        <v>316</v>
      </c>
      <c r="E221" s="9" t="n">
        <v>-872.67</v>
      </c>
      <c r="F221" s="8" t="s">
        <v>19</v>
      </c>
    </row>
    <row r="222" customFormat="false" ht="15" hidden="false" customHeight="true" outlineLevel="0" collapsed="false">
      <c r="A222" s="34" t="n">
        <v>45719</v>
      </c>
      <c r="B222" s="8" t="s">
        <v>591</v>
      </c>
      <c r="C222" s="8" t="s">
        <v>313</v>
      </c>
      <c r="D222" s="8" t="s">
        <v>344</v>
      </c>
      <c r="E222" s="9" t="n">
        <v>-7.35</v>
      </c>
      <c r="F222" s="8" t="s">
        <v>13</v>
      </c>
    </row>
    <row r="223" customFormat="false" ht="15" hidden="false" customHeight="true" outlineLevel="0" collapsed="false">
      <c r="A223" s="34" t="n">
        <v>45719</v>
      </c>
      <c r="B223" s="8" t="s">
        <v>592</v>
      </c>
      <c r="C223" s="8" t="s">
        <v>310</v>
      </c>
      <c r="D223" s="8" t="s">
        <v>317</v>
      </c>
      <c r="E223" s="9" t="n">
        <v>-987.42</v>
      </c>
      <c r="F223" s="8" t="s">
        <v>22</v>
      </c>
    </row>
    <row r="224" customFormat="false" ht="15" hidden="false" customHeight="true" outlineLevel="0" collapsed="false">
      <c r="A224" s="34" t="n">
        <v>45719</v>
      </c>
      <c r="B224" s="8" t="s">
        <v>593</v>
      </c>
      <c r="C224" s="8" t="s">
        <v>313</v>
      </c>
      <c r="D224" s="8" t="s">
        <v>329</v>
      </c>
      <c r="E224" s="9" t="n">
        <v>-107.64</v>
      </c>
      <c r="F224" s="8" t="s">
        <v>20</v>
      </c>
    </row>
    <row r="225" customFormat="false" ht="15" hidden="false" customHeight="true" outlineLevel="0" collapsed="false">
      <c r="A225" s="34" t="n">
        <v>45719</v>
      </c>
      <c r="B225" s="8" t="s">
        <v>594</v>
      </c>
      <c r="C225" s="8" t="s">
        <v>313</v>
      </c>
      <c r="D225" s="8" t="s">
        <v>344</v>
      </c>
      <c r="E225" s="9" t="n">
        <v>-7.96</v>
      </c>
      <c r="F225" s="8" t="s">
        <v>13</v>
      </c>
    </row>
    <row r="226" customFormat="false" ht="15" hidden="false" customHeight="true" outlineLevel="0" collapsed="false">
      <c r="A226" s="34" t="n">
        <v>45719</v>
      </c>
      <c r="B226" s="8" t="s">
        <v>595</v>
      </c>
      <c r="C226" s="8" t="s">
        <v>367</v>
      </c>
      <c r="D226" s="8" t="s">
        <v>596</v>
      </c>
      <c r="E226" s="9" t="n">
        <v>-22865.4</v>
      </c>
      <c r="F226" s="8" t="s">
        <v>10</v>
      </c>
    </row>
    <row r="227" customFormat="false" ht="15" hidden="false" customHeight="true" outlineLevel="0" collapsed="false">
      <c r="A227" s="34" t="n">
        <v>45719</v>
      </c>
      <c r="B227" s="8" t="s">
        <v>594</v>
      </c>
      <c r="C227" s="8" t="s">
        <v>313</v>
      </c>
      <c r="D227" s="8" t="s">
        <v>344</v>
      </c>
      <c r="E227" s="9" t="n">
        <v>-7.96</v>
      </c>
      <c r="F227" s="8" t="s">
        <v>13</v>
      </c>
    </row>
    <row r="228" customFormat="false" ht="15" hidden="false" customHeight="true" outlineLevel="0" collapsed="false">
      <c r="A228" s="34" t="n">
        <v>45719</v>
      </c>
      <c r="B228" s="8" t="s">
        <v>597</v>
      </c>
      <c r="C228" s="8" t="s">
        <v>333</v>
      </c>
      <c r="D228" s="8" t="s">
        <v>334</v>
      </c>
      <c r="E228" s="9" t="n">
        <v>126.61</v>
      </c>
      <c r="F228" s="8" t="s">
        <v>335</v>
      </c>
    </row>
    <row r="229" customFormat="false" ht="15" hidden="false" customHeight="true" outlineLevel="0" collapsed="false">
      <c r="A229" s="34" t="n">
        <v>45719</v>
      </c>
      <c r="B229" s="8" t="s">
        <v>598</v>
      </c>
      <c r="C229" s="8" t="s">
        <v>313</v>
      </c>
      <c r="D229" s="8" t="s">
        <v>450</v>
      </c>
      <c r="E229" s="9" t="n">
        <v>-55.84</v>
      </c>
      <c r="F229" s="8" t="s">
        <v>20</v>
      </c>
    </row>
    <row r="230" customFormat="false" ht="15" hidden="false" customHeight="true" outlineLevel="0" collapsed="false">
      <c r="A230" s="34" t="n">
        <v>45720</v>
      </c>
      <c r="B230" s="8" t="s">
        <v>599</v>
      </c>
      <c r="C230" s="8" t="s">
        <v>313</v>
      </c>
      <c r="D230" s="8" t="s">
        <v>344</v>
      </c>
      <c r="E230" s="9" t="n">
        <v>-35.75</v>
      </c>
      <c r="F230" s="8" t="s">
        <v>13</v>
      </c>
    </row>
    <row r="231" customFormat="false" ht="15" hidden="false" customHeight="true" outlineLevel="0" collapsed="false">
      <c r="A231" s="34" t="n">
        <v>45720</v>
      </c>
      <c r="B231" s="8" t="s">
        <v>600</v>
      </c>
      <c r="C231" s="8" t="s">
        <v>367</v>
      </c>
      <c r="D231" s="8" t="s">
        <v>601</v>
      </c>
      <c r="E231" s="9" t="n">
        <v>-50000</v>
      </c>
      <c r="F231" s="8" t="s">
        <v>10</v>
      </c>
    </row>
    <row r="232" customFormat="false" ht="15" hidden="false" customHeight="true" outlineLevel="0" collapsed="false">
      <c r="A232" s="34" t="n">
        <v>45720</v>
      </c>
      <c r="B232" s="8" t="s">
        <v>602</v>
      </c>
      <c r="C232" s="8" t="s">
        <v>313</v>
      </c>
      <c r="D232" s="8" t="s">
        <v>603</v>
      </c>
      <c r="E232" s="9" t="n">
        <v>-216.6</v>
      </c>
      <c r="F232" s="8" t="s">
        <v>18</v>
      </c>
    </row>
    <row r="233" customFormat="false" ht="15" hidden="false" customHeight="true" outlineLevel="0" collapsed="false">
      <c r="A233" s="34" t="n">
        <v>45720</v>
      </c>
      <c r="B233" s="8" t="s">
        <v>323</v>
      </c>
      <c r="C233" s="8" t="s">
        <v>324</v>
      </c>
      <c r="D233" s="8" t="s">
        <v>325</v>
      </c>
      <c r="E233" s="9" t="n">
        <v>-42</v>
      </c>
      <c r="F233" s="8" t="s">
        <v>25</v>
      </c>
    </row>
    <row r="234" customFormat="false" ht="15" hidden="false" customHeight="true" outlineLevel="0" collapsed="false">
      <c r="A234" s="34" t="n">
        <v>45720</v>
      </c>
      <c r="B234" s="8" t="s">
        <v>604</v>
      </c>
      <c r="C234" s="8" t="s">
        <v>313</v>
      </c>
      <c r="D234" s="8" t="s">
        <v>605</v>
      </c>
      <c r="E234" s="9" t="n">
        <v>-166</v>
      </c>
      <c r="F234" s="8" t="s">
        <v>30</v>
      </c>
    </row>
    <row r="235" customFormat="false" ht="15" hidden="false" customHeight="true" outlineLevel="0" collapsed="false">
      <c r="A235" s="34" t="n">
        <v>45721</v>
      </c>
      <c r="B235" s="8" t="s">
        <v>606</v>
      </c>
      <c r="C235" s="8" t="s">
        <v>310</v>
      </c>
      <c r="D235" s="8" t="s">
        <v>311</v>
      </c>
      <c r="E235" s="9" t="n">
        <v>-79</v>
      </c>
      <c r="F235" s="8" t="s">
        <v>26</v>
      </c>
    </row>
    <row r="236" customFormat="false" ht="15" hidden="false" customHeight="true" outlineLevel="0" collapsed="false">
      <c r="A236" s="34" t="n">
        <v>45722</v>
      </c>
      <c r="B236" s="8" t="s">
        <v>607</v>
      </c>
      <c r="C236" s="8" t="s">
        <v>333</v>
      </c>
      <c r="D236" s="8" t="s">
        <v>334</v>
      </c>
      <c r="E236" s="9" t="n">
        <v>126.61</v>
      </c>
      <c r="F236" s="8" t="s">
        <v>335</v>
      </c>
    </row>
    <row r="237" customFormat="false" ht="15" hidden="false" customHeight="true" outlineLevel="0" collapsed="false">
      <c r="A237" s="34" t="n">
        <v>45722</v>
      </c>
      <c r="B237" s="8" t="s">
        <v>327</v>
      </c>
      <c r="C237" s="8" t="s">
        <v>313</v>
      </c>
      <c r="D237" s="8" t="s">
        <v>33</v>
      </c>
      <c r="E237" s="9" t="n">
        <v>-70.62</v>
      </c>
      <c r="F237" s="8" t="s">
        <v>19</v>
      </c>
    </row>
    <row r="238" customFormat="false" ht="15" hidden="false" customHeight="true" outlineLevel="0" collapsed="false">
      <c r="A238" s="34" t="n">
        <v>45722</v>
      </c>
      <c r="B238" s="8" t="s">
        <v>608</v>
      </c>
      <c r="C238" s="8" t="s">
        <v>313</v>
      </c>
      <c r="D238" s="8" t="s">
        <v>337</v>
      </c>
      <c r="E238" s="9" t="n">
        <v>-60</v>
      </c>
      <c r="F238" s="8" t="s">
        <v>19</v>
      </c>
    </row>
    <row r="239" customFormat="false" ht="15" hidden="false" customHeight="true" outlineLevel="0" collapsed="false">
      <c r="A239" s="34" t="n">
        <v>45723</v>
      </c>
      <c r="B239" s="8" t="s">
        <v>609</v>
      </c>
      <c r="C239" s="8" t="s">
        <v>310</v>
      </c>
      <c r="D239" s="8" t="s">
        <v>317</v>
      </c>
      <c r="E239" s="9" t="n">
        <v>-238.84</v>
      </c>
      <c r="F239" s="8" t="s">
        <v>22</v>
      </c>
    </row>
    <row r="240" customFormat="false" ht="15" hidden="false" customHeight="true" outlineLevel="0" collapsed="false">
      <c r="A240" s="34" t="n">
        <v>45723</v>
      </c>
      <c r="B240" s="8" t="s">
        <v>397</v>
      </c>
      <c r="C240" s="8" t="s">
        <v>313</v>
      </c>
      <c r="D240" s="8" t="s">
        <v>346</v>
      </c>
      <c r="E240" s="9" t="n">
        <v>-10.7</v>
      </c>
      <c r="F240" s="8" t="s">
        <v>19</v>
      </c>
    </row>
    <row r="241" customFormat="false" ht="15" hidden="false" customHeight="true" outlineLevel="0" collapsed="false">
      <c r="A241" s="34" t="n">
        <v>45723</v>
      </c>
      <c r="B241" s="8" t="s">
        <v>610</v>
      </c>
      <c r="C241" s="8" t="s">
        <v>367</v>
      </c>
      <c r="D241" s="8" t="s">
        <v>368</v>
      </c>
      <c r="E241" s="9" t="n">
        <v>-9896.52</v>
      </c>
      <c r="F241" s="8" t="s">
        <v>11</v>
      </c>
    </row>
    <row r="242" customFormat="false" ht="15" hidden="false" customHeight="true" outlineLevel="0" collapsed="false">
      <c r="A242" s="34" t="n">
        <v>45723</v>
      </c>
      <c r="B242" s="8" t="s">
        <v>611</v>
      </c>
      <c r="C242" s="8" t="s">
        <v>313</v>
      </c>
      <c r="D242" s="8" t="s">
        <v>346</v>
      </c>
      <c r="E242" s="9" t="n">
        <v>-10.7</v>
      </c>
      <c r="F242" s="8" t="s">
        <v>19</v>
      </c>
    </row>
    <row r="243" customFormat="false" ht="15" hidden="false" customHeight="true" outlineLevel="0" collapsed="false">
      <c r="A243" s="34" t="n">
        <v>45726</v>
      </c>
      <c r="B243" s="8" t="s">
        <v>612</v>
      </c>
      <c r="C243" s="8" t="s">
        <v>367</v>
      </c>
      <c r="D243" s="8" t="s">
        <v>386</v>
      </c>
      <c r="E243" s="9" t="n">
        <v>-6000</v>
      </c>
      <c r="F243" s="8" t="s">
        <v>16</v>
      </c>
    </row>
    <row r="244" customFormat="false" ht="15" hidden="false" customHeight="true" outlineLevel="0" collapsed="false">
      <c r="A244" s="34" t="n">
        <v>45726</v>
      </c>
      <c r="B244" s="8" t="s">
        <v>613</v>
      </c>
      <c r="C244" s="8" t="s">
        <v>310</v>
      </c>
      <c r="D244" s="8" t="s">
        <v>311</v>
      </c>
      <c r="E244" s="9" t="n">
        <v>-125.16</v>
      </c>
      <c r="F244" s="8" t="s">
        <v>26</v>
      </c>
    </row>
    <row r="245" customFormat="false" ht="15" hidden="false" customHeight="true" outlineLevel="0" collapsed="false">
      <c r="A245" s="34" t="n">
        <v>45726</v>
      </c>
      <c r="B245" s="8" t="s">
        <v>614</v>
      </c>
      <c r="C245" s="8" t="s">
        <v>310</v>
      </c>
      <c r="D245" s="8" t="s">
        <v>348</v>
      </c>
      <c r="E245" s="9" t="n">
        <v>-132.36</v>
      </c>
      <c r="F245" s="8" t="s">
        <v>26</v>
      </c>
    </row>
    <row r="246" customFormat="false" ht="15" hidden="false" customHeight="true" outlineLevel="0" collapsed="false">
      <c r="A246" s="34" t="n">
        <v>45726</v>
      </c>
      <c r="B246" s="8" t="s">
        <v>615</v>
      </c>
      <c r="C246" s="8" t="s">
        <v>310</v>
      </c>
      <c r="D246" s="8" t="s">
        <v>497</v>
      </c>
      <c r="E246" s="9" t="n">
        <v>-19.24</v>
      </c>
      <c r="F246" s="8" t="s">
        <v>32</v>
      </c>
    </row>
    <row r="247" customFormat="false" ht="15" hidden="false" customHeight="true" outlineLevel="0" collapsed="false">
      <c r="A247" s="34" t="n">
        <v>45726</v>
      </c>
      <c r="B247" s="8" t="s">
        <v>616</v>
      </c>
      <c r="C247" s="8" t="s">
        <v>361</v>
      </c>
      <c r="D247" s="8" t="s">
        <v>379</v>
      </c>
      <c r="E247" s="9" t="n">
        <v>60000</v>
      </c>
      <c r="F247" s="8" t="s">
        <v>335</v>
      </c>
    </row>
    <row r="248" customFormat="false" ht="15" hidden="false" customHeight="true" outlineLevel="0" collapsed="false">
      <c r="A248" s="34" t="n">
        <v>45726</v>
      </c>
      <c r="B248" s="8" t="s">
        <v>616</v>
      </c>
      <c r="C248" s="8" t="s">
        <v>359</v>
      </c>
      <c r="D248" s="8" t="s">
        <v>360</v>
      </c>
      <c r="E248" s="9" t="n">
        <v>-1.2</v>
      </c>
      <c r="F248" s="8" t="s">
        <v>25</v>
      </c>
    </row>
    <row r="249" customFormat="false" ht="15" hidden="false" customHeight="true" outlineLevel="0" collapsed="false">
      <c r="A249" s="34" t="n">
        <v>45726</v>
      </c>
      <c r="B249" s="8" t="s">
        <v>617</v>
      </c>
      <c r="C249" s="8" t="s">
        <v>310</v>
      </c>
      <c r="D249" s="8" t="s">
        <v>618</v>
      </c>
      <c r="E249" s="9" t="n">
        <v>-88.66</v>
      </c>
      <c r="F249" s="8" t="s">
        <v>20</v>
      </c>
    </row>
    <row r="250" customFormat="false" ht="15" hidden="false" customHeight="true" outlineLevel="0" collapsed="false">
      <c r="A250" s="34" t="n">
        <v>45726</v>
      </c>
      <c r="B250" s="8" t="s">
        <v>619</v>
      </c>
      <c r="C250" s="8" t="s">
        <v>310</v>
      </c>
      <c r="D250" s="8" t="s">
        <v>355</v>
      </c>
      <c r="E250" s="9" t="n">
        <v>-67.36</v>
      </c>
      <c r="F250" s="8" t="s">
        <v>31</v>
      </c>
    </row>
    <row r="251" customFormat="false" ht="15" hidden="false" customHeight="true" outlineLevel="0" collapsed="false">
      <c r="A251" s="34" t="n">
        <v>45726</v>
      </c>
      <c r="B251" s="8" t="s">
        <v>620</v>
      </c>
      <c r="C251" s="8" t="s">
        <v>313</v>
      </c>
      <c r="D251" s="8" t="s">
        <v>621</v>
      </c>
      <c r="E251" s="9" t="n">
        <v>-420</v>
      </c>
      <c r="F251" s="8" t="s">
        <v>27</v>
      </c>
    </row>
    <row r="252" customFormat="false" ht="15" hidden="false" customHeight="true" outlineLevel="0" collapsed="false">
      <c r="A252" s="34" t="n">
        <v>45726</v>
      </c>
      <c r="B252" s="8" t="s">
        <v>622</v>
      </c>
      <c r="C252" s="8" t="s">
        <v>313</v>
      </c>
      <c r="D252" s="8" t="s">
        <v>623</v>
      </c>
      <c r="E252" s="9" t="n">
        <v>-1.3</v>
      </c>
      <c r="F252" s="8" t="s">
        <v>19</v>
      </c>
    </row>
    <row r="253" customFormat="false" ht="15" hidden="false" customHeight="true" outlineLevel="0" collapsed="false">
      <c r="A253" s="34" t="n">
        <v>45726</v>
      </c>
      <c r="B253" s="8" t="s">
        <v>624</v>
      </c>
      <c r="C253" s="8" t="s">
        <v>313</v>
      </c>
      <c r="D253" s="8" t="s">
        <v>623</v>
      </c>
      <c r="E253" s="9" t="n">
        <v>-2</v>
      </c>
      <c r="F253" s="8" t="s">
        <v>19</v>
      </c>
    </row>
    <row r="254" customFormat="false" ht="15" hidden="false" customHeight="true" outlineLevel="0" collapsed="false">
      <c r="A254" s="34" t="n">
        <v>45726</v>
      </c>
      <c r="B254" s="8" t="s">
        <v>624</v>
      </c>
      <c r="C254" s="8" t="s">
        <v>313</v>
      </c>
      <c r="D254" s="8" t="s">
        <v>623</v>
      </c>
      <c r="E254" s="9" t="n">
        <v>-4.7</v>
      </c>
      <c r="F254" s="8" t="s">
        <v>19</v>
      </c>
    </row>
    <row r="255" customFormat="false" ht="15" hidden="false" customHeight="true" outlineLevel="0" collapsed="false">
      <c r="A255" s="34" t="n">
        <v>45727</v>
      </c>
      <c r="B255" s="8" t="s">
        <v>625</v>
      </c>
      <c r="C255" s="8" t="s">
        <v>367</v>
      </c>
      <c r="D255" s="8" t="s">
        <v>443</v>
      </c>
      <c r="E255" s="9" t="n">
        <v>-295</v>
      </c>
      <c r="F255" s="8" t="s">
        <v>17</v>
      </c>
    </row>
    <row r="256" customFormat="false" ht="15" hidden="false" customHeight="true" outlineLevel="0" collapsed="false">
      <c r="A256" s="34" t="n">
        <v>45727</v>
      </c>
      <c r="B256" s="8" t="s">
        <v>626</v>
      </c>
      <c r="C256" s="8" t="s">
        <v>367</v>
      </c>
      <c r="D256" s="8" t="s">
        <v>409</v>
      </c>
      <c r="E256" s="9" t="n">
        <v>-18250</v>
      </c>
      <c r="F256" s="8" t="s">
        <v>10</v>
      </c>
    </row>
    <row r="257" customFormat="false" ht="15" hidden="false" customHeight="true" outlineLevel="0" collapsed="false">
      <c r="A257" s="34" t="n">
        <v>45728</v>
      </c>
      <c r="B257" s="8" t="s">
        <v>627</v>
      </c>
      <c r="C257" s="8" t="s">
        <v>313</v>
      </c>
      <c r="D257" s="8" t="s">
        <v>460</v>
      </c>
      <c r="E257" s="9" t="n">
        <v>-350.21</v>
      </c>
      <c r="F257" s="8" t="s">
        <v>18</v>
      </c>
    </row>
    <row r="258" customFormat="false" ht="15" hidden="false" customHeight="true" outlineLevel="0" collapsed="false">
      <c r="A258" s="34" t="n">
        <v>45729</v>
      </c>
      <c r="B258" s="8" t="s">
        <v>628</v>
      </c>
      <c r="C258" s="8" t="s">
        <v>359</v>
      </c>
      <c r="D258" s="8" t="s">
        <v>360</v>
      </c>
      <c r="E258" s="9" t="n">
        <v>-1.2</v>
      </c>
      <c r="F258" s="8" t="s">
        <v>25</v>
      </c>
    </row>
    <row r="259" customFormat="false" ht="15" hidden="false" customHeight="true" outlineLevel="0" collapsed="false">
      <c r="A259" s="34" t="n">
        <v>45729</v>
      </c>
      <c r="B259" s="8" t="s">
        <v>628</v>
      </c>
      <c r="C259" s="8" t="s">
        <v>629</v>
      </c>
      <c r="D259" s="8"/>
      <c r="E259" s="9" t="n">
        <v>-21.5</v>
      </c>
      <c r="F259" s="8" t="s">
        <v>25</v>
      </c>
    </row>
    <row r="260" customFormat="false" ht="15" hidden="false" customHeight="true" outlineLevel="0" collapsed="false">
      <c r="A260" s="34" t="n">
        <v>45729</v>
      </c>
      <c r="B260" s="8" t="s">
        <v>628</v>
      </c>
      <c r="C260" s="8" t="s">
        <v>361</v>
      </c>
      <c r="D260" s="8" t="s">
        <v>630</v>
      </c>
      <c r="E260" s="9" t="n">
        <v>4581.27</v>
      </c>
      <c r="F260" s="8" t="s">
        <v>335</v>
      </c>
    </row>
    <row r="261" customFormat="false" ht="15" hidden="false" customHeight="true" outlineLevel="0" collapsed="false">
      <c r="A261" s="34" t="n">
        <v>45729</v>
      </c>
      <c r="B261" s="8" t="s">
        <v>628</v>
      </c>
      <c r="C261" s="8" t="s">
        <v>631</v>
      </c>
      <c r="D261" s="8" t="s">
        <v>632</v>
      </c>
      <c r="E261" s="9" t="n">
        <v>-14.64</v>
      </c>
      <c r="F261" s="8" t="s">
        <v>25</v>
      </c>
    </row>
    <row r="262" customFormat="false" ht="15" hidden="false" customHeight="true" outlineLevel="0" collapsed="false">
      <c r="A262" s="34" t="n">
        <v>45729</v>
      </c>
      <c r="B262" s="8" t="s">
        <v>633</v>
      </c>
      <c r="C262" s="8" t="s">
        <v>313</v>
      </c>
      <c r="D262" s="8" t="s">
        <v>33</v>
      </c>
      <c r="E262" s="9" t="n">
        <v>-92.95</v>
      </c>
      <c r="F262" s="8" t="s">
        <v>19</v>
      </c>
    </row>
    <row r="263" customFormat="false" ht="15" hidden="false" customHeight="true" outlineLevel="0" collapsed="false">
      <c r="A263" s="34" t="n">
        <v>45729</v>
      </c>
      <c r="B263" s="8" t="s">
        <v>634</v>
      </c>
      <c r="C263" s="8" t="s">
        <v>310</v>
      </c>
      <c r="D263" s="8" t="s">
        <v>352</v>
      </c>
      <c r="E263" s="9" t="n">
        <v>-420</v>
      </c>
      <c r="F263" s="8" t="s">
        <v>23</v>
      </c>
    </row>
    <row r="264" customFormat="false" ht="15" hidden="false" customHeight="true" outlineLevel="0" collapsed="false">
      <c r="A264" s="34" t="n">
        <v>45730</v>
      </c>
      <c r="B264" s="8" t="s">
        <v>511</v>
      </c>
      <c r="C264" s="8" t="s">
        <v>375</v>
      </c>
      <c r="D264" s="8" t="s">
        <v>376</v>
      </c>
      <c r="E264" s="9" t="n">
        <v>-24.03</v>
      </c>
      <c r="F264" s="8" t="s">
        <v>25</v>
      </c>
    </row>
    <row r="265" customFormat="false" ht="15" hidden="false" customHeight="true" outlineLevel="0" collapsed="false">
      <c r="A265" s="34" t="n">
        <v>45730</v>
      </c>
      <c r="B265" s="8" t="s">
        <v>635</v>
      </c>
      <c r="C265" s="8" t="s">
        <v>313</v>
      </c>
      <c r="D265" s="8" t="s">
        <v>337</v>
      </c>
      <c r="E265" s="9" t="n">
        <v>-77.71</v>
      </c>
      <c r="F265" s="8" t="s">
        <v>19</v>
      </c>
    </row>
    <row r="266" customFormat="false" ht="15" hidden="false" customHeight="true" outlineLevel="0" collapsed="false">
      <c r="A266" s="34" t="n">
        <v>45730</v>
      </c>
      <c r="B266" s="8" t="s">
        <v>636</v>
      </c>
      <c r="C266" s="8" t="s">
        <v>367</v>
      </c>
      <c r="D266" s="8" t="s">
        <v>601</v>
      </c>
      <c r="E266" s="9" t="n">
        <v>-36184</v>
      </c>
      <c r="F266" s="8" t="s">
        <v>10</v>
      </c>
    </row>
    <row r="267" customFormat="false" ht="15" hidden="false" customHeight="true" outlineLevel="0" collapsed="false">
      <c r="A267" s="34" t="n">
        <v>45731</v>
      </c>
      <c r="B267" s="8" t="s">
        <v>637</v>
      </c>
      <c r="C267" s="8" t="s">
        <v>434</v>
      </c>
      <c r="D267" s="8" t="s">
        <v>638</v>
      </c>
      <c r="E267" s="9" t="n">
        <v>1511</v>
      </c>
      <c r="F267" s="8" t="s">
        <v>335</v>
      </c>
    </row>
    <row r="268" customFormat="false" ht="15" hidden="false" customHeight="true" outlineLevel="0" collapsed="false">
      <c r="A268" s="34" t="n">
        <v>45733</v>
      </c>
      <c r="B268" s="8" t="s">
        <v>639</v>
      </c>
      <c r="C268" s="8" t="s">
        <v>361</v>
      </c>
      <c r="D268" s="8" t="s">
        <v>630</v>
      </c>
      <c r="E268" s="9" t="n">
        <v>6549.9</v>
      </c>
      <c r="F268" s="8" t="s">
        <v>335</v>
      </c>
    </row>
    <row r="269" customFormat="false" ht="15" hidden="false" customHeight="true" outlineLevel="0" collapsed="false">
      <c r="A269" s="34" t="n">
        <v>45733</v>
      </c>
      <c r="B269" s="8" t="s">
        <v>640</v>
      </c>
      <c r="C269" s="8" t="s">
        <v>313</v>
      </c>
      <c r="D269" s="8" t="s">
        <v>346</v>
      </c>
      <c r="E269" s="9" t="n">
        <v>-10.7</v>
      </c>
      <c r="F269" s="8" t="s">
        <v>19</v>
      </c>
    </row>
    <row r="270" customFormat="false" ht="15" hidden="false" customHeight="true" outlineLevel="0" collapsed="false">
      <c r="A270" s="34" t="n">
        <v>45733</v>
      </c>
      <c r="B270" s="8" t="s">
        <v>641</v>
      </c>
      <c r="C270" s="8" t="s">
        <v>313</v>
      </c>
      <c r="D270" s="8" t="s">
        <v>33</v>
      </c>
      <c r="E270" s="9" t="n">
        <v>-48.17</v>
      </c>
      <c r="F270" s="8" t="s">
        <v>19</v>
      </c>
    </row>
    <row r="271" customFormat="false" ht="15" hidden="false" customHeight="true" outlineLevel="0" collapsed="false">
      <c r="A271" s="34" t="n">
        <v>45733</v>
      </c>
      <c r="B271" s="8" t="s">
        <v>356</v>
      </c>
      <c r="C271" s="8" t="s">
        <v>384</v>
      </c>
      <c r="D271" s="8"/>
      <c r="E271" s="9" t="n">
        <v>-7.69</v>
      </c>
      <c r="F271" s="8" t="s">
        <v>25</v>
      </c>
    </row>
    <row r="272" customFormat="false" ht="15" hidden="false" customHeight="true" outlineLevel="0" collapsed="false">
      <c r="A272" s="34" t="n">
        <v>45733</v>
      </c>
      <c r="B272" s="8" t="s">
        <v>639</v>
      </c>
      <c r="C272" s="8" t="s">
        <v>631</v>
      </c>
      <c r="D272" s="8" t="s">
        <v>632</v>
      </c>
      <c r="E272" s="9" t="n">
        <v>-14.64</v>
      </c>
      <c r="F272" s="8" t="s">
        <v>25</v>
      </c>
    </row>
    <row r="273" customFormat="false" ht="15" hidden="false" customHeight="true" outlineLevel="0" collapsed="false">
      <c r="A273" s="34" t="n">
        <v>45733</v>
      </c>
      <c r="B273" s="8" t="s">
        <v>642</v>
      </c>
      <c r="C273" s="8" t="s">
        <v>313</v>
      </c>
      <c r="D273" s="8" t="s">
        <v>364</v>
      </c>
      <c r="E273" s="9" t="n">
        <v>-41.03</v>
      </c>
      <c r="F273" s="8" t="s">
        <v>20</v>
      </c>
    </row>
    <row r="274" customFormat="false" ht="15" hidden="false" customHeight="true" outlineLevel="0" collapsed="false">
      <c r="A274" s="34" t="n">
        <v>45733</v>
      </c>
      <c r="B274" s="8" t="s">
        <v>639</v>
      </c>
      <c r="C274" s="8" t="s">
        <v>629</v>
      </c>
      <c r="D274" s="8"/>
      <c r="E274" s="9" t="n">
        <v>-21.5</v>
      </c>
      <c r="F274" s="8" t="s">
        <v>25</v>
      </c>
    </row>
    <row r="275" customFormat="false" ht="15" hidden="false" customHeight="true" outlineLevel="0" collapsed="false">
      <c r="A275" s="34" t="n">
        <v>45733</v>
      </c>
      <c r="B275" s="8" t="s">
        <v>643</v>
      </c>
      <c r="C275" s="8" t="s">
        <v>361</v>
      </c>
      <c r="D275" s="8" t="s">
        <v>644</v>
      </c>
      <c r="E275" s="9" t="n">
        <v>19024.3</v>
      </c>
      <c r="F275" s="8" t="s">
        <v>335</v>
      </c>
    </row>
    <row r="276" customFormat="false" ht="15" hidden="false" customHeight="true" outlineLevel="0" collapsed="false">
      <c r="A276" s="34" t="n">
        <v>45733</v>
      </c>
      <c r="B276" s="8" t="s">
        <v>645</v>
      </c>
      <c r="C276" s="8" t="s">
        <v>310</v>
      </c>
      <c r="D276" s="8" t="s">
        <v>400</v>
      </c>
      <c r="E276" s="9" t="n">
        <v>-88.99</v>
      </c>
      <c r="F276" s="8" t="s">
        <v>20</v>
      </c>
    </row>
    <row r="277" customFormat="false" ht="15" hidden="false" customHeight="true" outlineLevel="0" collapsed="false">
      <c r="A277" s="34" t="n">
        <v>45733</v>
      </c>
      <c r="B277" s="8" t="s">
        <v>646</v>
      </c>
      <c r="C277" s="8" t="s">
        <v>411</v>
      </c>
      <c r="D277" s="8" t="s">
        <v>647</v>
      </c>
      <c r="E277" s="9" t="n">
        <v>-150</v>
      </c>
      <c r="F277" s="8" t="s">
        <v>15</v>
      </c>
    </row>
    <row r="278" customFormat="false" ht="15" hidden="false" customHeight="true" outlineLevel="0" collapsed="false">
      <c r="A278" s="34" t="n">
        <v>45733</v>
      </c>
      <c r="B278" s="8" t="s">
        <v>642</v>
      </c>
      <c r="C278" s="8" t="s">
        <v>365</v>
      </c>
      <c r="D278" s="8" t="s">
        <v>364</v>
      </c>
      <c r="E278" s="9" t="n">
        <v>-0.61</v>
      </c>
      <c r="F278" s="8" t="s">
        <v>25</v>
      </c>
    </row>
    <row r="279" customFormat="false" ht="15" hidden="false" customHeight="true" outlineLevel="0" collapsed="false">
      <c r="A279" s="34" t="n">
        <v>45733</v>
      </c>
      <c r="B279" s="8" t="s">
        <v>639</v>
      </c>
      <c r="C279" s="8" t="s">
        <v>359</v>
      </c>
      <c r="D279" s="8" t="s">
        <v>360</v>
      </c>
      <c r="E279" s="9" t="n">
        <v>-1.2</v>
      </c>
      <c r="F279" s="8" t="s">
        <v>25</v>
      </c>
    </row>
    <row r="280" customFormat="false" ht="15" hidden="false" customHeight="true" outlineLevel="0" collapsed="false">
      <c r="A280" s="34" t="n">
        <v>45733</v>
      </c>
      <c r="B280" s="8" t="s">
        <v>643</v>
      </c>
      <c r="C280" s="8" t="s">
        <v>359</v>
      </c>
      <c r="D280" s="8" t="s">
        <v>360</v>
      </c>
      <c r="E280" s="9" t="n">
        <v>-1.2</v>
      </c>
      <c r="F280" s="8" t="s">
        <v>25</v>
      </c>
    </row>
    <row r="281" customFormat="false" ht="15" hidden="false" customHeight="true" outlineLevel="0" collapsed="false">
      <c r="A281" s="34" t="n">
        <v>45733</v>
      </c>
      <c r="B281" s="8" t="s">
        <v>648</v>
      </c>
      <c r="C281" s="8" t="s">
        <v>313</v>
      </c>
      <c r="D281" s="8" t="s">
        <v>346</v>
      </c>
      <c r="E281" s="9" t="n">
        <v>-12.4</v>
      </c>
      <c r="F281" s="8" t="s">
        <v>19</v>
      </c>
    </row>
    <row r="282" customFormat="false" ht="15" hidden="false" customHeight="true" outlineLevel="0" collapsed="false">
      <c r="A282" s="34" t="n">
        <v>45734</v>
      </c>
      <c r="B282" s="8" t="s">
        <v>649</v>
      </c>
      <c r="C282" s="8" t="s">
        <v>313</v>
      </c>
      <c r="D282" s="8" t="s">
        <v>466</v>
      </c>
      <c r="E282" s="9" t="n">
        <v>-1.7</v>
      </c>
      <c r="F282" s="8" t="s">
        <v>19</v>
      </c>
    </row>
    <row r="283" customFormat="false" ht="15" hidden="false" customHeight="true" outlineLevel="0" collapsed="false">
      <c r="A283" s="34" t="n">
        <v>45734</v>
      </c>
      <c r="B283" s="8" t="s">
        <v>650</v>
      </c>
      <c r="C283" s="8" t="s">
        <v>310</v>
      </c>
      <c r="D283" s="8" t="s">
        <v>390</v>
      </c>
      <c r="E283" s="9" t="n">
        <v>-2767</v>
      </c>
      <c r="F283" s="8" t="s">
        <v>15</v>
      </c>
    </row>
    <row r="284" customFormat="false" ht="15" hidden="false" customHeight="true" outlineLevel="0" collapsed="false">
      <c r="A284" s="34" t="n">
        <v>45734</v>
      </c>
      <c r="B284" s="8" t="s">
        <v>651</v>
      </c>
      <c r="C284" s="8" t="s">
        <v>313</v>
      </c>
      <c r="D284" s="8" t="s">
        <v>466</v>
      </c>
      <c r="E284" s="9" t="n">
        <v>-1.7</v>
      </c>
      <c r="F284" s="8" t="s">
        <v>19</v>
      </c>
    </row>
    <row r="285" customFormat="false" ht="15" hidden="false" customHeight="true" outlineLevel="0" collapsed="false">
      <c r="A285" s="34" t="n">
        <v>45734</v>
      </c>
      <c r="B285" s="8" t="s">
        <v>652</v>
      </c>
      <c r="C285" s="8" t="s">
        <v>313</v>
      </c>
      <c r="D285" s="8" t="s">
        <v>621</v>
      </c>
      <c r="E285" s="9" t="n">
        <v>-420</v>
      </c>
      <c r="F285" s="8" t="s">
        <v>27</v>
      </c>
    </row>
    <row r="286" customFormat="false" ht="15" hidden="false" customHeight="true" outlineLevel="0" collapsed="false">
      <c r="A286" s="34" t="n">
        <v>45735</v>
      </c>
      <c r="B286" s="8" t="s">
        <v>653</v>
      </c>
      <c r="C286" s="8" t="s">
        <v>359</v>
      </c>
      <c r="D286" s="8" t="s">
        <v>360</v>
      </c>
      <c r="E286" s="9" t="n">
        <v>-1.2</v>
      </c>
      <c r="F286" s="8" t="s">
        <v>25</v>
      </c>
    </row>
    <row r="287" customFormat="false" ht="15" hidden="false" customHeight="true" outlineLevel="0" collapsed="false">
      <c r="A287" s="34" t="n">
        <v>45735</v>
      </c>
      <c r="B287" s="8" t="s">
        <v>654</v>
      </c>
      <c r="C287" s="8" t="s">
        <v>313</v>
      </c>
      <c r="D287" s="8" t="s">
        <v>655</v>
      </c>
      <c r="E287" s="9" t="n">
        <v>-116</v>
      </c>
      <c r="F287" s="8" t="s">
        <v>17</v>
      </c>
    </row>
    <row r="288" customFormat="false" ht="15" hidden="false" customHeight="true" outlineLevel="0" collapsed="false">
      <c r="A288" s="34" t="n">
        <v>45735</v>
      </c>
      <c r="B288" s="8" t="s">
        <v>656</v>
      </c>
      <c r="C288" s="8" t="s">
        <v>380</v>
      </c>
      <c r="D288" s="8" t="s">
        <v>657</v>
      </c>
      <c r="E288" s="9" t="n">
        <v>-25738.1</v>
      </c>
      <c r="F288" s="8" t="s">
        <v>12</v>
      </c>
    </row>
    <row r="289" customFormat="false" ht="15" hidden="false" customHeight="true" outlineLevel="0" collapsed="false">
      <c r="A289" s="34" t="n">
        <v>45735</v>
      </c>
      <c r="B289" s="8" t="s">
        <v>656</v>
      </c>
      <c r="C289" s="8" t="s">
        <v>377</v>
      </c>
      <c r="D289" s="8" t="s">
        <v>378</v>
      </c>
      <c r="E289" s="9" t="n">
        <v>-28.2</v>
      </c>
      <c r="F289" s="8" t="s">
        <v>25</v>
      </c>
    </row>
    <row r="290" customFormat="false" ht="15" hidden="false" customHeight="true" outlineLevel="0" collapsed="false">
      <c r="A290" s="34" t="n">
        <v>45735</v>
      </c>
      <c r="B290" s="8" t="s">
        <v>656</v>
      </c>
      <c r="C290" s="8" t="s">
        <v>382</v>
      </c>
      <c r="D290" s="8" t="s">
        <v>658</v>
      </c>
      <c r="E290" s="9" t="n">
        <v>-21.6</v>
      </c>
      <c r="F290" s="8" t="s">
        <v>25</v>
      </c>
    </row>
    <row r="291" customFormat="false" ht="15" hidden="false" customHeight="true" outlineLevel="0" collapsed="false">
      <c r="A291" s="34" t="n">
        <v>45735</v>
      </c>
      <c r="B291" s="8" t="s">
        <v>656</v>
      </c>
      <c r="C291" s="8" t="s">
        <v>359</v>
      </c>
      <c r="D291" s="8" t="s">
        <v>360</v>
      </c>
      <c r="E291" s="9" t="n">
        <v>-1.2</v>
      </c>
      <c r="F291" s="8" t="s">
        <v>25</v>
      </c>
    </row>
    <row r="292" customFormat="false" ht="15" hidden="false" customHeight="true" outlineLevel="0" collapsed="false">
      <c r="A292" s="34" t="n">
        <v>45735</v>
      </c>
      <c r="B292" s="8" t="s">
        <v>656</v>
      </c>
      <c r="C292" s="8" t="s">
        <v>373</v>
      </c>
      <c r="D292" s="8"/>
      <c r="E292" s="9" t="n">
        <v>-21.5</v>
      </c>
      <c r="F292" s="8" t="s">
        <v>25</v>
      </c>
    </row>
    <row r="293" customFormat="false" ht="15" hidden="false" customHeight="true" outlineLevel="0" collapsed="false">
      <c r="A293" s="34" t="n">
        <v>45735</v>
      </c>
      <c r="B293" s="8" t="s">
        <v>653</v>
      </c>
      <c r="C293" s="8" t="s">
        <v>361</v>
      </c>
      <c r="D293" s="8" t="s">
        <v>362</v>
      </c>
      <c r="E293" s="9" t="n">
        <v>20590</v>
      </c>
      <c r="F293" s="8" t="s">
        <v>335</v>
      </c>
    </row>
    <row r="294" customFormat="false" ht="15" hidden="false" customHeight="true" outlineLevel="0" collapsed="false">
      <c r="A294" s="34" t="n">
        <v>45736</v>
      </c>
      <c r="B294" s="8" t="s">
        <v>659</v>
      </c>
      <c r="C294" s="8" t="s">
        <v>313</v>
      </c>
      <c r="D294" s="8" t="s">
        <v>344</v>
      </c>
      <c r="E294" s="9" t="n">
        <v>-7.35</v>
      </c>
      <c r="F294" s="8" t="s">
        <v>13</v>
      </c>
    </row>
    <row r="295" customFormat="false" ht="15" hidden="false" customHeight="true" outlineLevel="0" collapsed="false">
      <c r="A295" s="34" t="n">
        <v>45737</v>
      </c>
      <c r="B295" s="8" t="s">
        <v>660</v>
      </c>
      <c r="C295" s="8" t="s">
        <v>367</v>
      </c>
      <c r="D295" s="8" t="s">
        <v>452</v>
      </c>
      <c r="E295" s="9" t="n">
        <v>-10464.8</v>
      </c>
      <c r="F295" s="8" t="s">
        <v>13</v>
      </c>
    </row>
    <row r="296" customFormat="false" ht="15" hidden="false" customHeight="true" outlineLevel="0" collapsed="false">
      <c r="A296" s="34" t="n">
        <v>45737</v>
      </c>
      <c r="B296" s="8" t="s">
        <v>661</v>
      </c>
      <c r="C296" s="8" t="s">
        <v>367</v>
      </c>
      <c r="D296" s="8" t="s">
        <v>596</v>
      </c>
      <c r="E296" s="9" t="n">
        <v>-3664.82</v>
      </c>
      <c r="F296" s="8" t="s">
        <v>10</v>
      </c>
    </row>
    <row r="297" customFormat="false" ht="15" hidden="false" customHeight="true" outlineLevel="0" collapsed="false">
      <c r="A297" s="34" t="n">
        <v>45740</v>
      </c>
      <c r="B297" s="8" t="s">
        <v>662</v>
      </c>
      <c r="C297" s="8" t="s">
        <v>313</v>
      </c>
      <c r="D297" s="8" t="s">
        <v>33</v>
      </c>
      <c r="E297" s="9" t="n">
        <v>-59.54</v>
      </c>
      <c r="F297" s="8" t="s">
        <v>19</v>
      </c>
    </row>
    <row r="298" customFormat="false" ht="15" hidden="false" customHeight="true" outlineLevel="0" collapsed="false">
      <c r="A298" s="34" t="n">
        <v>45741</v>
      </c>
      <c r="B298" s="8" t="s">
        <v>663</v>
      </c>
      <c r="C298" s="8" t="s">
        <v>414</v>
      </c>
      <c r="D298" s="8" t="s">
        <v>415</v>
      </c>
      <c r="E298" s="9" t="n">
        <v>-191</v>
      </c>
      <c r="F298" s="8" t="s">
        <v>15</v>
      </c>
    </row>
    <row r="299" customFormat="false" ht="15" hidden="false" customHeight="true" outlineLevel="0" collapsed="false">
      <c r="A299" s="34" t="n">
        <v>45741</v>
      </c>
      <c r="B299" s="8" t="s">
        <v>664</v>
      </c>
      <c r="C299" s="8" t="s">
        <v>313</v>
      </c>
      <c r="D299" s="8" t="s">
        <v>603</v>
      </c>
      <c r="E299" s="9" t="n">
        <v>-192.5</v>
      </c>
      <c r="F299" s="8" t="s">
        <v>18</v>
      </c>
    </row>
    <row r="300" customFormat="false" ht="15" hidden="false" customHeight="true" outlineLevel="0" collapsed="false">
      <c r="A300" s="34" t="n">
        <v>45741</v>
      </c>
      <c r="B300" s="8" t="s">
        <v>665</v>
      </c>
      <c r="C300" s="8" t="s">
        <v>310</v>
      </c>
      <c r="D300" s="8" t="s">
        <v>432</v>
      </c>
      <c r="E300" s="9" t="n">
        <v>-604.33</v>
      </c>
      <c r="F300" s="8" t="s">
        <v>15</v>
      </c>
    </row>
    <row r="301" customFormat="false" ht="15" hidden="false" customHeight="true" outlineLevel="0" collapsed="false">
      <c r="A301" s="34" t="n">
        <v>45741</v>
      </c>
      <c r="B301" s="8" t="s">
        <v>666</v>
      </c>
      <c r="C301" s="8" t="s">
        <v>313</v>
      </c>
      <c r="D301" s="8" t="s">
        <v>337</v>
      </c>
      <c r="E301" s="9" t="n">
        <v>-60</v>
      </c>
      <c r="F301" s="8" t="s">
        <v>19</v>
      </c>
    </row>
    <row r="302" customFormat="false" ht="15" hidden="false" customHeight="true" outlineLevel="0" collapsed="false">
      <c r="A302" s="34" t="n">
        <v>45741</v>
      </c>
      <c r="B302" s="8" t="s">
        <v>667</v>
      </c>
      <c r="C302" s="8" t="s">
        <v>310</v>
      </c>
      <c r="D302" s="8" t="s">
        <v>400</v>
      </c>
      <c r="E302" s="9" t="n">
        <v>-352.75</v>
      </c>
      <c r="F302" s="8" t="s">
        <v>20</v>
      </c>
    </row>
    <row r="303" customFormat="false" ht="15" hidden="false" customHeight="true" outlineLevel="0" collapsed="false">
      <c r="A303" s="34" t="n">
        <v>45741</v>
      </c>
      <c r="B303" s="8" t="s">
        <v>668</v>
      </c>
      <c r="C303" s="8" t="s">
        <v>310</v>
      </c>
      <c r="D303" s="8" t="s">
        <v>390</v>
      </c>
      <c r="E303" s="9" t="n">
        <v>-93</v>
      </c>
      <c r="F303" s="8" t="s">
        <v>15</v>
      </c>
    </row>
    <row r="304" customFormat="false" ht="15" hidden="false" customHeight="true" outlineLevel="0" collapsed="false">
      <c r="A304" s="34" t="n">
        <v>45741</v>
      </c>
      <c r="B304" s="8" t="s">
        <v>669</v>
      </c>
      <c r="C304" s="8" t="s">
        <v>361</v>
      </c>
      <c r="D304" s="8" t="s">
        <v>670</v>
      </c>
      <c r="E304" s="9" t="n">
        <v>5918</v>
      </c>
      <c r="F304" s="8" t="s">
        <v>335</v>
      </c>
    </row>
    <row r="305" customFormat="false" ht="15" hidden="false" customHeight="true" outlineLevel="0" collapsed="false">
      <c r="A305" s="34" t="n">
        <v>45742</v>
      </c>
      <c r="B305" s="8" t="s">
        <v>671</v>
      </c>
      <c r="C305" s="8" t="s">
        <v>313</v>
      </c>
      <c r="D305" s="8" t="s">
        <v>466</v>
      </c>
      <c r="E305" s="9" t="n">
        <v>-12.1</v>
      </c>
      <c r="F305" s="8" t="s">
        <v>19</v>
      </c>
    </row>
    <row r="306" customFormat="false" ht="15" hidden="false" customHeight="true" outlineLevel="0" collapsed="false">
      <c r="A306" s="34" t="n">
        <v>45743</v>
      </c>
      <c r="B306" s="8" t="s">
        <v>672</v>
      </c>
      <c r="C306" s="8" t="s">
        <v>313</v>
      </c>
      <c r="D306" s="8" t="s">
        <v>623</v>
      </c>
      <c r="E306" s="9" t="n">
        <v>-2.5</v>
      </c>
      <c r="F306" s="8" t="s">
        <v>19</v>
      </c>
    </row>
    <row r="307" customFormat="false" ht="15" hidden="false" customHeight="true" outlineLevel="0" collapsed="false">
      <c r="A307" s="34" t="n">
        <v>45743</v>
      </c>
      <c r="B307" s="8" t="s">
        <v>673</v>
      </c>
      <c r="C307" s="8" t="s">
        <v>359</v>
      </c>
      <c r="D307" s="8" t="s">
        <v>360</v>
      </c>
      <c r="E307" s="9" t="n">
        <v>-1.2</v>
      </c>
      <c r="F307" s="8" t="s">
        <v>25</v>
      </c>
    </row>
    <row r="308" customFormat="false" ht="15" hidden="false" customHeight="true" outlineLevel="0" collapsed="false">
      <c r="A308" s="34" t="n">
        <v>45743</v>
      </c>
      <c r="B308" s="8" t="s">
        <v>673</v>
      </c>
      <c r="C308" s="8" t="s">
        <v>361</v>
      </c>
      <c r="D308" s="8" t="s">
        <v>630</v>
      </c>
      <c r="E308" s="9" t="n">
        <v>2945.24</v>
      </c>
      <c r="F308" s="8" t="s">
        <v>335</v>
      </c>
    </row>
    <row r="309" customFormat="false" ht="15" hidden="false" customHeight="true" outlineLevel="0" collapsed="false">
      <c r="A309" s="34" t="n">
        <v>45743</v>
      </c>
      <c r="B309" s="8" t="s">
        <v>673</v>
      </c>
      <c r="C309" s="8" t="s">
        <v>629</v>
      </c>
      <c r="D309" s="8"/>
      <c r="E309" s="9" t="n">
        <v>-21.5</v>
      </c>
      <c r="F309" s="8" t="s">
        <v>25</v>
      </c>
    </row>
    <row r="310" customFormat="false" ht="15" hidden="false" customHeight="true" outlineLevel="0" collapsed="false">
      <c r="A310" s="34" t="n">
        <v>45743</v>
      </c>
      <c r="B310" s="8" t="s">
        <v>674</v>
      </c>
      <c r="C310" s="8" t="s">
        <v>382</v>
      </c>
      <c r="D310" s="8" t="s">
        <v>383</v>
      </c>
      <c r="E310" s="9" t="n">
        <v>-15.6</v>
      </c>
      <c r="F310" s="8" t="s">
        <v>25</v>
      </c>
    </row>
    <row r="311" customFormat="false" ht="15" hidden="false" customHeight="true" outlineLevel="0" collapsed="false">
      <c r="A311" s="34" t="n">
        <v>45743</v>
      </c>
      <c r="B311" s="8" t="s">
        <v>675</v>
      </c>
      <c r="C311" s="8" t="s">
        <v>313</v>
      </c>
      <c r="D311" s="8" t="s">
        <v>341</v>
      </c>
      <c r="E311" s="9" t="n">
        <v>-10.7</v>
      </c>
      <c r="F311" s="8" t="s">
        <v>19</v>
      </c>
    </row>
    <row r="312" customFormat="false" ht="15" hidden="false" customHeight="true" outlineLevel="0" collapsed="false">
      <c r="A312" s="34" t="n">
        <v>45743</v>
      </c>
      <c r="B312" s="8" t="s">
        <v>674</v>
      </c>
      <c r="C312" s="8" t="s">
        <v>380</v>
      </c>
      <c r="D312" s="8" t="s">
        <v>676</v>
      </c>
      <c r="E312" s="9" t="n">
        <v>-4290.8</v>
      </c>
      <c r="F312" s="8" t="s">
        <v>12</v>
      </c>
    </row>
    <row r="313" customFormat="false" ht="15" hidden="false" customHeight="true" outlineLevel="0" collapsed="false">
      <c r="A313" s="34" t="n">
        <v>45743</v>
      </c>
      <c r="B313" s="8" t="s">
        <v>674</v>
      </c>
      <c r="C313" s="8" t="s">
        <v>377</v>
      </c>
      <c r="D313" s="8" t="s">
        <v>378</v>
      </c>
      <c r="E313" s="9" t="n">
        <v>-28.2</v>
      </c>
      <c r="F313" s="8" t="s">
        <v>25</v>
      </c>
    </row>
    <row r="314" customFormat="false" ht="15" hidden="false" customHeight="true" outlineLevel="0" collapsed="false">
      <c r="A314" s="34" t="n">
        <v>45743</v>
      </c>
      <c r="B314" s="8" t="s">
        <v>675</v>
      </c>
      <c r="C314" s="8" t="s">
        <v>313</v>
      </c>
      <c r="D314" s="8" t="s">
        <v>341</v>
      </c>
      <c r="E314" s="9" t="n">
        <v>-10.7</v>
      </c>
      <c r="F314" s="8" t="s">
        <v>19</v>
      </c>
    </row>
    <row r="315" customFormat="false" ht="15" hidden="false" customHeight="true" outlineLevel="0" collapsed="false">
      <c r="A315" s="34" t="n">
        <v>45743</v>
      </c>
      <c r="B315" s="8" t="s">
        <v>674</v>
      </c>
      <c r="C315" s="8" t="s">
        <v>359</v>
      </c>
      <c r="D315" s="8" t="s">
        <v>360</v>
      </c>
      <c r="E315" s="9" t="n">
        <v>-1.2</v>
      </c>
      <c r="F315" s="8" t="s">
        <v>25</v>
      </c>
    </row>
    <row r="316" customFormat="false" ht="15" hidden="false" customHeight="true" outlineLevel="0" collapsed="false">
      <c r="A316" s="34" t="n">
        <v>45743</v>
      </c>
      <c r="B316" s="8" t="s">
        <v>674</v>
      </c>
      <c r="C316" s="8" t="s">
        <v>373</v>
      </c>
      <c r="D316" s="8"/>
      <c r="E316" s="9" t="n">
        <v>-17</v>
      </c>
      <c r="F316" s="8" t="s">
        <v>25</v>
      </c>
    </row>
    <row r="317" customFormat="false" ht="15" hidden="false" customHeight="true" outlineLevel="0" collapsed="false">
      <c r="A317" s="34" t="n">
        <v>45743</v>
      </c>
      <c r="B317" s="8" t="s">
        <v>677</v>
      </c>
      <c r="C317" s="8" t="s">
        <v>310</v>
      </c>
      <c r="D317" s="8" t="s">
        <v>678</v>
      </c>
      <c r="E317" s="9" t="n">
        <v>-15.95</v>
      </c>
      <c r="F317" s="8" t="s">
        <v>19</v>
      </c>
    </row>
    <row r="318" customFormat="false" ht="15" hidden="false" customHeight="true" outlineLevel="0" collapsed="false">
      <c r="A318" s="34" t="n">
        <v>45743</v>
      </c>
      <c r="B318" s="8" t="s">
        <v>673</v>
      </c>
      <c r="C318" s="8" t="s">
        <v>631</v>
      </c>
      <c r="D318" s="8" t="s">
        <v>632</v>
      </c>
      <c r="E318" s="9" t="n">
        <v>-14.64</v>
      </c>
      <c r="F318" s="8" t="s">
        <v>25</v>
      </c>
    </row>
    <row r="319" customFormat="false" ht="15" hidden="false" customHeight="true" outlineLevel="0" collapsed="false">
      <c r="A319" s="34" t="n">
        <v>45744</v>
      </c>
      <c r="B319" s="8" t="s">
        <v>679</v>
      </c>
      <c r="C319" s="8" t="s">
        <v>313</v>
      </c>
      <c r="D319" s="8" t="s">
        <v>337</v>
      </c>
      <c r="E319" s="9" t="n">
        <v>-80</v>
      </c>
      <c r="F319" s="8" t="s">
        <v>19</v>
      </c>
    </row>
    <row r="320" customFormat="false" ht="15" hidden="false" customHeight="true" outlineLevel="0" collapsed="false">
      <c r="A320" s="34" t="n">
        <v>45744</v>
      </c>
      <c r="B320" s="8" t="s">
        <v>680</v>
      </c>
      <c r="C320" s="8" t="s">
        <v>313</v>
      </c>
      <c r="D320" s="8" t="s">
        <v>681</v>
      </c>
      <c r="E320" s="9" t="n">
        <v>-44.92</v>
      </c>
      <c r="F320" s="8" t="s">
        <v>28</v>
      </c>
    </row>
    <row r="321" customFormat="false" ht="15" hidden="false" customHeight="true" outlineLevel="0" collapsed="false">
      <c r="A321" s="34" t="n">
        <v>45744</v>
      </c>
      <c r="B321" s="8" t="s">
        <v>682</v>
      </c>
      <c r="C321" s="8" t="s">
        <v>313</v>
      </c>
      <c r="D321" s="8" t="s">
        <v>683</v>
      </c>
      <c r="E321" s="9" t="n">
        <v>-13</v>
      </c>
      <c r="F321" s="8" t="s">
        <v>20</v>
      </c>
    </row>
    <row r="322" customFormat="false" ht="15" hidden="false" customHeight="true" outlineLevel="0" collapsed="false">
      <c r="A322" s="34" t="n">
        <v>45744</v>
      </c>
      <c r="B322" s="8" t="s">
        <v>684</v>
      </c>
      <c r="C322" s="8" t="s">
        <v>367</v>
      </c>
      <c r="D322" s="8" t="s">
        <v>476</v>
      </c>
      <c r="E322" s="9" t="n">
        <v>-1984.55</v>
      </c>
      <c r="F322" s="8" t="s">
        <v>14</v>
      </c>
    </row>
    <row r="323" customFormat="false" ht="15" hidden="false" customHeight="true" outlineLevel="0" collapsed="false">
      <c r="A323" s="34" t="n">
        <v>45744</v>
      </c>
      <c r="B323" s="8" t="s">
        <v>685</v>
      </c>
      <c r="C323" s="8" t="s">
        <v>367</v>
      </c>
      <c r="D323" s="8" t="s">
        <v>412</v>
      </c>
      <c r="E323" s="9" t="n">
        <v>-1271.06</v>
      </c>
      <c r="F323" s="8" t="s">
        <v>14</v>
      </c>
    </row>
    <row r="324" customFormat="false" ht="15" hidden="false" customHeight="true" outlineLevel="0" collapsed="false">
      <c r="A324" s="34" t="n">
        <v>45744</v>
      </c>
      <c r="B324" s="8" t="s">
        <v>686</v>
      </c>
      <c r="C324" s="8" t="s">
        <v>367</v>
      </c>
      <c r="D324" s="8" t="s">
        <v>464</v>
      </c>
      <c r="E324" s="9" t="n">
        <v>-1449.27</v>
      </c>
      <c r="F324" s="8" t="s">
        <v>14</v>
      </c>
    </row>
    <row r="325" customFormat="false" ht="15" hidden="false" customHeight="true" outlineLevel="0" collapsed="false">
      <c r="A325" s="34" t="n">
        <v>45744</v>
      </c>
      <c r="B325" s="8" t="s">
        <v>687</v>
      </c>
      <c r="C325" s="8" t="s">
        <v>313</v>
      </c>
      <c r="D325" s="8" t="s">
        <v>681</v>
      </c>
      <c r="E325" s="9" t="n">
        <v>-29.99</v>
      </c>
      <c r="F325" s="8" t="s">
        <v>28</v>
      </c>
    </row>
    <row r="326" customFormat="false" ht="15" hidden="false" customHeight="true" outlineLevel="0" collapsed="false">
      <c r="A326" s="34" t="n">
        <v>45747</v>
      </c>
      <c r="B326" s="8" t="s">
        <v>356</v>
      </c>
      <c r="C326" s="8" t="s">
        <v>688</v>
      </c>
      <c r="D326" s="8" t="s">
        <v>689</v>
      </c>
      <c r="E326" s="9" t="n">
        <v>-72</v>
      </c>
      <c r="F326" s="8" t="s">
        <v>25</v>
      </c>
    </row>
    <row r="327" customFormat="false" ht="15" hidden="false" customHeight="true" outlineLevel="0" collapsed="false">
      <c r="A327" s="34" t="n">
        <v>45747</v>
      </c>
      <c r="B327" s="8" t="s">
        <v>690</v>
      </c>
      <c r="C327" s="8" t="s">
        <v>313</v>
      </c>
      <c r="D327" s="8" t="s">
        <v>691</v>
      </c>
      <c r="E327" s="9" t="n">
        <v>-473.26</v>
      </c>
      <c r="F327" s="8" t="s">
        <v>27</v>
      </c>
    </row>
    <row r="328" customFormat="false" ht="15" hidden="false" customHeight="true" outlineLevel="0" collapsed="false">
      <c r="A328" s="34" t="n">
        <v>45747</v>
      </c>
      <c r="B328" s="8" t="s">
        <v>692</v>
      </c>
      <c r="C328" s="8" t="s">
        <v>310</v>
      </c>
      <c r="D328" s="8" t="s">
        <v>317</v>
      </c>
      <c r="E328" s="9" t="n">
        <v>-756.89</v>
      </c>
      <c r="F328" s="8" t="s">
        <v>22</v>
      </c>
    </row>
    <row r="329" customFormat="false" ht="15" hidden="false" customHeight="true" outlineLevel="0" collapsed="false">
      <c r="A329" s="34" t="n">
        <v>45747</v>
      </c>
      <c r="B329" s="8" t="s">
        <v>693</v>
      </c>
      <c r="C329" s="8" t="s">
        <v>313</v>
      </c>
      <c r="D329" s="8" t="s">
        <v>450</v>
      </c>
      <c r="E329" s="9" t="n">
        <v>-55.84</v>
      </c>
      <c r="F329" s="8" t="s">
        <v>20</v>
      </c>
    </row>
    <row r="330" customFormat="false" ht="15" hidden="false" customHeight="true" outlineLevel="0" collapsed="false">
      <c r="A330" s="34" t="n">
        <v>45747</v>
      </c>
      <c r="B330" s="8" t="s">
        <v>694</v>
      </c>
      <c r="C330" s="8" t="s">
        <v>313</v>
      </c>
      <c r="D330" s="8" t="s">
        <v>339</v>
      </c>
      <c r="E330" s="9" t="n">
        <v>-49.83</v>
      </c>
      <c r="F330" s="8" t="s">
        <v>19</v>
      </c>
    </row>
    <row r="331" customFormat="false" ht="15" hidden="false" customHeight="true" outlineLevel="0" collapsed="false">
      <c r="A331" s="34" t="n">
        <v>45748</v>
      </c>
      <c r="B331" s="8" t="s">
        <v>695</v>
      </c>
      <c r="C331" s="8" t="s">
        <v>313</v>
      </c>
      <c r="D331" s="8" t="s">
        <v>344</v>
      </c>
      <c r="E331" s="9" t="n">
        <v>-37.3</v>
      </c>
      <c r="F331" s="8" t="s">
        <v>13</v>
      </c>
    </row>
    <row r="332" customFormat="false" ht="15" hidden="false" customHeight="true" outlineLevel="0" collapsed="false">
      <c r="A332" s="34" t="n">
        <v>45748</v>
      </c>
      <c r="B332" s="8" t="s">
        <v>696</v>
      </c>
      <c r="C332" s="8" t="s">
        <v>310</v>
      </c>
      <c r="D332" s="8" t="s">
        <v>319</v>
      </c>
      <c r="E332" s="9" t="n">
        <v>-59.87</v>
      </c>
      <c r="F332" s="8" t="s">
        <v>13</v>
      </c>
    </row>
    <row r="333" customFormat="false" ht="15" hidden="false" customHeight="true" outlineLevel="0" collapsed="false">
      <c r="A333" s="34" t="n">
        <v>45748</v>
      </c>
      <c r="B333" s="8" t="s">
        <v>697</v>
      </c>
      <c r="C333" s="8" t="s">
        <v>310</v>
      </c>
      <c r="D333" s="8" t="s">
        <v>316</v>
      </c>
      <c r="E333" s="9" t="n">
        <v>-872.67</v>
      </c>
      <c r="F333" s="8" t="s">
        <v>19</v>
      </c>
    </row>
    <row r="334" customFormat="false" ht="15" hidden="false" customHeight="true" outlineLevel="0" collapsed="false">
      <c r="A334" s="34" t="n">
        <v>45748</v>
      </c>
      <c r="B334" s="8" t="s">
        <v>698</v>
      </c>
      <c r="C334" s="8" t="s">
        <v>313</v>
      </c>
      <c r="D334" s="8" t="s">
        <v>33</v>
      </c>
      <c r="E334" s="9" t="n">
        <v>-60.28</v>
      </c>
      <c r="F334" s="8" t="s">
        <v>19</v>
      </c>
    </row>
    <row r="335" customFormat="false" ht="15" hidden="false" customHeight="true" outlineLevel="0" collapsed="false">
      <c r="A335" s="34" t="n">
        <v>45749</v>
      </c>
      <c r="B335" s="8" t="s">
        <v>699</v>
      </c>
      <c r="C335" s="8" t="s">
        <v>313</v>
      </c>
      <c r="D335" s="8" t="s">
        <v>33</v>
      </c>
      <c r="E335" s="9" t="n">
        <v>-6.45</v>
      </c>
      <c r="F335" s="8" t="s">
        <v>19</v>
      </c>
    </row>
    <row r="336" customFormat="false" ht="15" hidden="false" customHeight="true" outlineLevel="0" collapsed="false">
      <c r="A336" s="34" t="n">
        <v>45749</v>
      </c>
      <c r="B336" s="8" t="s">
        <v>700</v>
      </c>
      <c r="C336" s="8" t="s">
        <v>313</v>
      </c>
      <c r="D336" s="8" t="s">
        <v>329</v>
      </c>
      <c r="E336" s="9" t="n">
        <v>-111.85</v>
      </c>
      <c r="F336" s="8" t="s">
        <v>20</v>
      </c>
    </row>
    <row r="337" customFormat="false" ht="15" hidden="false" customHeight="true" outlineLevel="0" collapsed="false">
      <c r="A337" s="34" t="n">
        <v>45749</v>
      </c>
      <c r="B337" s="8" t="s">
        <v>701</v>
      </c>
      <c r="C337" s="8" t="s">
        <v>313</v>
      </c>
      <c r="D337" s="8" t="s">
        <v>393</v>
      </c>
      <c r="E337" s="9" t="n">
        <v>-16.5</v>
      </c>
      <c r="F337" s="8" t="s">
        <v>19</v>
      </c>
    </row>
    <row r="338" customFormat="false" ht="15" hidden="false" customHeight="true" outlineLevel="0" collapsed="false">
      <c r="A338" s="34" t="n">
        <v>45749</v>
      </c>
      <c r="B338" s="8" t="s">
        <v>323</v>
      </c>
      <c r="C338" s="8" t="s">
        <v>324</v>
      </c>
      <c r="D338" s="8" t="s">
        <v>325</v>
      </c>
      <c r="E338" s="9" t="n">
        <v>-42</v>
      </c>
      <c r="F338" s="8" t="s">
        <v>25</v>
      </c>
    </row>
    <row r="339" customFormat="false" ht="15" hidden="false" customHeight="true" outlineLevel="0" collapsed="false">
      <c r="A339" s="34" t="n">
        <v>45750</v>
      </c>
      <c r="B339" s="8" t="s">
        <v>702</v>
      </c>
      <c r="C339" s="8" t="s">
        <v>313</v>
      </c>
      <c r="D339" s="8" t="s">
        <v>344</v>
      </c>
      <c r="E339" s="9" t="n">
        <v>-26.8</v>
      </c>
      <c r="F339" s="8" t="s">
        <v>13</v>
      </c>
    </row>
    <row r="340" customFormat="false" ht="15" hidden="false" customHeight="true" outlineLevel="0" collapsed="false">
      <c r="A340" s="34" t="n">
        <v>45750</v>
      </c>
      <c r="B340" s="8" t="s">
        <v>703</v>
      </c>
      <c r="C340" s="8" t="s">
        <v>313</v>
      </c>
      <c r="D340" s="8" t="s">
        <v>341</v>
      </c>
      <c r="E340" s="9" t="n">
        <v>-10.7</v>
      </c>
      <c r="F340" s="8" t="s">
        <v>19</v>
      </c>
    </row>
    <row r="341" customFormat="false" ht="15" hidden="false" customHeight="true" outlineLevel="0" collapsed="false">
      <c r="A341" s="34" t="n">
        <v>45750</v>
      </c>
      <c r="B341" s="8" t="s">
        <v>702</v>
      </c>
      <c r="C341" s="8" t="s">
        <v>313</v>
      </c>
      <c r="D341" s="8" t="s">
        <v>344</v>
      </c>
      <c r="E341" s="9" t="n">
        <v>-11.75</v>
      </c>
      <c r="F341" s="8" t="s">
        <v>13</v>
      </c>
    </row>
    <row r="342" customFormat="false" ht="15" hidden="false" customHeight="true" outlineLevel="0" collapsed="false">
      <c r="A342" s="34" t="n">
        <v>45750</v>
      </c>
      <c r="B342" s="8" t="s">
        <v>702</v>
      </c>
      <c r="C342" s="8" t="s">
        <v>313</v>
      </c>
      <c r="D342" s="8" t="s">
        <v>344</v>
      </c>
      <c r="E342" s="9" t="n">
        <v>-26.8</v>
      </c>
      <c r="F342" s="8" t="s">
        <v>13</v>
      </c>
    </row>
    <row r="343" customFormat="false" ht="15" hidden="false" customHeight="true" outlineLevel="0" collapsed="false">
      <c r="A343" s="34" t="n">
        <v>45750</v>
      </c>
      <c r="B343" s="8" t="s">
        <v>704</v>
      </c>
      <c r="C343" s="8" t="s">
        <v>313</v>
      </c>
      <c r="D343" s="8" t="s">
        <v>346</v>
      </c>
      <c r="E343" s="9" t="n">
        <v>-10.7</v>
      </c>
      <c r="F343" s="8" t="s">
        <v>19</v>
      </c>
    </row>
    <row r="344" customFormat="false" ht="15" hidden="false" customHeight="true" outlineLevel="0" collapsed="false">
      <c r="A344" s="34" t="n">
        <v>45750</v>
      </c>
      <c r="B344" s="8" t="s">
        <v>705</v>
      </c>
      <c r="C344" s="8" t="s">
        <v>313</v>
      </c>
      <c r="D344" s="8" t="s">
        <v>33</v>
      </c>
      <c r="E344" s="9" t="n">
        <v>-61.75</v>
      </c>
      <c r="F344" s="8" t="s">
        <v>19</v>
      </c>
    </row>
    <row r="345" customFormat="false" ht="15" hidden="false" customHeight="true" outlineLevel="0" collapsed="false">
      <c r="A345" s="34" t="n">
        <v>45751</v>
      </c>
      <c r="B345" s="8" t="s">
        <v>706</v>
      </c>
      <c r="C345" s="8" t="s">
        <v>333</v>
      </c>
      <c r="D345" s="8" t="s">
        <v>334</v>
      </c>
      <c r="E345" s="9" t="n">
        <v>126.61</v>
      </c>
      <c r="F345" s="8" t="s">
        <v>335</v>
      </c>
    </row>
    <row r="346" customFormat="false" ht="15" hidden="false" customHeight="true" outlineLevel="0" collapsed="false">
      <c r="A346" s="34" t="n">
        <v>45751</v>
      </c>
      <c r="B346" s="8" t="s">
        <v>707</v>
      </c>
      <c r="C346" s="8" t="s">
        <v>313</v>
      </c>
      <c r="D346" s="8" t="s">
        <v>337</v>
      </c>
      <c r="E346" s="9" t="n">
        <v>-76.83</v>
      </c>
      <c r="F346" s="8" t="s">
        <v>19</v>
      </c>
    </row>
    <row r="347" customFormat="false" ht="15" hidden="false" customHeight="true" outlineLevel="0" collapsed="false">
      <c r="A347" s="34" t="n">
        <v>45751</v>
      </c>
      <c r="B347" s="8" t="s">
        <v>708</v>
      </c>
      <c r="C347" s="8" t="s">
        <v>310</v>
      </c>
      <c r="D347" s="8" t="s">
        <v>317</v>
      </c>
      <c r="E347" s="9" t="n">
        <v>-187.16</v>
      </c>
      <c r="F347" s="8" t="s">
        <v>22</v>
      </c>
    </row>
    <row r="348" customFormat="false" ht="15" hidden="false" customHeight="true" outlineLevel="0" collapsed="false">
      <c r="A348" s="34" t="n">
        <v>45751</v>
      </c>
      <c r="B348" s="8" t="s">
        <v>709</v>
      </c>
      <c r="C348" s="8" t="s">
        <v>313</v>
      </c>
      <c r="D348" s="8" t="s">
        <v>440</v>
      </c>
      <c r="E348" s="9" t="n">
        <v>-2.76</v>
      </c>
      <c r="F348" s="8" t="s">
        <v>30</v>
      </c>
    </row>
    <row r="349" customFormat="false" ht="15" hidden="false" customHeight="true" outlineLevel="0" collapsed="false">
      <c r="A349" s="34" t="n">
        <v>45751</v>
      </c>
      <c r="B349" s="8" t="s">
        <v>710</v>
      </c>
      <c r="C349" s="8" t="s">
        <v>313</v>
      </c>
      <c r="D349" s="8" t="s">
        <v>393</v>
      </c>
      <c r="E349" s="9" t="n">
        <v>-13.95</v>
      </c>
      <c r="F349" s="8" t="s">
        <v>19</v>
      </c>
    </row>
    <row r="350" customFormat="false" ht="15" hidden="false" customHeight="true" outlineLevel="0" collapsed="false">
      <c r="A350" s="34" t="n">
        <v>45754</v>
      </c>
      <c r="B350" s="8" t="s">
        <v>711</v>
      </c>
      <c r="C350" s="8" t="s">
        <v>313</v>
      </c>
      <c r="D350" s="8" t="s">
        <v>346</v>
      </c>
      <c r="E350" s="9" t="n">
        <v>-10.7</v>
      </c>
      <c r="F350" s="8" t="s">
        <v>19</v>
      </c>
    </row>
    <row r="351" customFormat="false" ht="15" hidden="false" customHeight="true" outlineLevel="0" collapsed="false">
      <c r="A351" s="34" t="n">
        <v>45754</v>
      </c>
      <c r="B351" s="8" t="s">
        <v>712</v>
      </c>
      <c r="C351" s="8" t="s">
        <v>313</v>
      </c>
      <c r="D351" s="8" t="s">
        <v>713</v>
      </c>
      <c r="E351" s="9" t="n">
        <v>-20</v>
      </c>
      <c r="F351" s="8" t="s">
        <v>17</v>
      </c>
    </row>
    <row r="352" customFormat="false" ht="15" hidden="false" customHeight="true" outlineLevel="0" collapsed="false">
      <c r="A352" s="34" t="n">
        <v>45754</v>
      </c>
      <c r="B352" s="8" t="s">
        <v>714</v>
      </c>
      <c r="C352" s="8" t="s">
        <v>313</v>
      </c>
      <c r="D352" s="8" t="s">
        <v>341</v>
      </c>
      <c r="E352" s="9" t="n">
        <v>-2.5</v>
      </c>
      <c r="F352" s="8" t="s">
        <v>19</v>
      </c>
    </row>
    <row r="353" customFormat="false" ht="15" hidden="false" customHeight="true" outlineLevel="0" collapsed="false">
      <c r="A353" s="34" t="n">
        <v>45754</v>
      </c>
      <c r="B353" s="8" t="s">
        <v>715</v>
      </c>
      <c r="C353" s="8" t="s">
        <v>313</v>
      </c>
      <c r="D353" s="8" t="s">
        <v>33</v>
      </c>
      <c r="E353" s="9" t="n">
        <v>-61.14</v>
      </c>
      <c r="F353" s="8" t="s">
        <v>19</v>
      </c>
    </row>
    <row r="354" customFormat="false" ht="15" hidden="false" customHeight="true" outlineLevel="0" collapsed="false">
      <c r="A354" s="34" t="n">
        <v>45754</v>
      </c>
      <c r="B354" s="8" t="s">
        <v>716</v>
      </c>
      <c r="C354" s="8" t="s">
        <v>313</v>
      </c>
      <c r="D354" s="8" t="s">
        <v>346</v>
      </c>
      <c r="E354" s="9" t="n">
        <v>-8.6</v>
      </c>
      <c r="F354" s="8" t="s">
        <v>19</v>
      </c>
    </row>
    <row r="355" customFormat="false" ht="15" hidden="false" customHeight="true" outlineLevel="0" collapsed="false">
      <c r="A355" s="34" t="n">
        <v>45755</v>
      </c>
      <c r="B355" s="8" t="s">
        <v>717</v>
      </c>
      <c r="C355" s="8" t="s">
        <v>373</v>
      </c>
      <c r="D355" s="8"/>
      <c r="E355" s="9" t="n">
        <v>-17</v>
      </c>
      <c r="F355" s="8" t="s">
        <v>25</v>
      </c>
    </row>
    <row r="356" customFormat="false" ht="15" hidden="false" customHeight="true" outlineLevel="0" collapsed="false">
      <c r="A356" s="34" t="n">
        <v>45755</v>
      </c>
      <c r="B356" s="8" t="s">
        <v>717</v>
      </c>
      <c r="C356" s="8" t="s">
        <v>359</v>
      </c>
      <c r="D356" s="8" t="s">
        <v>360</v>
      </c>
      <c r="E356" s="9" t="n">
        <v>-1.2</v>
      </c>
      <c r="F356" s="8" t="s">
        <v>25</v>
      </c>
    </row>
    <row r="357" customFormat="false" ht="15" hidden="false" customHeight="true" outlineLevel="0" collapsed="false">
      <c r="A357" s="34" t="n">
        <v>45755</v>
      </c>
      <c r="B357" s="8" t="s">
        <v>717</v>
      </c>
      <c r="C357" s="8" t="s">
        <v>380</v>
      </c>
      <c r="D357" s="8" t="s">
        <v>381</v>
      </c>
      <c r="E357" s="9" t="n">
        <v>-1592.46</v>
      </c>
      <c r="F357" s="8" t="s">
        <v>12</v>
      </c>
    </row>
    <row r="358" customFormat="false" ht="15" hidden="false" customHeight="true" outlineLevel="0" collapsed="false">
      <c r="A358" s="34" t="n">
        <v>45755</v>
      </c>
      <c r="B358" s="8" t="s">
        <v>717</v>
      </c>
      <c r="C358" s="8" t="s">
        <v>382</v>
      </c>
      <c r="D358" s="8" t="s">
        <v>383</v>
      </c>
      <c r="E358" s="9" t="n">
        <v>-15.6</v>
      </c>
      <c r="F358" s="8" t="s">
        <v>25</v>
      </c>
    </row>
    <row r="359" customFormat="false" ht="15" hidden="false" customHeight="true" outlineLevel="0" collapsed="false">
      <c r="A359" s="34" t="n">
        <v>45755</v>
      </c>
      <c r="B359" s="8" t="s">
        <v>717</v>
      </c>
      <c r="C359" s="8" t="s">
        <v>377</v>
      </c>
      <c r="D359" s="8" t="s">
        <v>378</v>
      </c>
      <c r="E359" s="9" t="n">
        <v>-28.2</v>
      </c>
      <c r="F359" s="8" t="s">
        <v>25</v>
      </c>
    </row>
    <row r="360" customFormat="false" ht="15" hidden="false" customHeight="true" outlineLevel="0" collapsed="false">
      <c r="A360" s="34" t="n">
        <v>45755</v>
      </c>
      <c r="B360" s="8" t="s">
        <v>718</v>
      </c>
      <c r="C360" s="8" t="s">
        <v>310</v>
      </c>
      <c r="D360" s="8" t="s">
        <v>497</v>
      </c>
      <c r="E360" s="9" t="n">
        <v>-19.24</v>
      </c>
      <c r="F360" s="8" t="s">
        <v>32</v>
      </c>
    </row>
    <row r="361" customFormat="false" ht="15" hidden="false" customHeight="true" outlineLevel="0" collapsed="false">
      <c r="A361" s="34" t="n">
        <v>45756</v>
      </c>
      <c r="B361" s="8" t="s">
        <v>719</v>
      </c>
      <c r="C361" s="8" t="s">
        <v>313</v>
      </c>
      <c r="D361" s="8" t="s">
        <v>481</v>
      </c>
      <c r="E361" s="9" t="n">
        <v>-49.99</v>
      </c>
      <c r="F361" s="8" t="s">
        <v>20</v>
      </c>
    </row>
    <row r="362" customFormat="false" ht="15" hidden="false" customHeight="true" outlineLevel="0" collapsed="false">
      <c r="A362" s="34" t="n">
        <v>45756</v>
      </c>
      <c r="B362" s="8" t="s">
        <v>720</v>
      </c>
      <c r="C362" s="8" t="s">
        <v>313</v>
      </c>
      <c r="D362" s="8" t="s">
        <v>721</v>
      </c>
      <c r="E362" s="9" t="n">
        <v>-46.9</v>
      </c>
      <c r="F362" s="8" t="s">
        <v>18</v>
      </c>
    </row>
    <row r="363" customFormat="false" ht="15" hidden="false" customHeight="true" outlineLevel="0" collapsed="false">
      <c r="A363" s="34" t="n">
        <v>45756</v>
      </c>
      <c r="B363" s="8" t="s">
        <v>722</v>
      </c>
      <c r="C363" s="8" t="s">
        <v>313</v>
      </c>
      <c r="D363" s="8" t="s">
        <v>723</v>
      </c>
      <c r="E363" s="9" t="n">
        <v>-2378.04</v>
      </c>
      <c r="F363" s="8" t="s">
        <v>18</v>
      </c>
    </row>
    <row r="364" customFormat="false" ht="15" hidden="false" customHeight="true" outlineLevel="0" collapsed="false">
      <c r="A364" s="34" t="n">
        <v>45757</v>
      </c>
      <c r="B364" s="8" t="s">
        <v>724</v>
      </c>
      <c r="C364" s="8" t="s">
        <v>310</v>
      </c>
      <c r="D364" s="8" t="s">
        <v>348</v>
      </c>
      <c r="E364" s="9" t="n">
        <v>-130.69</v>
      </c>
      <c r="F364" s="8" t="s">
        <v>26</v>
      </c>
    </row>
    <row r="365" customFormat="false" ht="15" hidden="false" customHeight="true" outlineLevel="0" collapsed="false">
      <c r="A365" s="34" t="n">
        <v>45757</v>
      </c>
      <c r="B365" s="8" t="s">
        <v>725</v>
      </c>
      <c r="C365" s="8" t="s">
        <v>313</v>
      </c>
      <c r="D365" s="8" t="s">
        <v>339</v>
      </c>
      <c r="E365" s="9" t="n">
        <v>-44.31</v>
      </c>
      <c r="F365" s="8" t="s">
        <v>19</v>
      </c>
    </row>
    <row r="366" customFormat="false" ht="15" hidden="false" customHeight="true" outlineLevel="0" collapsed="false">
      <c r="A366" s="34" t="n">
        <v>45757</v>
      </c>
      <c r="B366" s="8" t="s">
        <v>356</v>
      </c>
      <c r="C366" s="8" t="s">
        <v>357</v>
      </c>
      <c r="D366" s="8" t="s">
        <v>726</v>
      </c>
      <c r="E366" s="9" t="n">
        <v>-392.69</v>
      </c>
      <c r="F366" s="8" t="s">
        <v>25</v>
      </c>
    </row>
    <row r="367" customFormat="false" ht="15" hidden="false" customHeight="true" outlineLevel="0" collapsed="false">
      <c r="A367" s="34" t="n">
        <v>45757</v>
      </c>
      <c r="B367" s="8" t="s">
        <v>727</v>
      </c>
      <c r="C367" s="8" t="s">
        <v>310</v>
      </c>
      <c r="D367" s="8" t="s">
        <v>311</v>
      </c>
      <c r="E367" s="9" t="n">
        <v>-125.16</v>
      </c>
      <c r="F367" s="8" t="s">
        <v>26</v>
      </c>
    </row>
    <row r="368" customFormat="false" ht="15" hidden="false" customHeight="true" outlineLevel="0" collapsed="false">
      <c r="A368" s="34" t="n">
        <v>45757</v>
      </c>
      <c r="B368" s="8" t="s">
        <v>728</v>
      </c>
      <c r="C368" s="8" t="s">
        <v>313</v>
      </c>
      <c r="D368" s="8" t="s">
        <v>331</v>
      </c>
      <c r="E368" s="9" t="n">
        <v>-28</v>
      </c>
      <c r="F368" s="8" t="s">
        <v>17</v>
      </c>
    </row>
    <row r="369" customFormat="false" ht="15" hidden="false" customHeight="true" outlineLevel="0" collapsed="false">
      <c r="A369" s="34" t="n">
        <v>45757</v>
      </c>
      <c r="B369" s="8" t="s">
        <v>729</v>
      </c>
      <c r="C369" s="8" t="s">
        <v>310</v>
      </c>
      <c r="D369" s="8" t="s">
        <v>355</v>
      </c>
      <c r="E369" s="9" t="n">
        <v>-67.36</v>
      </c>
      <c r="F369" s="8" t="s">
        <v>31</v>
      </c>
    </row>
    <row r="370" customFormat="false" ht="15" hidden="false" customHeight="true" outlineLevel="0" collapsed="false">
      <c r="A370" s="34" t="n">
        <v>45758</v>
      </c>
      <c r="B370" s="8" t="s">
        <v>730</v>
      </c>
      <c r="C370" s="8" t="s">
        <v>310</v>
      </c>
      <c r="D370" s="8" t="s">
        <v>352</v>
      </c>
      <c r="E370" s="9" t="n">
        <v>-420</v>
      </c>
      <c r="F370" s="8" t="s">
        <v>23</v>
      </c>
    </row>
    <row r="371" customFormat="false" ht="15" hidden="false" customHeight="true" outlineLevel="0" collapsed="false">
      <c r="A371" s="34" t="n">
        <v>45758</v>
      </c>
      <c r="B371" s="8" t="s">
        <v>731</v>
      </c>
      <c r="C371" s="8" t="s">
        <v>313</v>
      </c>
      <c r="D371" s="8" t="s">
        <v>732</v>
      </c>
      <c r="E371" s="9" t="n">
        <v>-716.64</v>
      </c>
      <c r="F371" s="8" t="s">
        <v>18</v>
      </c>
    </row>
    <row r="372" customFormat="false" ht="15" hidden="false" customHeight="true" outlineLevel="0" collapsed="false">
      <c r="A372" s="34" t="n">
        <v>45758</v>
      </c>
      <c r="B372" s="8" t="s">
        <v>733</v>
      </c>
      <c r="C372" s="8" t="s">
        <v>361</v>
      </c>
      <c r="D372" s="8" t="s">
        <v>379</v>
      </c>
      <c r="E372" s="9" t="n">
        <v>32292</v>
      </c>
      <c r="F372" s="8" t="s">
        <v>335</v>
      </c>
    </row>
    <row r="373" customFormat="false" ht="15" hidden="false" customHeight="true" outlineLevel="0" collapsed="false">
      <c r="A373" s="34" t="n">
        <v>45758</v>
      </c>
      <c r="B373" s="8" t="s">
        <v>733</v>
      </c>
      <c r="C373" s="8" t="s">
        <v>359</v>
      </c>
      <c r="D373" s="8" t="s">
        <v>360</v>
      </c>
      <c r="E373" s="9" t="n">
        <v>-1.2</v>
      </c>
      <c r="F373" s="8" t="s">
        <v>25</v>
      </c>
    </row>
    <row r="374" customFormat="false" ht="15" hidden="false" customHeight="true" outlineLevel="0" collapsed="false">
      <c r="A374" s="34" t="n">
        <v>45758</v>
      </c>
      <c r="B374" s="8" t="s">
        <v>731</v>
      </c>
      <c r="C374" s="8" t="s">
        <v>365</v>
      </c>
      <c r="D374" s="8" t="s">
        <v>732</v>
      </c>
      <c r="E374" s="9" t="n">
        <v>-20.78</v>
      </c>
      <c r="F374" s="8" t="s">
        <v>25</v>
      </c>
    </row>
    <row r="375" customFormat="false" ht="15" hidden="false" customHeight="true" outlineLevel="0" collapsed="false">
      <c r="A375" s="34" t="n">
        <v>45761</v>
      </c>
      <c r="B375" s="8" t="s">
        <v>734</v>
      </c>
      <c r="C375" s="8" t="s">
        <v>367</v>
      </c>
      <c r="D375" s="8" t="s">
        <v>368</v>
      </c>
      <c r="E375" s="9" t="n">
        <v>-21066.05</v>
      </c>
      <c r="F375" s="8" t="s">
        <v>11</v>
      </c>
    </row>
    <row r="376" customFormat="false" ht="15" hidden="false" customHeight="true" outlineLevel="0" collapsed="false">
      <c r="A376" s="34" t="n">
        <v>45761</v>
      </c>
      <c r="B376" s="8" t="s">
        <v>735</v>
      </c>
      <c r="C376" s="8" t="s">
        <v>361</v>
      </c>
      <c r="D376" s="8" t="s">
        <v>736</v>
      </c>
      <c r="E376" s="9" t="n">
        <v>3956</v>
      </c>
      <c r="F376" s="8" t="s">
        <v>335</v>
      </c>
    </row>
    <row r="377" customFormat="false" ht="15" hidden="false" customHeight="true" outlineLevel="0" collapsed="false">
      <c r="A377" s="34" t="n">
        <v>45761</v>
      </c>
      <c r="B377" s="8" t="s">
        <v>737</v>
      </c>
      <c r="C377" s="8" t="s">
        <v>313</v>
      </c>
      <c r="D377" s="8" t="s">
        <v>738</v>
      </c>
      <c r="E377" s="9" t="n">
        <v>-14.37</v>
      </c>
      <c r="F377" s="8" t="s">
        <v>18</v>
      </c>
    </row>
    <row r="378" customFormat="false" ht="15" hidden="false" customHeight="true" outlineLevel="0" collapsed="false">
      <c r="A378" s="34" t="n">
        <v>45761</v>
      </c>
      <c r="B378" s="8" t="s">
        <v>739</v>
      </c>
      <c r="C378" s="8" t="s">
        <v>359</v>
      </c>
      <c r="D378" s="8" t="s">
        <v>360</v>
      </c>
      <c r="E378" s="9" t="n">
        <v>-1.2</v>
      </c>
      <c r="F378" s="8" t="s">
        <v>25</v>
      </c>
    </row>
    <row r="379" customFormat="false" ht="15" hidden="false" customHeight="true" outlineLevel="0" collapsed="false">
      <c r="A379" s="34" t="n">
        <v>45761</v>
      </c>
      <c r="B379" s="8" t="s">
        <v>740</v>
      </c>
      <c r="C379" s="8" t="s">
        <v>365</v>
      </c>
      <c r="D379" s="8" t="s">
        <v>364</v>
      </c>
      <c r="E379" s="9" t="n">
        <v>-0.56</v>
      </c>
      <c r="F379" s="8" t="s">
        <v>25</v>
      </c>
    </row>
    <row r="380" customFormat="false" ht="15" hidden="false" customHeight="true" outlineLevel="0" collapsed="false">
      <c r="A380" s="34" t="n">
        <v>45761</v>
      </c>
      <c r="B380" s="8" t="s">
        <v>739</v>
      </c>
      <c r="C380" s="8" t="s">
        <v>361</v>
      </c>
      <c r="D380" s="8" t="s">
        <v>379</v>
      </c>
      <c r="E380" s="9" t="n">
        <v>56560</v>
      </c>
      <c r="F380" s="8" t="s">
        <v>335</v>
      </c>
    </row>
    <row r="381" customFormat="false" ht="15" hidden="false" customHeight="true" outlineLevel="0" collapsed="false">
      <c r="A381" s="34" t="n">
        <v>45761</v>
      </c>
      <c r="B381" s="8" t="s">
        <v>737</v>
      </c>
      <c r="C381" s="8" t="s">
        <v>365</v>
      </c>
      <c r="D381" s="8" t="s">
        <v>738</v>
      </c>
      <c r="E381" s="9" t="n">
        <v>-0.41</v>
      </c>
      <c r="F381" s="8" t="s">
        <v>25</v>
      </c>
    </row>
    <row r="382" customFormat="false" ht="15" hidden="false" customHeight="true" outlineLevel="0" collapsed="false">
      <c r="A382" s="34" t="n">
        <v>45761</v>
      </c>
      <c r="B382" s="8" t="s">
        <v>741</v>
      </c>
      <c r="C382" s="8" t="s">
        <v>310</v>
      </c>
      <c r="D382" s="8" t="s">
        <v>400</v>
      </c>
      <c r="E382" s="9" t="n">
        <v>-148.97</v>
      </c>
      <c r="F382" s="8" t="s">
        <v>20</v>
      </c>
    </row>
    <row r="383" customFormat="false" ht="15" hidden="false" customHeight="true" outlineLevel="0" collapsed="false">
      <c r="A383" s="34" t="n">
        <v>45761</v>
      </c>
      <c r="B383" s="8" t="s">
        <v>737</v>
      </c>
      <c r="C383" s="8" t="s">
        <v>365</v>
      </c>
      <c r="D383" s="8" t="s">
        <v>738</v>
      </c>
      <c r="E383" s="9" t="n">
        <v>-7.89</v>
      </c>
      <c r="F383" s="8" t="s">
        <v>25</v>
      </c>
    </row>
    <row r="384" customFormat="false" ht="15" hidden="false" customHeight="true" outlineLevel="0" collapsed="false">
      <c r="A384" s="34" t="n">
        <v>45761</v>
      </c>
      <c r="B384" s="8" t="s">
        <v>742</v>
      </c>
      <c r="C384" s="8" t="s">
        <v>375</v>
      </c>
      <c r="D384" s="8" t="s">
        <v>376</v>
      </c>
      <c r="E384" s="9" t="n">
        <v>-24.03</v>
      </c>
      <c r="F384" s="8" t="s">
        <v>25</v>
      </c>
    </row>
    <row r="385" customFormat="false" ht="15" hidden="false" customHeight="true" outlineLevel="0" collapsed="false">
      <c r="A385" s="34" t="n">
        <v>45761</v>
      </c>
      <c r="B385" s="8" t="s">
        <v>735</v>
      </c>
      <c r="C385" s="8" t="s">
        <v>359</v>
      </c>
      <c r="D385" s="8" t="s">
        <v>360</v>
      </c>
      <c r="E385" s="9" t="n">
        <v>-1.2</v>
      </c>
      <c r="F385" s="8" t="s">
        <v>25</v>
      </c>
    </row>
    <row r="386" customFormat="false" ht="15" hidden="false" customHeight="true" outlineLevel="0" collapsed="false">
      <c r="A386" s="34" t="n">
        <v>45761</v>
      </c>
      <c r="B386" s="8" t="s">
        <v>737</v>
      </c>
      <c r="C386" s="8" t="s">
        <v>313</v>
      </c>
      <c r="D386" s="8" t="s">
        <v>738</v>
      </c>
      <c r="E386" s="9" t="n">
        <v>-14.37</v>
      </c>
      <c r="F386" s="8" t="s">
        <v>18</v>
      </c>
    </row>
    <row r="387" customFormat="false" ht="15" hidden="false" customHeight="true" outlineLevel="0" collapsed="false">
      <c r="A387" s="34" t="n">
        <v>45761</v>
      </c>
      <c r="B387" s="8" t="s">
        <v>740</v>
      </c>
      <c r="C387" s="8" t="s">
        <v>313</v>
      </c>
      <c r="D387" s="8" t="s">
        <v>364</v>
      </c>
      <c r="E387" s="9" t="n">
        <v>-37.34</v>
      </c>
      <c r="F387" s="8" t="s">
        <v>20</v>
      </c>
    </row>
    <row r="388" customFormat="false" ht="15" hidden="false" customHeight="true" outlineLevel="0" collapsed="false">
      <c r="A388" s="34" t="n">
        <v>45761</v>
      </c>
      <c r="B388" s="8" t="s">
        <v>737</v>
      </c>
      <c r="C388" s="8" t="s">
        <v>313</v>
      </c>
      <c r="D388" s="8" t="s">
        <v>738</v>
      </c>
      <c r="E388" s="9" t="n">
        <v>-272.25</v>
      </c>
      <c r="F388" s="8" t="s">
        <v>18</v>
      </c>
    </row>
    <row r="389" customFormat="false" ht="15" hidden="false" customHeight="true" outlineLevel="0" collapsed="false">
      <c r="A389" s="34" t="n">
        <v>45761</v>
      </c>
      <c r="B389" s="8" t="s">
        <v>737</v>
      </c>
      <c r="C389" s="8" t="s">
        <v>365</v>
      </c>
      <c r="D389" s="8" t="s">
        <v>738</v>
      </c>
      <c r="E389" s="9" t="n">
        <v>-0.41</v>
      </c>
      <c r="F389" s="8" t="s">
        <v>25</v>
      </c>
    </row>
    <row r="390" customFormat="false" ht="15" hidden="false" customHeight="true" outlineLevel="0" collapsed="false">
      <c r="A390" s="34" t="n">
        <v>45761</v>
      </c>
      <c r="B390" s="8" t="s">
        <v>743</v>
      </c>
      <c r="C390" s="8" t="s">
        <v>367</v>
      </c>
      <c r="D390" s="8" t="s">
        <v>490</v>
      </c>
      <c r="E390" s="9" t="n">
        <v>-6100</v>
      </c>
      <c r="F390" s="8" t="s">
        <v>10</v>
      </c>
    </row>
    <row r="391" customFormat="false" ht="15" hidden="false" customHeight="true" outlineLevel="0" collapsed="false">
      <c r="A391" s="34" t="n">
        <v>45761</v>
      </c>
      <c r="B391" s="8" t="s">
        <v>744</v>
      </c>
      <c r="C391" s="8" t="s">
        <v>367</v>
      </c>
      <c r="D391" s="8" t="s">
        <v>452</v>
      </c>
      <c r="E391" s="9" t="n">
        <v>-3221.8</v>
      </c>
      <c r="F391" s="8" t="s">
        <v>13</v>
      </c>
    </row>
    <row r="392" customFormat="false" ht="15" hidden="false" customHeight="true" outlineLevel="0" collapsed="false">
      <c r="A392" s="34" t="n">
        <v>45762</v>
      </c>
      <c r="B392" s="8" t="s">
        <v>356</v>
      </c>
      <c r="C392" s="8" t="s">
        <v>384</v>
      </c>
      <c r="D392" s="8"/>
      <c r="E392" s="9" t="n">
        <v>-7.69</v>
      </c>
      <c r="F392" s="8" t="s">
        <v>25</v>
      </c>
    </row>
    <row r="393" customFormat="false" ht="15" hidden="false" customHeight="true" outlineLevel="0" collapsed="false">
      <c r="A393" s="34" t="n">
        <v>45762</v>
      </c>
      <c r="B393" s="8" t="s">
        <v>745</v>
      </c>
      <c r="C393" s="8" t="s">
        <v>367</v>
      </c>
      <c r="D393" s="8" t="s">
        <v>386</v>
      </c>
      <c r="E393" s="9" t="n">
        <v>-6000</v>
      </c>
      <c r="F393" s="8" t="s">
        <v>16</v>
      </c>
    </row>
    <row r="394" customFormat="false" ht="15" hidden="false" customHeight="true" outlineLevel="0" collapsed="false">
      <c r="A394" s="34" t="n">
        <v>45762</v>
      </c>
      <c r="B394" s="8" t="s">
        <v>746</v>
      </c>
      <c r="C394" s="8" t="s">
        <v>411</v>
      </c>
      <c r="D394" s="8" t="s">
        <v>412</v>
      </c>
      <c r="E394" s="9" t="n">
        <v>-1000</v>
      </c>
      <c r="F394" s="8" t="s">
        <v>14</v>
      </c>
    </row>
    <row r="395" customFormat="false" ht="15" hidden="false" customHeight="true" outlineLevel="0" collapsed="false">
      <c r="A395" s="34" t="n">
        <v>45763</v>
      </c>
      <c r="B395" s="8" t="s">
        <v>747</v>
      </c>
      <c r="C395" s="8" t="s">
        <v>310</v>
      </c>
      <c r="D395" s="8" t="s">
        <v>390</v>
      </c>
      <c r="E395" s="9" t="n">
        <v>-2746</v>
      </c>
      <c r="F395" s="8" t="s">
        <v>15</v>
      </c>
    </row>
    <row r="396" customFormat="false" ht="15" hidden="false" customHeight="true" outlineLevel="0" collapsed="false">
      <c r="A396" s="34" t="n">
        <v>45764</v>
      </c>
      <c r="B396" s="8" t="s">
        <v>748</v>
      </c>
      <c r="C396" s="8" t="s">
        <v>313</v>
      </c>
      <c r="D396" s="8" t="s">
        <v>331</v>
      </c>
      <c r="E396" s="9" t="n">
        <v>-28</v>
      </c>
      <c r="F396" s="8" t="s">
        <v>17</v>
      </c>
    </row>
    <row r="397" customFormat="false" ht="15" hidden="false" customHeight="true" outlineLevel="0" collapsed="false">
      <c r="A397" s="34" t="n">
        <v>45765</v>
      </c>
      <c r="B397" s="8" t="s">
        <v>749</v>
      </c>
      <c r="C397" s="8" t="s">
        <v>361</v>
      </c>
      <c r="D397" s="8" t="s">
        <v>750</v>
      </c>
      <c r="E397" s="9" t="n">
        <v>27129.32</v>
      </c>
      <c r="F397" s="8" t="s">
        <v>335</v>
      </c>
    </row>
    <row r="398" customFormat="false" ht="15" hidden="false" customHeight="true" outlineLevel="0" collapsed="false">
      <c r="A398" s="34" t="n">
        <v>45769</v>
      </c>
      <c r="B398" s="8" t="s">
        <v>751</v>
      </c>
      <c r="C398" s="8" t="s">
        <v>333</v>
      </c>
      <c r="D398" s="8" t="s">
        <v>334</v>
      </c>
      <c r="E398" s="9" t="n">
        <v>126.61</v>
      </c>
      <c r="F398" s="8" t="s">
        <v>335</v>
      </c>
    </row>
    <row r="399" customFormat="false" ht="15" hidden="false" customHeight="true" outlineLevel="0" collapsed="false">
      <c r="A399" s="34" t="n">
        <v>45770</v>
      </c>
      <c r="B399" s="8" t="s">
        <v>752</v>
      </c>
      <c r="C399" s="8" t="s">
        <v>313</v>
      </c>
      <c r="D399" s="8" t="s">
        <v>331</v>
      </c>
      <c r="E399" s="9" t="n">
        <v>-58</v>
      </c>
      <c r="F399" s="8" t="s">
        <v>17</v>
      </c>
    </row>
    <row r="400" customFormat="false" ht="15" hidden="false" customHeight="true" outlineLevel="0" collapsed="false">
      <c r="A400" s="34" t="n">
        <v>45770</v>
      </c>
      <c r="B400" s="8" t="s">
        <v>753</v>
      </c>
      <c r="C400" s="8" t="s">
        <v>365</v>
      </c>
      <c r="D400" s="8" t="s">
        <v>754</v>
      </c>
      <c r="E400" s="9" t="n">
        <v>-39.53</v>
      </c>
      <c r="F400" s="8" t="s">
        <v>25</v>
      </c>
    </row>
    <row r="401" customFormat="false" ht="15" hidden="false" customHeight="true" outlineLevel="0" collapsed="false">
      <c r="A401" s="34" t="n">
        <v>45770</v>
      </c>
      <c r="B401" s="8" t="s">
        <v>753</v>
      </c>
      <c r="C401" s="8" t="s">
        <v>313</v>
      </c>
      <c r="D401" s="8" t="s">
        <v>754</v>
      </c>
      <c r="E401" s="9" t="n">
        <v>-1363.41</v>
      </c>
      <c r="F401" s="8" t="s">
        <v>18</v>
      </c>
    </row>
    <row r="402" customFormat="false" ht="15" hidden="false" customHeight="true" outlineLevel="0" collapsed="false">
      <c r="A402" s="34" t="n">
        <v>45770</v>
      </c>
      <c r="B402" s="8" t="s">
        <v>755</v>
      </c>
      <c r="C402" s="8" t="s">
        <v>310</v>
      </c>
      <c r="D402" s="8" t="s">
        <v>390</v>
      </c>
      <c r="E402" s="9" t="n">
        <v>-93</v>
      </c>
      <c r="F402" s="8" t="s">
        <v>15</v>
      </c>
    </row>
    <row r="403" customFormat="false" ht="15" hidden="false" customHeight="true" outlineLevel="0" collapsed="false">
      <c r="A403" s="34" t="n">
        <v>45771</v>
      </c>
      <c r="B403" s="8" t="s">
        <v>756</v>
      </c>
      <c r="C403" s="8" t="s">
        <v>414</v>
      </c>
      <c r="D403" s="8" t="s">
        <v>415</v>
      </c>
      <c r="E403" s="9" t="n">
        <v>-191</v>
      </c>
      <c r="F403" s="8" t="s">
        <v>15</v>
      </c>
    </row>
    <row r="404" customFormat="false" ht="15" hidden="false" customHeight="true" outlineLevel="0" collapsed="false">
      <c r="A404" s="34" t="n">
        <v>45771</v>
      </c>
      <c r="B404" s="8" t="s">
        <v>757</v>
      </c>
      <c r="C404" s="8" t="s">
        <v>367</v>
      </c>
      <c r="D404" s="8" t="s">
        <v>758</v>
      </c>
      <c r="E404" s="9" t="n">
        <v>-500</v>
      </c>
      <c r="F404" s="8" t="s">
        <v>17</v>
      </c>
    </row>
    <row r="405" customFormat="false" ht="15" hidden="false" customHeight="true" outlineLevel="0" collapsed="false">
      <c r="A405" s="34" t="n">
        <v>45772</v>
      </c>
      <c r="B405" s="8" t="s">
        <v>759</v>
      </c>
      <c r="C405" s="8" t="s">
        <v>377</v>
      </c>
      <c r="D405" s="8" t="s">
        <v>378</v>
      </c>
      <c r="E405" s="9" t="n">
        <v>-28.2</v>
      </c>
      <c r="F405" s="8" t="s">
        <v>25</v>
      </c>
    </row>
    <row r="406" customFormat="false" ht="15" hidden="false" customHeight="true" outlineLevel="0" collapsed="false">
      <c r="A406" s="34" t="n">
        <v>45772</v>
      </c>
      <c r="B406" s="8" t="s">
        <v>760</v>
      </c>
      <c r="C406" s="8" t="s">
        <v>310</v>
      </c>
      <c r="D406" s="8" t="s">
        <v>418</v>
      </c>
      <c r="E406" s="9" t="n">
        <v>-93.11</v>
      </c>
      <c r="F406" s="8" t="s">
        <v>26</v>
      </c>
    </row>
    <row r="407" customFormat="false" ht="15" hidden="false" customHeight="true" outlineLevel="0" collapsed="false">
      <c r="A407" s="34" t="n">
        <v>45772</v>
      </c>
      <c r="B407" s="8" t="s">
        <v>759</v>
      </c>
      <c r="C407" s="8" t="s">
        <v>382</v>
      </c>
      <c r="D407" s="8" t="s">
        <v>383</v>
      </c>
      <c r="E407" s="9" t="n">
        <v>-15.6</v>
      </c>
      <c r="F407" s="8" t="s">
        <v>25</v>
      </c>
    </row>
    <row r="408" customFormat="false" ht="15" hidden="false" customHeight="true" outlineLevel="0" collapsed="false">
      <c r="A408" s="34" t="n">
        <v>45772</v>
      </c>
      <c r="B408" s="8" t="s">
        <v>761</v>
      </c>
      <c r="C408" s="8" t="s">
        <v>382</v>
      </c>
      <c r="D408" s="8" t="s">
        <v>383</v>
      </c>
      <c r="E408" s="9" t="n">
        <v>-15.6</v>
      </c>
      <c r="F408" s="8" t="s">
        <v>25</v>
      </c>
    </row>
    <row r="409" customFormat="false" ht="15" hidden="false" customHeight="true" outlineLevel="0" collapsed="false">
      <c r="A409" s="34" t="n">
        <v>45772</v>
      </c>
      <c r="B409" s="8" t="s">
        <v>761</v>
      </c>
      <c r="C409" s="8" t="s">
        <v>380</v>
      </c>
      <c r="D409" s="8" t="s">
        <v>762</v>
      </c>
      <c r="E409" s="9" t="n">
        <v>-6812</v>
      </c>
      <c r="F409" s="8" t="s">
        <v>12</v>
      </c>
    </row>
    <row r="410" customFormat="false" ht="15" hidden="false" customHeight="true" outlineLevel="0" collapsed="false">
      <c r="A410" s="34" t="n">
        <v>45772</v>
      </c>
      <c r="B410" s="8" t="s">
        <v>761</v>
      </c>
      <c r="C410" s="8" t="s">
        <v>377</v>
      </c>
      <c r="D410" s="8" t="s">
        <v>378</v>
      </c>
      <c r="E410" s="9" t="n">
        <v>-28.2</v>
      </c>
      <c r="F410" s="8" t="s">
        <v>25</v>
      </c>
    </row>
    <row r="411" customFormat="false" ht="15" hidden="false" customHeight="true" outlineLevel="0" collapsed="false">
      <c r="A411" s="34" t="n">
        <v>45772</v>
      </c>
      <c r="B411" s="8" t="s">
        <v>759</v>
      </c>
      <c r="C411" s="8" t="s">
        <v>380</v>
      </c>
      <c r="D411" s="8" t="s">
        <v>762</v>
      </c>
      <c r="E411" s="9" t="n">
        <v>-3396</v>
      </c>
      <c r="F411" s="8" t="s">
        <v>12</v>
      </c>
    </row>
    <row r="412" customFormat="false" ht="15" hidden="false" customHeight="true" outlineLevel="0" collapsed="false">
      <c r="A412" s="34" t="n">
        <v>45772</v>
      </c>
      <c r="B412" s="8" t="s">
        <v>763</v>
      </c>
      <c r="C412" s="8" t="s">
        <v>310</v>
      </c>
      <c r="D412" s="8" t="s">
        <v>432</v>
      </c>
      <c r="E412" s="9" t="n">
        <v>-600.22</v>
      </c>
      <c r="F412" s="8" t="s">
        <v>15</v>
      </c>
    </row>
    <row r="413" customFormat="false" ht="15" hidden="false" customHeight="true" outlineLevel="0" collapsed="false">
      <c r="A413" s="34" t="n">
        <v>45772</v>
      </c>
      <c r="B413" s="8" t="s">
        <v>761</v>
      </c>
      <c r="C413" s="8" t="s">
        <v>359</v>
      </c>
      <c r="D413" s="8" t="s">
        <v>360</v>
      </c>
      <c r="E413" s="9" t="n">
        <v>-1.2</v>
      </c>
      <c r="F413" s="8" t="s">
        <v>25</v>
      </c>
    </row>
    <row r="414" customFormat="false" ht="15" hidden="false" customHeight="true" outlineLevel="0" collapsed="false">
      <c r="A414" s="34" t="n">
        <v>45772</v>
      </c>
      <c r="B414" s="8" t="s">
        <v>759</v>
      </c>
      <c r="C414" s="8" t="s">
        <v>359</v>
      </c>
      <c r="D414" s="8" t="s">
        <v>360</v>
      </c>
      <c r="E414" s="9" t="n">
        <v>-1.2</v>
      </c>
      <c r="F414" s="8" t="s">
        <v>25</v>
      </c>
    </row>
    <row r="415" customFormat="false" ht="15" hidden="false" customHeight="true" outlineLevel="0" collapsed="false">
      <c r="A415" s="34" t="n">
        <v>45775</v>
      </c>
      <c r="B415" s="8" t="s">
        <v>764</v>
      </c>
      <c r="C415" s="8" t="s">
        <v>313</v>
      </c>
      <c r="D415" s="8" t="s">
        <v>683</v>
      </c>
      <c r="E415" s="9" t="n">
        <v>-13</v>
      </c>
      <c r="F415" s="8" t="s">
        <v>20</v>
      </c>
    </row>
    <row r="416" customFormat="false" ht="15" hidden="false" customHeight="true" outlineLevel="0" collapsed="false">
      <c r="A416" s="34" t="n">
        <v>45775</v>
      </c>
      <c r="B416" s="8" t="s">
        <v>765</v>
      </c>
      <c r="C416" s="8" t="s">
        <v>367</v>
      </c>
      <c r="D416" s="8" t="s">
        <v>464</v>
      </c>
      <c r="E416" s="9" t="n">
        <v>-1473.11</v>
      </c>
      <c r="F416" s="8" t="s">
        <v>14</v>
      </c>
    </row>
    <row r="417" customFormat="false" ht="15" hidden="false" customHeight="true" outlineLevel="0" collapsed="false">
      <c r="A417" s="34" t="n">
        <v>45775</v>
      </c>
      <c r="B417" s="8" t="s">
        <v>766</v>
      </c>
      <c r="C417" s="8" t="s">
        <v>310</v>
      </c>
      <c r="D417" s="8" t="s">
        <v>400</v>
      </c>
      <c r="E417" s="9" t="n">
        <v>-382.21</v>
      </c>
      <c r="F417" s="8" t="s">
        <v>20</v>
      </c>
    </row>
    <row r="418" customFormat="false" ht="15" hidden="false" customHeight="true" outlineLevel="0" collapsed="false">
      <c r="A418" s="34" t="n">
        <v>45775</v>
      </c>
      <c r="B418" s="8" t="s">
        <v>767</v>
      </c>
      <c r="C418" s="8" t="s">
        <v>313</v>
      </c>
      <c r="D418" s="8" t="s">
        <v>562</v>
      </c>
      <c r="E418" s="9" t="n">
        <v>-48.57</v>
      </c>
      <c r="F418" s="8" t="s">
        <v>19</v>
      </c>
    </row>
    <row r="419" customFormat="false" ht="15" hidden="false" customHeight="true" outlineLevel="0" collapsed="false">
      <c r="A419" s="34" t="n">
        <v>45776</v>
      </c>
      <c r="B419" s="8" t="s">
        <v>768</v>
      </c>
      <c r="C419" s="8" t="s">
        <v>377</v>
      </c>
      <c r="D419" s="8" t="s">
        <v>378</v>
      </c>
      <c r="E419" s="9" t="n">
        <v>-28.2</v>
      </c>
      <c r="F419" s="8" t="s">
        <v>25</v>
      </c>
    </row>
    <row r="420" customFormat="false" ht="15" hidden="false" customHeight="true" outlineLevel="0" collapsed="false">
      <c r="A420" s="34" t="n">
        <v>45776</v>
      </c>
      <c r="B420" s="8" t="s">
        <v>769</v>
      </c>
      <c r="C420" s="8" t="s">
        <v>367</v>
      </c>
      <c r="D420" s="8" t="s">
        <v>770</v>
      </c>
      <c r="E420" s="9" t="n">
        <v>-10738.2</v>
      </c>
      <c r="F420" s="8" t="s">
        <v>10</v>
      </c>
    </row>
    <row r="421" customFormat="false" ht="15" hidden="false" customHeight="true" outlineLevel="0" collapsed="false">
      <c r="A421" s="34" t="n">
        <v>45776</v>
      </c>
      <c r="B421" s="8" t="s">
        <v>768</v>
      </c>
      <c r="C421" s="8" t="s">
        <v>359</v>
      </c>
      <c r="D421" s="8" t="s">
        <v>360</v>
      </c>
      <c r="E421" s="9" t="n">
        <v>-1.2</v>
      </c>
      <c r="F421" s="8" t="s">
        <v>25</v>
      </c>
    </row>
    <row r="422" customFormat="false" ht="15" hidden="false" customHeight="true" outlineLevel="0" collapsed="false">
      <c r="A422" s="34" t="n">
        <v>45776</v>
      </c>
      <c r="B422" s="8" t="s">
        <v>771</v>
      </c>
      <c r="C422" s="8" t="s">
        <v>313</v>
      </c>
      <c r="D422" s="8" t="s">
        <v>450</v>
      </c>
      <c r="E422" s="9" t="n">
        <v>-55.84</v>
      </c>
      <c r="F422" s="8" t="s">
        <v>20</v>
      </c>
    </row>
    <row r="423" customFormat="false" ht="15" hidden="false" customHeight="true" outlineLevel="0" collapsed="false">
      <c r="A423" s="34" t="n">
        <v>45776</v>
      </c>
      <c r="B423" s="8" t="s">
        <v>768</v>
      </c>
      <c r="C423" s="8" t="s">
        <v>380</v>
      </c>
      <c r="D423" s="8" t="s">
        <v>381</v>
      </c>
      <c r="E423" s="9" t="n">
        <v>-3596.54</v>
      </c>
      <c r="F423" s="8" t="s">
        <v>12</v>
      </c>
    </row>
    <row r="424" customFormat="false" ht="15" hidden="false" customHeight="true" outlineLevel="0" collapsed="false">
      <c r="A424" s="34" t="n">
        <v>45776</v>
      </c>
      <c r="B424" s="8" t="s">
        <v>768</v>
      </c>
      <c r="C424" s="8" t="s">
        <v>382</v>
      </c>
      <c r="D424" s="8" t="s">
        <v>383</v>
      </c>
      <c r="E424" s="9" t="n">
        <v>-15.6</v>
      </c>
      <c r="F424" s="8" t="s">
        <v>25</v>
      </c>
    </row>
    <row r="425" customFormat="false" ht="15" hidden="false" customHeight="true" outlineLevel="0" collapsed="false">
      <c r="A425" s="34" t="n">
        <v>45776</v>
      </c>
      <c r="B425" s="8" t="s">
        <v>768</v>
      </c>
      <c r="C425" s="8" t="s">
        <v>373</v>
      </c>
      <c r="D425" s="8"/>
      <c r="E425" s="9" t="n">
        <v>-17</v>
      </c>
      <c r="F425" s="8" t="s">
        <v>25</v>
      </c>
    </row>
    <row r="426" customFormat="false" ht="15" hidden="false" customHeight="true" outlineLevel="0" collapsed="false">
      <c r="A426" s="34" t="n">
        <v>45776</v>
      </c>
      <c r="B426" s="8" t="s">
        <v>772</v>
      </c>
      <c r="C426" s="8" t="s">
        <v>367</v>
      </c>
      <c r="D426" s="8" t="s">
        <v>476</v>
      </c>
      <c r="E426" s="9" t="n">
        <v>-1984.55</v>
      </c>
      <c r="F426" s="8" t="s">
        <v>14</v>
      </c>
    </row>
    <row r="427" customFormat="false" ht="15" hidden="false" customHeight="true" outlineLevel="0" collapsed="false">
      <c r="A427" s="34" t="n">
        <v>45776</v>
      </c>
      <c r="B427" s="8" t="s">
        <v>773</v>
      </c>
      <c r="C427" s="8" t="s">
        <v>310</v>
      </c>
      <c r="D427" s="8" t="s">
        <v>678</v>
      </c>
      <c r="E427" s="9" t="n">
        <v>-15.95</v>
      </c>
      <c r="F427" s="8" t="s">
        <v>19</v>
      </c>
    </row>
    <row r="428" customFormat="false" ht="15" hidden="false" customHeight="true" outlineLevel="0" collapsed="false">
      <c r="A428" s="34" t="n">
        <v>45777</v>
      </c>
      <c r="B428" s="8" t="s">
        <v>774</v>
      </c>
      <c r="C428" s="8" t="s">
        <v>333</v>
      </c>
      <c r="D428" s="8" t="s">
        <v>334</v>
      </c>
      <c r="E428" s="9" t="n">
        <v>143.9</v>
      </c>
      <c r="F428" s="8" t="s">
        <v>335</v>
      </c>
    </row>
    <row r="429" customFormat="false" ht="15" hidden="false" customHeight="true" outlineLevel="0" collapsed="false">
      <c r="A429" s="34" t="n">
        <v>45777</v>
      </c>
      <c r="B429" s="8" t="s">
        <v>775</v>
      </c>
      <c r="C429" s="8" t="s">
        <v>310</v>
      </c>
      <c r="D429" s="8" t="s">
        <v>319</v>
      </c>
      <c r="E429" s="9" t="n">
        <v>-60.07</v>
      </c>
      <c r="F429" s="8" t="s">
        <v>13</v>
      </c>
    </row>
    <row r="430" customFormat="false" ht="15" hidden="false" customHeight="true" outlineLevel="0" collapsed="false">
      <c r="A430" s="34" t="n">
        <v>45777</v>
      </c>
      <c r="B430" s="8" t="s">
        <v>776</v>
      </c>
      <c r="C430" s="8" t="s">
        <v>313</v>
      </c>
      <c r="D430" s="8" t="s">
        <v>777</v>
      </c>
      <c r="E430" s="9" t="n">
        <v>-15.64</v>
      </c>
      <c r="F430" s="8" t="s">
        <v>28</v>
      </c>
    </row>
    <row r="431" customFormat="false" ht="15" hidden="false" customHeight="true" outlineLevel="0" collapsed="false">
      <c r="A431" s="34" t="n">
        <v>45779</v>
      </c>
      <c r="B431" s="8" t="s">
        <v>778</v>
      </c>
      <c r="C431" s="8" t="s">
        <v>310</v>
      </c>
      <c r="D431" s="8" t="s">
        <v>317</v>
      </c>
      <c r="E431" s="9" t="n">
        <v>-562.19</v>
      </c>
      <c r="F431" s="8" t="s">
        <v>22</v>
      </c>
    </row>
    <row r="432" customFormat="false" ht="15" hidden="false" customHeight="true" outlineLevel="0" collapsed="false">
      <c r="A432" s="34" t="n">
        <v>45779</v>
      </c>
      <c r="B432" s="8" t="s">
        <v>779</v>
      </c>
      <c r="C432" s="8" t="s">
        <v>367</v>
      </c>
      <c r="D432" s="8" t="s">
        <v>368</v>
      </c>
      <c r="E432" s="9" t="n">
        <v>-10722.05</v>
      </c>
      <c r="F432" s="8" t="s">
        <v>11</v>
      </c>
    </row>
    <row r="433" customFormat="false" ht="15" hidden="false" customHeight="true" outlineLevel="0" collapsed="false">
      <c r="A433" s="34" t="n">
        <v>45779</v>
      </c>
      <c r="B433" s="8" t="s">
        <v>780</v>
      </c>
      <c r="C433" s="8" t="s">
        <v>367</v>
      </c>
      <c r="D433" s="8" t="s">
        <v>368</v>
      </c>
      <c r="E433" s="9" t="n">
        <v>-10722.05</v>
      </c>
      <c r="F433" s="8" t="s">
        <v>11</v>
      </c>
    </row>
    <row r="434" customFormat="false" ht="15" hidden="false" customHeight="true" outlineLevel="0" collapsed="false">
      <c r="A434" s="34" t="n">
        <v>45779</v>
      </c>
      <c r="B434" s="8" t="s">
        <v>781</v>
      </c>
      <c r="C434" s="8" t="s">
        <v>313</v>
      </c>
      <c r="D434" s="8" t="s">
        <v>329</v>
      </c>
      <c r="E434" s="9" t="n">
        <v>-126.36</v>
      </c>
      <c r="F434" s="8" t="s">
        <v>20</v>
      </c>
    </row>
    <row r="435" customFormat="false" ht="15" hidden="false" customHeight="true" outlineLevel="0" collapsed="false">
      <c r="A435" s="34" t="n">
        <v>45779</v>
      </c>
      <c r="B435" s="8" t="s">
        <v>782</v>
      </c>
      <c r="C435" s="8" t="s">
        <v>313</v>
      </c>
      <c r="D435" s="8" t="s">
        <v>777</v>
      </c>
      <c r="E435" s="9" t="n">
        <v>-27.49</v>
      </c>
      <c r="F435" s="8" t="s">
        <v>28</v>
      </c>
    </row>
    <row r="436" customFormat="false" ht="15" hidden="false" customHeight="true" outlineLevel="0" collapsed="false">
      <c r="A436" s="34" t="n">
        <v>45779</v>
      </c>
      <c r="B436" s="8" t="s">
        <v>783</v>
      </c>
      <c r="C436" s="8" t="s">
        <v>310</v>
      </c>
      <c r="D436" s="8" t="s">
        <v>316</v>
      </c>
      <c r="E436" s="9" t="n">
        <v>-872.67</v>
      </c>
      <c r="F436" s="8" t="s">
        <v>19</v>
      </c>
    </row>
    <row r="437" customFormat="false" ht="15" hidden="false" customHeight="true" outlineLevel="0" collapsed="false">
      <c r="A437" s="34" t="n">
        <v>45779</v>
      </c>
      <c r="B437" s="8" t="s">
        <v>784</v>
      </c>
      <c r="C437" s="8" t="s">
        <v>367</v>
      </c>
      <c r="D437" s="8" t="s">
        <v>368</v>
      </c>
      <c r="E437" s="9" t="n">
        <v>-19355.15</v>
      </c>
      <c r="F437" s="8" t="s">
        <v>11</v>
      </c>
    </row>
    <row r="438" customFormat="false" ht="15" hidden="false" customHeight="true" outlineLevel="0" collapsed="false">
      <c r="A438" s="34" t="n">
        <v>45779</v>
      </c>
      <c r="B438" s="8" t="s">
        <v>785</v>
      </c>
      <c r="C438" s="8" t="s">
        <v>411</v>
      </c>
      <c r="D438" s="8" t="s">
        <v>412</v>
      </c>
      <c r="E438" s="9" t="n">
        <v>-1314.24</v>
      </c>
      <c r="F438" s="8" t="s">
        <v>14</v>
      </c>
    </row>
    <row r="439" customFormat="false" ht="15" hidden="false" customHeight="true" outlineLevel="0" collapsed="false">
      <c r="A439" s="34" t="n">
        <v>45779</v>
      </c>
      <c r="B439" s="8" t="s">
        <v>786</v>
      </c>
      <c r="C439" s="8" t="s">
        <v>313</v>
      </c>
      <c r="D439" s="8" t="s">
        <v>777</v>
      </c>
      <c r="E439" s="9" t="n">
        <v>-142.29</v>
      </c>
      <c r="F439" s="8" t="s">
        <v>28</v>
      </c>
    </row>
    <row r="440" customFormat="false" ht="15" hidden="false" customHeight="true" outlineLevel="0" collapsed="false">
      <c r="A440" s="34" t="n">
        <v>45782</v>
      </c>
      <c r="B440" s="8" t="s">
        <v>323</v>
      </c>
      <c r="C440" s="8" t="s">
        <v>324</v>
      </c>
      <c r="D440" s="8" t="s">
        <v>325</v>
      </c>
      <c r="E440" s="9" t="n">
        <v>-42</v>
      </c>
      <c r="F440" s="8" t="s">
        <v>25</v>
      </c>
    </row>
    <row r="441" customFormat="false" ht="15" hidden="false" customHeight="true" outlineLevel="0" collapsed="false">
      <c r="A441" s="34" t="n">
        <v>45782</v>
      </c>
      <c r="B441" s="8" t="s">
        <v>787</v>
      </c>
      <c r="C441" s="8" t="s">
        <v>313</v>
      </c>
      <c r="D441" s="8" t="s">
        <v>33</v>
      </c>
      <c r="E441" s="9" t="n">
        <v>-77.52</v>
      </c>
      <c r="F441" s="8" t="s">
        <v>19</v>
      </c>
    </row>
    <row r="442" customFormat="false" ht="15" hidden="false" customHeight="true" outlineLevel="0" collapsed="false">
      <c r="A442" s="34" t="n">
        <v>45782</v>
      </c>
      <c r="B442" s="8" t="s">
        <v>788</v>
      </c>
      <c r="C442" s="8" t="s">
        <v>310</v>
      </c>
      <c r="D442" s="8" t="s">
        <v>311</v>
      </c>
      <c r="E442" s="9" t="n">
        <v>-158</v>
      </c>
      <c r="F442" s="8" t="s">
        <v>26</v>
      </c>
    </row>
    <row r="443" customFormat="false" ht="15" hidden="false" customHeight="true" outlineLevel="0" collapsed="false">
      <c r="A443" s="34" t="n">
        <v>45782</v>
      </c>
      <c r="B443" s="8" t="s">
        <v>789</v>
      </c>
      <c r="C443" s="8" t="s">
        <v>310</v>
      </c>
      <c r="D443" s="8" t="s">
        <v>317</v>
      </c>
      <c r="E443" s="9" t="n">
        <v>-145.8</v>
      </c>
      <c r="F443" s="8" t="s">
        <v>22</v>
      </c>
    </row>
    <row r="444" customFormat="false" ht="15" hidden="false" customHeight="true" outlineLevel="0" collapsed="false">
      <c r="A444" s="34" t="n">
        <v>45782</v>
      </c>
      <c r="B444" s="8" t="s">
        <v>790</v>
      </c>
      <c r="C444" s="8" t="s">
        <v>313</v>
      </c>
      <c r="D444" s="8" t="s">
        <v>33</v>
      </c>
      <c r="E444" s="9" t="n">
        <v>-69.25</v>
      </c>
      <c r="F444" s="8" t="s">
        <v>19</v>
      </c>
    </row>
    <row r="445" customFormat="false" ht="15" hidden="false" customHeight="true" outlineLevel="0" collapsed="false">
      <c r="A445" s="34" t="n">
        <v>45783</v>
      </c>
      <c r="B445" s="8" t="s">
        <v>791</v>
      </c>
      <c r="C445" s="8" t="s">
        <v>367</v>
      </c>
      <c r="D445" s="8" t="s">
        <v>792</v>
      </c>
      <c r="E445" s="9" t="n">
        <v>-720</v>
      </c>
      <c r="F445" s="8" t="s">
        <v>17</v>
      </c>
    </row>
    <row r="446" customFormat="false" ht="15" hidden="false" customHeight="true" outlineLevel="0" collapsed="false">
      <c r="A446" s="34" t="n">
        <v>45784</v>
      </c>
      <c r="B446" s="8" t="s">
        <v>793</v>
      </c>
      <c r="C446" s="8" t="s">
        <v>333</v>
      </c>
      <c r="D446" s="8" t="s">
        <v>368</v>
      </c>
      <c r="E446" s="9" t="n">
        <v>10722.5</v>
      </c>
      <c r="F446" s="8" t="s">
        <v>11</v>
      </c>
    </row>
    <row r="447" customFormat="false" ht="15" hidden="false" customHeight="true" outlineLevel="0" collapsed="false">
      <c r="A447" s="34" t="n">
        <v>45786</v>
      </c>
      <c r="B447" s="8" t="s">
        <v>794</v>
      </c>
      <c r="C447" s="8" t="s">
        <v>313</v>
      </c>
      <c r="D447" s="8" t="s">
        <v>331</v>
      </c>
      <c r="E447" s="9" t="n">
        <v>-58</v>
      </c>
      <c r="F447" s="8" t="s">
        <v>17</v>
      </c>
    </row>
    <row r="448" customFormat="false" ht="15" hidden="false" customHeight="true" outlineLevel="0" collapsed="false">
      <c r="A448" s="34" t="n">
        <v>45786</v>
      </c>
      <c r="B448" s="8" t="s">
        <v>795</v>
      </c>
      <c r="C448" s="8" t="s">
        <v>313</v>
      </c>
      <c r="D448" s="8" t="s">
        <v>460</v>
      </c>
      <c r="E448" s="9" t="n">
        <v>-199.6</v>
      </c>
      <c r="F448" s="8" t="s">
        <v>18</v>
      </c>
    </row>
    <row r="449" customFormat="false" ht="15" hidden="false" customHeight="true" outlineLevel="0" collapsed="false">
      <c r="A449" s="34" t="n">
        <v>45789</v>
      </c>
      <c r="B449" s="8" t="s">
        <v>796</v>
      </c>
      <c r="C449" s="8" t="s">
        <v>310</v>
      </c>
      <c r="D449" s="8" t="s">
        <v>497</v>
      </c>
      <c r="E449" s="9" t="n">
        <v>-28.86</v>
      </c>
      <c r="F449" s="8" t="s">
        <v>32</v>
      </c>
    </row>
    <row r="450" customFormat="false" ht="15" hidden="false" customHeight="true" outlineLevel="0" collapsed="false">
      <c r="A450" s="34" t="n">
        <v>45789</v>
      </c>
      <c r="B450" s="8" t="s">
        <v>797</v>
      </c>
      <c r="C450" s="8" t="s">
        <v>359</v>
      </c>
      <c r="D450" s="8" t="s">
        <v>360</v>
      </c>
      <c r="E450" s="9" t="n">
        <v>-1.2</v>
      </c>
      <c r="F450" s="8" t="s">
        <v>25</v>
      </c>
    </row>
    <row r="451" customFormat="false" ht="15" hidden="false" customHeight="true" outlineLevel="0" collapsed="false">
      <c r="A451" s="34" t="n">
        <v>45789</v>
      </c>
      <c r="B451" s="8" t="s">
        <v>798</v>
      </c>
      <c r="C451" s="8" t="s">
        <v>310</v>
      </c>
      <c r="D451" s="8" t="s">
        <v>311</v>
      </c>
      <c r="E451" s="9" t="n">
        <v>-125.16</v>
      </c>
      <c r="F451" s="8" t="s">
        <v>26</v>
      </c>
    </row>
    <row r="452" customFormat="false" ht="15" hidden="false" customHeight="true" outlineLevel="0" collapsed="false">
      <c r="A452" s="34" t="n">
        <v>45789</v>
      </c>
      <c r="B452" s="8" t="s">
        <v>799</v>
      </c>
      <c r="C452" s="8" t="s">
        <v>313</v>
      </c>
      <c r="D452" s="8" t="s">
        <v>33</v>
      </c>
      <c r="E452" s="9" t="n">
        <v>-64.42</v>
      </c>
      <c r="F452" s="8" t="s">
        <v>19</v>
      </c>
    </row>
    <row r="453" customFormat="false" ht="15" hidden="false" customHeight="true" outlineLevel="0" collapsed="false">
      <c r="A453" s="34" t="n">
        <v>45789</v>
      </c>
      <c r="B453" s="8" t="s">
        <v>800</v>
      </c>
      <c r="C453" s="8" t="s">
        <v>310</v>
      </c>
      <c r="D453" s="8" t="s">
        <v>352</v>
      </c>
      <c r="E453" s="9" t="n">
        <v>-504</v>
      </c>
      <c r="F453" s="8" t="s">
        <v>23</v>
      </c>
    </row>
    <row r="454" customFormat="false" ht="15" hidden="false" customHeight="true" outlineLevel="0" collapsed="false">
      <c r="A454" s="34" t="n">
        <v>45789</v>
      </c>
      <c r="B454" s="8" t="s">
        <v>801</v>
      </c>
      <c r="C454" s="8" t="s">
        <v>310</v>
      </c>
      <c r="D454" s="8" t="s">
        <v>355</v>
      </c>
      <c r="E454" s="9" t="n">
        <v>-67.36</v>
      </c>
      <c r="F454" s="8" t="s">
        <v>31</v>
      </c>
    </row>
    <row r="455" customFormat="false" ht="15" hidden="false" customHeight="true" outlineLevel="0" collapsed="false">
      <c r="A455" s="34" t="n">
        <v>45789</v>
      </c>
      <c r="B455" s="8" t="s">
        <v>797</v>
      </c>
      <c r="C455" s="8" t="s">
        <v>361</v>
      </c>
      <c r="D455" s="8" t="s">
        <v>379</v>
      </c>
      <c r="E455" s="9" t="n">
        <v>35000</v>
      </c>
      <c r="F455" s="8" t="s">
        <v>335</v>
      </c>
    </row>
    <row r="456" customFormat="false" ht="15" hidden="false" customHeight="true" outlineLevel="0" collapsed="false">
      <c r="A456" s="34" t="n">
        <v>45789</v>
      </c>
      <c r="B456" s="8" t="s">
        <v>798</v>
      </c>
      <c r="C456" s="8" t="s">
        <v>310</v>
      </c>
      <c r="D456" s="8" t="s">
        <v>348</v>
      </c>
      <c r="E456" s="9" t="n">
        <v>-130.67</v>
      </c>
      <c r="F456" s="8" t="s">
        <v>26</v>
      </c>
    </row>
    <row r="457" customFormat="false" ht="15" hidden="false" customHeight="true" outlineLevel="0" collapsed="false">
      <c r="A457" s="34" t="n">
        <v>45790</v>
      </c>
      <c r="B457" s="8" t="s">
        <v>802</v>
      </c>
      <c r="C457" s="8" t="s">
        <v>367</v>
      </c>
      <c r="D457" s="8" t="s">
        <v>368</v>
      </c>
      <c r="E457" s="9" t="n">
        <v>-18298.64</v>
      </c>
      <c r="F457" s="8" t="s">
        <v>11</v>
      </c>
    </row>
    <row r="458" customFormat="false" ht="15" hidden="false" customHeight="true" outlineLevel="0" collapsed="false">
      <c r="A458" s="34" t="n">
        <v>45790</v>
      </c>
      <c r="B458" s="8" t="s">
        <v>803</v>
      </c>
      <c r="C458" s="8" t="s">
        <v>367</v>
      </c>
      <c r="D458" s="8" t="s">
        <v>409</v>
      </c>
      <c r="E458" s="9" t="n">
        <v>-6686</v>
      </c>
      <c r="F458" s="8" t="s">
        <v>10</v>
      </c>
    </row>
    <row r="459" customFormat="false" ht="15" hidden="false" customHeight="true" outlineLevel="0" collapsed="false">
      <c r="A459" s="34" t="n">
        <v>45790</v>
      </c>
      <c r="B459" s="8" t="s">
        <v>804</v>
      </c>
      <c r="C459" s="8" t="s">
        <v>367</v>
      </c>
      <c r="D459" s="8" t="s">
        <v>490</v>
      </c>
      <c r="E459" s="9" t="n">
        <v>-8137</v>
      </c>
      <c r="F459" s="8" t="s">
        <v>10</v>
      </c>
    </row>
    <row r="460" customFormat="false" ht="15" hidden="false" customHeight="true" outlineLevel="0" collapsed="false">
      <c r="A460" s="34" t="n">
        <v>45791</v>
      </c>
      <c r="B460" s="8" t="s">
        <v>805</v>
      </c>
      <c r="C460" s="8" t="s">
        <v>313</v>
      </c>
      <c r="D460" s="8" t="s">
        <v>364</v>
      </c>
      <c r="E460" s="9" t="n">
        <v>-40.95</v>
      </c>
      <c r="F460" s="8" t="s">
        <v>20</v>
      </c>
    </row>
    <row r="461" customFormat="false" ht="15" hidden="false" customHeight="true" outlineLevel="0" collapsed="false">
      <c r="A461" s="34" t="n">
        <v>45791</v>
      </c>
      <c r="B461" s="8" t="s">
        <v>805</v>
      </c>
      <c r="C461" s="8" t="s">
        <v>365</v>
      </c>
      <c r="D461" s="8" t="s">
        <v>364</v>
      </c>
      <c r="E461" s="9" t="n">
        <v>-0.61</v>
      </c>
      <c r="F461" s="8" t="s">
        <v>25</v>
      </c>
    </row>
    <row r="462" customFormat="false" ht="15" hidden="false" customHeight="true" outlineLevel="0" collapsed="false">
      <c r="A462" s="34" t="n">
        <v>45791</v>
      </c>
      <c r="B462" s="8" t="s">
        <v>806</v>
      </c>
      <c r="C462" s="8" t="s">
        <v>375</v>
      </c>
      <c r="D462" s="8" t="s">
        <v>376</v>
      </c>
      <c r="E462" s="9" t="n">
        <v>-24.03</v>
      </c>
      <c r="F462" s="8" t="s">
        <v>25</v>
      </c>
    </row>
    <row r="463" customFormat="false" ht="15" hidden="false" customHeight="true" outlineLevel="0" collapsed="false">
      <c r="A463" s="34" t="n">
        <v>45792</v>
      </c>
      <c r="B463" s="8" t="s">
        <v>807</v>
      </c>
      <c r="C463" s="8" t="s">
        <v>310</v>
      </c>
      <c r="D463" s="8" t="s">
        <v>400</v>
      </c>
      <c r="E463" s="9" t="n">
        <v>-181.15</v>
      </c>
      <c r="F463" s="8" t="s">
        <v>20</v>
      </c>
    </row>
    <row r="464" customFormat="false" ht="15" hidden="false" customHeight="true" outlineLevel="0" collapsed="false">
      <c r="A464" s="34" t="n">
        <v>45792</v>
      </c>
      <c r="B464" s="8" t="s">
        <v>356</v>
      </c>
      <c r="C464" s="8" t="s">
        <v>384</v>
      </c>
      <c r="D464" s="8"/>
      <c r="E464" s="9" t="n">
        <v>-7.69</v>
      </c>
      <c r="F464" s="8" t="s">
        <v>25</v>
      </c>
    </row>
    <row r="465" customFormat="false" ht="15" hidden="false" customHeight="true" outlineLevel="0" collapsed="false">
      <c r="A465" s="34" t="n">
        <v>45792</v>
      </c>
      <c r="B465" s="8" t="s">
        <v>808</v>
      </c>
      <c r="C465" s="8" t="s">
        <v>313</v>
      </c>
      <c r="D465" s="8" t="s">
        <v>809</v>
      </c>
      <c r="E465" s="9" t="n">
        <v>-16.4</v>
      </c>
      <c r="F465" s="8" t="s">
        <v>17</v>
      </c>
    </row>
    <row r="466" customFormat="false" ht="15" hidden="false" customHeight="true" outlineLevel="0" collapsed="false">
      <c r="A466" s="34" t="n">
        <v>45792</v>
      </c>
      <c r="B466" s="8" t="s">
        <v>810</v>
      </c>
      <c r="C466" s="8" t="s">
        <v>313</v>
      </c>
      <c r="D466" s="8" t="s">
        <v>33</v>
      </c>
      <c r="E466" s="9" t="n">
        <v>-67.98</v>
      </c>
      <c r="F466" s="8" t="s">
        <v>19</v>
      </c>
    </row>
    <row r="467" customFormat="false" ht="15" hidden="false" customHeight="true" outlineLevel="0" collapsed="false">
      <c r="A467" s="34" t="n">
        <v>45792</v>
      </c>
      <c r="B467" s="8" t="s">
        <v>811</v>
      </c>
      <c r="C467" s="8" t="s">
        <v>313</v>
      </c>
      <c r="D467" s="8" t="s">
        <v>623</v>
      </c>
      <c r="E467" s="9" t="n">
        <v>-1.3</v>
      </c>
      <c r="F467" s="8" t="s">
        <v>19</v>
      </c>
    </row>
    <row r="468" customFormat="false" ht="15" hidden="false" customHeight="true" outlineLevel="0" collapsed="false">
      <c r="A468" s="34" t="n">
        <v>45793</v>
      </c>
      <c r="B468" s="8" t="s">
        <v>812</v>
      </c>
      <c r="C468" s="8" t="s">
        <v>310</v>
      </c>
      <c r="D468" s="8" t="s">
        <v>319</v>
      </c>
      <c r="E468" s="9" t="n">
        <v>-108.36</v>
      </c>
      <c r="F468" s="8" t="s">
        <v>13</v>
      </c>
    </row>
    <row r="469" customFormat="false" ht="15" hidden="false" customHeight="true" outlineLevel="0" collapsed="false">
      <c r="A469" s="34" t="n">
        <v>45793</v>
      </c>
      <c r="B469" s="8" t="s">
        <v>813</v>
      </c>
      <c r="C469" s="8" t="s">
        <v>310</v>
      </c>
      <c r="D469" s="8" t="s">
        <v>390</v>
      </c>
      <c r="E469" s="9" t="n">
        <v>-2794</v>
      </c>
      <c r="F469" s="8" t="s">
        <v>15</v>
      </c>
    </row>
    <row r="470" customFormat="false" ht="15" hidden="false" customHeight="true" outlineLevel="0" collapsed="false">
      <c r="A470" s="34" t="n">
        <v>45793</v>
      </c>
      <c r="B470" s="8" t="s">
        <v>814</v>
      </c>
      <c r="C470" s="8" t="s">
        <v>313</v>
      </c>
      <c r="D470" s="8" t="s">
        <v>33</v>
      </c>
      <c r="E470" s="9" t="n">
        <v>-26.78</v>
      </c>
      <c r="F470" s="8" t="s">
        <v>19</v>
      </c>
    </row>
    <row r="471" customFormat="false" ht="15" hidden="false" customHeight="true" outlineLevel="0" collapsed="false">
      <c r="A471" s="34" t="n">
        <v>45793</v>
      </c>
      <c r="B471" s="8" t="s">
        <v>815</v>
      </c>
      <c r="C471" s="8" t="s">
        <v>367</v>
      </c>
      <c r="D471" s="8" t="s">
        <v>464</v>
      </c>
      <c r="E471" s="9" t="n">
        <v>-2800</v>
      </c>
      <c r="F471" s="8" t="s">
        <v>14</v>
      </c>
    </row>
    <row r="472" customFormat="false" ht="15" hidden="false" customHeight="true" outlineLevel="0" collapsed="false">
      <c r="A472" s="34" t="n">
        <v>45793</v>
      </c>
      <c r="B472" s="8" t="s">
        <v>816</v>
      </c>
      <c r="C472" s="8" t="s">
        <v>313</v>
      </c>
      <c r="D472" s="8" t="s">
        <v>440</v>
      </c>
      <c r="E472" s="9" t="n">
        <v>-8.66</v>
      </c>
      <c r="F472" s="8" t="s">
        <v>30</v>
      </c>
    </row>
    <row r="473" customFormat="false" ht="15" hidden="false" customHeight="true" outlineLevel="0" collapsed="false">
      <c r="A473" s="34" t="n">
        <v>45796</v>
      </c>
      <c r="B473" s="8" t="s">
        <v>817</v>
      </c>
      <c r="C473" s="8" t="s">
        <v>313</v>
      </c>
      <c r="D473" s="8" t="s">
        <v>33</v>
      </c>
      <c r="E473" s="9" t="n">
        <v>-61.37</v>
      </c>
      <c r="F473" s="8" t="s">
        <v>19</v>
      </c>
    </row>
    <row r="474" customFormat="false" ht="15" hidden="false" customHeight="true" outlineLevel="0" collapsed="false">
      <c r="A474" s="34" t="n">
        <v>45796</v>
      </c>
      <c r="B474" s="8" t="s">
        <v>818</v>
      </c>
      <c r="C474" s="8" t="s">
        <v>313</v>
      </c>
      <c r="D474" s="8" t="s">
        <v>346</v>
      </c>
      <c r="E474" s="9" t="n">
        <v>-10.7</v>
      </c>
      <c r="F474" s="8" t="s">
        <v>19</v>
      </c>
    </row>
    <row r="475" customFormat="false" ht="15" hidden="false" customHeight="true" outlineLevel="0" collapsed="false">
      <c r="A475" s="34" t="n">
        <v>45796</v>
      </c>
      <c r="B475" s="8" t="s">
        <v>819</v>
      </c>
      <c r="C475" s="8" t="s">
        <v>313</v>
      </c>
      <c r="D475" s="8" t="s">
        <v>341</v>
      </c>
      <c r="E475" s="9" t="n">
        <v>-10.7</v>
      </c>
      <c r="F475" s="8" t="s">
        <v>19</v>
      </c>
    </row>
    <row r="476" customFormat="false" ht="15" hidden="false" customHeight="true" outlineLevel="0" collapsed="false">
      <c r="A476" s="34" t="n">
        <v>45796</v>
      </c>
      <c r="B476" s="8" t="s">
        <v>820</v>
      </c>
      <c r="C476" s="8" t="s">
        <v>313</v>
      </c>
      <c r="D476" s="8" t="s">
        <v>337</v>
      </c>
      <c r="E476" s="9" t="n">
        <v>-70</v>
      </c>
      <c r="F476" s="8" t="s">
        <v>19</v>
      </c>
    </row>
    <row r="477" customFormat="false" ht="15" hidden="false" customHeight="true" outlineLevel="0" collapsed="false">
      <c r="A477" s="34" t="n">
        <v>45796</v>
      </c>
      <c r="B477" s="8" t="s">
        <v>821</v>
      </c>
      <c r="C477" s="8" t="s">
        <v>411</v>
      </c>
      <c r="D477" s="8" t="s">
        <v>822</v>
      </c>
      <c r="E477" s="9" t="n">
        <v>-218.27</v>
      </c>
      <c r="F477" s="8" t="s">
        <v>17</v>
      </c>
    </row>
    <row r="478" customFormat="false" ht="15" hidden="false" customHeight="true" outlineLevel="0" collapsed="false">
      <c r="A478" s="34" t="n">
        <v>45796</v>
      </c>
      <c r="B478" s="8" t="s">
        <v>823</v>
      </c>
      <c r="C478" s="8" t="s">
        <v>313</v>
      </c>
      <c r="D478" s="8" t="s">
        <v>723</v>
      </c>
      <c r="E478" s="9" t="n">
        <v>-54</v>
      </c>
      <c r="F478" s="8" t="s">
        <v>18</v>
      </c>
    </row>
    <row r="479" customFormat="false" ht="15" hidden="false" customHeight="true" outlineLevel="0" collapsed="false">
      <c r="A479" s="34" t="n">
        <v>45796</v>
      </c>
      <c r="B479" s="8" t="s">
        <v>823</v>
      </c>
      <c r="C479" s="8" t="s">
        <v>313</v>
      </c>
      <c r="D479" s="8" t="s">
        <v>723</v>
      </c>
      <c r="E479" s="9" t="n">
        <v>-802.32</v>
      </c>
      <c r="F479" s="8" t="s">
        <v>18</v>
      </c>
    </row>
    <row r="480" customFormat="false" ht="15" hidden="false" customHeight="true" outlineLevel="0" collapsed="false">
      <c r="A480" s="34" t="n">
        <v>45797</v>
      </c>
      <c r="B480" s="8" t="s">
        <v>824</v>
      </c>
      <c r="C480" s="8" t="s">
        <v>377</v>
      </c>
      <c r="D480" s="8" t="s">
        <v>378</v>
      </c>
      <c r="E480" s="9" t="n">
        <v>-28.2</v>
      </c>
      <c r="F480" s="8" t="s">
        <v>25</v>
      </c>
    </row>
    <row r="481" customFormat="false" ht="15" hidden="false" customHeight="true" outlineLevel="0" collapsed="false">
      <c r="A481" s="34" t="n">
        <v>45797</v>
      </c>
      <c r="B481" s="8" t="s">
        <v>825</v>
      </c>
      <c r="C481" s="8" t="s">
        <v>313</v>
      </c>
      <c r="D481" s="8" t="s">
        <v>518</v>
      </c>
      <c r="E481" s="9" t="n">
        <v>-6.2</v>
      </c>
      <c r="F481" s="8" t="s">
        <v>19</v>
      </c>
    </row>
    <row r="482" customFormat="false" ht="15" hidden="false" customHeight="true" outlineLevel="0" collapsed="false">
      <c r="A482" s="34" t="n">
        <v>45797</v>
      </c>
      <c r="B482" s="8" t="s">
        <v>826</v>
      </c>
      <c r="C482" s="8" t="s">
        <v>313</v>
      </c>
      <c r="D482" s="8" t="s">
        <v>681</v>
      </c>
      <c r="E482" s="9" t="n">
        <v>-779.93</v>
      </c>
      <c r="F482" s="8" t="s">
        <v>28</v>
      </c>
    </row>
    <row r="483" customFormat="false" ht="15" hidden="false" customHeight="true" outlineLevel="0" collapsed="false">
      <c r="A483" s="34" t="n">
        <v>45797</v>
      </c>
      <c r="B483" s="8" t="s">
        <v>824</v>
      </c>
      <c r="C483" s="8" t="s">
        <v>359</v>
      </c>
      <c r="D483" s="8" t="s">
        <v>360</v>
      </c>
      <c r="E483" s="9" t="n">
        <v>-1.2</v>
      </c>
      <c r="F483" s="8" t="s">
        <v>25</v>
      </c>
    </row>
    <row r="484" customFormat="false" ht="15" hidden="false" customHeight="true" outlineLevel="0" collapsed="false">
      <c r="A484" s="34" t="n">
        <v>45797</v>
      </c>
      <c r="B484" s="8" t="s">
        <v>824</v>
      </c>
      <c r="C484" s="8" t="s">
        <v>382</v>
      </c>
      <c r="D484" s="8" t="s">
        <v>383</v>
      </c>
      <c r="E484" s="9" t="n">
        <v>-15.6</v>
      </c>
      <c r="F484" s="8" t="s">
        <v>25</v>
      </c>
    </row>
    <row r="485" customFormat="false" ht="15" hidden="false" customHeight="true" outlineLevel="0" collapsed="false">
      <c r="A485" s="34" t="n">
        <v>45797</v>
      </c>
      <c r="B485" s="8" t="s">
        <v>824</v>
      </c>
      <c r="C485" s="8" t="s">
        <v>373</v>
      </c>
      <c r="D485" s="8"/>
      <c r="E485" s="9" t="n">
        <v>-17</v>
      </c>
      <c r="F485" s="8" t="s">
        <v>25</v>
      </c>
    </row>
    <row r="486" customFormat="false" ht="15" hidden="false" customHeight="true" outlineLevel="0" collapsed="false">
      <c r="A486" s="34" t="n">
        <v>45797</v>
      </c>
      <c r="B486" s="8" t="s">
        <v>824</v>
      </c>
      <c r="C486" s="8" t="s">
        <v>380</v>
      </c>
      <c r="D486" s="8" t="s">
        <v>381</v>
      </c>
      <c r="E486" s="9" t="n">
        <v>-1752.85</v>
      </c>
      <c r="F486" s="8" t="s">
        <v>12</v>
      </c>
    </row>
    <row r="487" customFormat="false" ht="15" hidden="false" customHeight="true" outlineLevel="0" collapsed="false">
      <c r="A487" s="34" t="n">
        <v>45798</v>
      </c>
      <c r="B487" s="8" t="s">
        <v>827</v>
      </c>
      <c r="C487" s="8" t="s">
        <v>414</v>
      </c>
      <c r="D487" s="8" t="s">
        <v>415</v>
      </c>
      <c r="E487" s="9" t="n">
        <v>-191</v>
      </c>
      <c r="F487" s="8" t="s">
        <v>15</v>
      </c>
    </row>
    <row r="488" customFormat="false" ht="15" hidden="false" customHeight="true" outlineLevel="0" collapsed="false">
      <c r="A488" s="34" t="n">
        <v>45798</v>
      </c>
      <c r="B488" s="8" t="s">
        <v>828</v>
      </c>
      <c r="C488" s="8" t="s">
        <v>313</v>
      </c>
      <c r="D488" s="8" t="s">
        <v>829</v>
      </c>
      <c r="E488" s="9" t="n">
        <v>-37.2</v>
      </c>
      <c r="F488" s="8" t="s">
        <v>19</v>
      </c>
    </row>
    <row r="489" customFormat="false" ht="15" hidden="false" customHeight="true" outlineLevel="0" collapsed="false">
      <c r="A489" s="34" t="n">
        <v>45799</v>
      </c>
      <c r="B489" s="8" t="s">
        <v>830</v>
      </c>
      <c r="C489" s="8" t="s">
        <v>359</v>
      </c>
      <c r="D489" s="8" t="s">
        <v>360</v>
      </c>
      <c r="E489" s="9" t="n">
        <v>-1.2</v>
      </c>
      <c r="F489" s="8" t="s">
        <v>25</v>
      </c>
    </row>
    <row r="490" customFormat="false" ht="15" hidden="false" customHeight="true" outlineLevel="0" collapsed="false">
      <c r="A490" s="34" t="n">
        <v>45799</v>
      </c>
      <c r="B490" s="8" t="s">
        <v>831</v>
      </c>
      <c r="C490" s="8" t="s">
        <v>313</v>
      </c>
      <c r="D490" s="8" t="s">
        <v>440</v>
      </c>
      <c r="E490" s="9" t="n">
        <v>-16.75</v>
      </c>
      <c r="F490" s="8" t="s">
        <v>30</v>
      </c>
    </row>
    <row r="491" customFormat="false" ht="15" hidden="false" customHeight="true" outlineLevel="0" collapsed="false">
      <c r="A491" s="34" t="n">
        <v>45799</v>
      </c>
      <c r="B491" s="8" t="s">
        <v>830</v>
      </c>
      <c r="C491" s="8" t="s">
        <v>361</v>
      </c>
      <c r="D491" s="8" t="s">
        <v>379</v>
      </c>
      <c r="E491" s="9" t="n">
        <v>6000</v>
      </c>
      <c r="F491" s="8" t="s">
        <v>335</v>
      </c>
    </row>
    <row r="492" customFormat="false" ht="15" hidden="false" customHeight="true" outlineLevel="0" collapsed="false">
      <c r="A492" s="34" t="n">
        <v>45800</v>
      </c>
      <c r="B492" s="8" t="s">
        <v>832</v>
      </c>
      <c r="C492" s="8" t="s">
        <v>359</v>
      </c>
      <c r="D492" s="8" t="s">
        <v>360</v>
      </c>
      <c r="E492" s="9" t="n">
        <v>-1.2</v>
      </c>
      <c r="F492" s="8" t="s">
        <v>25</v>
      </c>
    </row>
    <row r="493" customFormat="false" ht="15" hidden="false" customHeight="true" outlineLevel="0" collapsed="false">
      <c r="A493" s="34" t="n">
        <v>45800</v>
      </c>
      <c r="B493" s="8" t="s">
        <v>833</v>
      </c>
      <c r="C493" s="8" t="s">
        <v>310</v>
      </c>
      <c r="D493" s="8" t="s">
        <v>390</v>
      </c>
      <c r="E493" s="9" t="n">
        <v>-93</v>
      </c>
      <c r="F493" s="8" t="s">
        <v>15</v>
      </c>
    </row>
    <row r="494" customFormat="false" ht="15" hidden="false" customHeight="true" outlineLevel="0" collapsed="false">
      <c r="A494" s="34" t="n">
        <v>45800</v>
      </c>
      <c r="B494" s="8" t="s">
        <v>832</v>
      </c>
      <c r="C494" s="8" t="s">
        <v>382</v>
      </c>
      <c r="D494" s="8" t="s">
        <v>658</v>
      </c>
      <c r="E494" s="9" t="n">
        <v>-21.6</v>
      </c>
      <c r="F494" s="8" t="s">
        <v>25</v>
      </c>
    </row>
    <row r="495" customFormat="false" ht="15" hidden="false" customHeight="true" outlineLevel="0" collapsed="false">
      <c r="A495" s="34" t="n">
        <v>45800</v>
      </c>
      <c r="B495" s="8" t="s">
        <v>834</v>
      </c>
      <c r="C495" s="8" t="s">
        <v>313</v>
      </c>
      <c r="D495" s="8" t="s">
        <v>33</v>
      </c>
      <c r="E495" s="9" t="n">
        <v>-83.98</v>
      </c>
      <c r="F495" s="8" t="s">
        <v>19</v>
      </c>
    </row>
    <row r="496" customFormat="false" ht="15" hidden="false" customHeight="true" outlineLevel="0" collapsed="false">
      <c r="A496" s="34" t="n">
        <v>45800</v>
      </c>
      <c r="B496" s="8" t="s">
        <v>835</v>
      </c>
      <c r="C496" s="8" t="s">
        <v>313</v>
      </c>
      <c r="D496" s="8" t="s">
        <v>331</v>
      </c>
      <c r="E496" s="9" t="n">
        <v>-43</v>
      </c>
      <c r="F496" s="8" t="s">
        <v>17</v>
      </c>
    </row>
    <row r="497" customFormat="false" ht="15" hidden="false" customHeight="true" outlineLevel="0" collapsed="false">
      <c r="A497" s="34" t="n">
        <v>45800</v>
      </c>
      <c r="B497" s="8" t="s">
        <v>832</v>
      </c>
      <c r="C497" s="8" t="s">
        <v>380</v>
      </c>
      <c r="D497" s="8" t="s">
        <v>657</v>
      </c>
      <c r="E497" s="9" t="n">
        <v>-11187.07</v>
      </c>
      <c r="F497" s="8" t="s">
        <v>12</v>
      </c>
    </row>
    <row r="498" customFormat="false" ht="15" hidden="false" customHeight="true" outlineLevel="0" collapsed="false">
      <c r="A498" s="34" t="n">
        <v>45800</v>
      </c>
      <c r="B498" s="8" t="s">
        <v>836</v>
      </c>
      <c r="C498" s="8" t="s">
        <v>313</v>
      </c>
      <c r="D498" s="8" t="s">
        <v>393</v>
      </c>
      <c r="E498" s="9" t="n">
        <v>-22.09</v>
      </c>
      <c r="F498" s="8" t="s">
        <v>19</v>
      </c>
    </row>
    <row r="499" customFormat="false" ht="15" hidden="false" customHeight="true" outlineLevel="0" collapsed="false">
      <c r="A499" s="34" t="n">
        <v>45800</v>
      </c>
      <c r="B499" s="8" t="s">
        <v>837</v>
      </c>
      <c r="C499" s="8" t="s">
        <v>313</v>
      </c>
      <c r="D499" s="8" t="s">
        <v>518</v>
      </c>
      <c r="E499" s="9" t="n">
        <v>-7.6</v>
      </c>
      <c r="F499" s="8" t="s">
        <v>19</v>
      </c>
    </row>
    <row r="500" customFormat="false" ht="15" hidden="false" customHeight="true" outlineLevel="0" collapsed="false">
      <c r="A500" s="34" t="n">
        <v>45800</v>
      </c>
      <c r="B500" s="8" t="s">
        <v>832</v>
      </c>
      <c r="C500" s="8" t="s">
        <v>373</v>
      </c>
      <c r="D500" s="8"/>
      <c r="E500" s="9" t="n">
        <v>-21.5</v>
      </c>
      <c r="F500" s="8" t="s">
        <v>25</v>
      </c>
    </row>
    <row r="501" customFormat="false" ht="15" hidden="false" customHeight="true" outlineLevel="0" collapsed="false">
      <c r="A501" s="34" t="n">
        <v>45800</v>
      </c>
      <c r="B501" s="8" t="s">
        <v>832</v>
      </c>
      <c r="C501" s="8" t="s">
        <v>377</v>
      </c>
      <c r="D501" s="8" t="s">
        <v>378</v>
      </c>
      <c r="E501" s="9" t="n">
        <v>-28.2</v>
      </c>
      <c r="F501" s="8" t="s">
        <v>25</v>
      </c>
    </row>
    <row r="502" customFormat="false" ht="15" hidden="false" customHeight="true" outlineLevel="0" collapsed="false">
      <c r="A502" s="34" t="n">
        <v>45803</v>
      </c>
      <c r="B502" s="8" t="s">
        <v>838</v>
      </c>
      <c r="C502" s="8" t="s">
        <v>313</v>
      </c>
      <c r="D502" s="8" t="s">
        <v>344</v>
      </c>
      <c r="E502" s="9" t="n">
        <v>-7.14</v>
      </c>
      <c r="F502" s="8" t="s">
        <v>13</v>
      </c>
    </row>
    <row r="503" customFormat="false" ht="15" hidden="false" customHeight="true" outlineLevel="0" collapsed="false">
      <c r="A503" s="34" t="n">
        <v>45803</v>
      </c>
      <c r="B503" s="8" t="s">
        <v>839</v>
      </c>
      <c r="C503" s="8" t="s">
        <v>313</v>
      </c>
      <c r="D503" s="8" t="s">
        <v>346</v>
      </c>
      <c r="E503" s="9" t="n">
        <v>-4.3</v>
      </c>
      <c r="F503" s="8" t="s">
        <v>19</v>
      </c>
    </row>
    <row r="504" customFormat="false" ht="15" hidden="false" customHeight="true" outlineLevel="0" collapsed="false">
      <c r="A504" s="34" t="n">
        <v>45803</v>
      </c>
      <c r="B504" s="8" t="s">
        <v>840</v>
      </c>
      <c r="C504" s="8" t="s">
        <v>313</v>
      </c>
      <c r="D504" s="8" t="s">
        <v>341</v>
      </c>
      <c r="E504" s="9" t="n">
        <v>-6.3</v>
      </c>
      <c r="F504" s="8" t="s">
        <v>19</v>
      </c>
    </row>
    <row r="505" customFormat="false" ht="15" hidden="false" customHeight="true" outlineLevel="0" collapsed="false">
      <c r="A505" s="34" t="n">
        <v>45803</v>
      </c>
      <c r="B505" s="8" t="s">
        <v>841</v>
      </c>
      <c r="C505" s="8" t="s">
        <v>313</v>
      </c>
      <c r="D505" s="8" t="s">
        <v>518</v>
      </c>
      <c r="E505" s="9" t="n">
        <v>-7.3</v>
      </c>
      <c r="F505" s="8" t="s">
        <v>19</v>
      </c>
    </row>
    <row r="506" customFormat="false" ht="15" hidden="false" customHeight="true" outlineLevel="0" collapsed="false">
      <c r="A506" s="34" t="n">
        <v>45803</v>
      </c>
      <c r="B506" s="8" t="s">
        <v>842</v>
      </c>
      <c r="C506" s="8" t="s">
        <v>310</v>
      </c>
      <c r="D506" s="8" t="s">
        <v>432</v>
      </c>
      <c r="E506" s="9" t="n">
        <v>-610.81</v>
      </c>
      <c r="F506" s="8" t="s">
        <v>15</v>
      </c>
    </row>
    <row r="507" customFormat="false" ht="15" hidden="false" customHeight="true" outlineLevel="0" collapsed="false">
      <c r="A507" s="34" t="n">
        <v>45803</v>
      </c>
      <c r="B507" s="8" t="s">
        <v>840</v>
      </c>
      <c r="C507" s="8" t="s">
        <v>313</v>
      </c>
      <c r="D507" s="8" t="s">
        <v>341</v>
      </c>
      <c r="E507" s="9" t="n">
        <v>-2.2</v>
      </c>
      <c r="F507" s="8" t="s">
        <v>19</v>
      </c>
    </row>
    <row r="508" customFormat="false" ht="15" hidden="false" customHeight="true" outlineLevel="0" collapsed="false">
      <c r="A508" s="34" t="n">
        <v>45803</v>
      </c>
      <c r="B508" s="8" t="s">
        <v>843</v>
      </c>
      <c r="C508" s="8" t="s">
        <v>313</v>
      </c>
      <c r="D508" s="8" t="s">
        <v>341</v>
      </c>
      <c r="E508" s="9" t="n">
        <v>-5.7</v>
      </c>
      <c r="F508" s="8" t="s">
        <v>19</v>
      </c>
    </row>
    <row r="509" customFormat="false" ht="15" hidden="false" customHeight="true" outlineLevel="0" collapsed="false">
      <c r="A509" s="34" t="n">
        <v>45803</v>
      </c>
      <c r="B509" s="8" t="s">
        <v>844</v>
      </c>
      <c r="C509" s="8" t="s">
        <v>310</v>
      </c>
      <c r="D509" s="8" t="s">
        <v>400</v>
      </c>
      <c r="E509" s="9" t="n">
        <v>-307.76</v>
      </c>
      <c r="F509" s="8" t="s">
        <v>20</v>
      </c>
    </row>
    <row r="510" customFormat="false" ht="15" hidden="false" customHeight="true" outlineLevel="0" collapsed="false">
      <c r="A510" s="34" t="n">
        <v>45804</v>
      </c>
      <c r="B510" s="8" t="s">
        <v>845</v>
      </c>
      <c r="C510" s="8" t="s">
        <v>313</v>
      </c>
      <c r="D510" s="8" t="s">
        <v>344</v>
      </c>
      <c r="E510" s="9" t="n">
        <v>-22.45</v>
      </c>
      <c r="F510" s="8" t="s">
        <v>13</v>
      </c>
    </row>
    <row r="511" customFormat="false" ht="15" hidden="false" customHeight="true" outlineLevel="0" collapsed="false">
      <c r="A511" s="34" t="n">
        <v>45804</v>
      </c>
      <c r="B511" s="8" t="s">
        <v>846</v>
      </c>
      <c r="C511" s="8" t="s">
        <v>313</v>
      </c>
      <c r="D511" s="8" t="s">
        <v>337</v>
      </c>
      <c r="E511" s="9" t="n">
        <v>-85.7</v>
      </c>
      <c r="F511" s="8" t="s">
        <v>19</v>
      </c>
    </row>
    <row r="512" customFormat="false" ht="15" hidden="false" customHeight="true" outlineLevel="0" collapsed="false">
      <c r="A512" s="34" t="n">
        <v>45804</v>
      </c>
      <c r="B512" s="8" t="s">
        <v>847</v>
      </c>
      <c r="C512" s="8" t="s">
        <v>313</v>
      </c>
      <c r="D512" s="8" t="s">
        <v>518</v>
      </c>
      <c r="E512" s="9" t="n">
        <v>-4.7</v>
      </c>
      <c r="F512" s="8" t="s">
        <v>19</v>
      </c>
    </row>
    <row r="513" customFormat="false" ht="15" hidden="false" customHeight="true" outlineLevel="0" collapsed="false">
      <c r="A513" s="34" t="n">
        <v>45805</v>
      </c>
      <c r="B513" s="8" t="s">
        <v>848</v>
      </c>
      <c r="C513" s="8" t="s">
        <v>367</v>
      </c>
      <c r="D513" s="8" t="s">
        <v>476</v>
      </c>
      <c r="E513" s="9" t="n">
        <v>-1984.55</v>
      </c>
      <c r="F513" s="8" t="s">
        <v>14</v>
      </c>
    </row>
    <row r="514" customFormat="false" ht="15" hidden="false" customHeight="true" outlineLevel="0" collapsed="false">
      <c r="A514" s="34" t="n">
        <v>45805</v>
      </c>
      <c r="B514" s="8" t="s">
        <v>849</v>
      </c>
      <c r="C514" s="8" t="s">
        <v>313</v>
      </c>
      <c r="D514" s="8" t="s">
        <v>683</v>
      </c>
      <c r="E514" s="9" t="n">
        <v>-13</v>
      </c>
      <c r="F514" s="8" t="s">
        <v>20</v>
      </c>
    </row>
    <row r="515" customFormat="false" ht="15" hidden="false" customHeight="true" outlineLevel="0" collapsed="false">
      <c r="A515" s="34" t="n">
        <v>45805</v>
      </c>
      <c r="B515" s="8" t="s">
        <v>850</v>
      </c>
      <c r="C515" s="8" t="s">
        <v>310</v>
      </c>
      <c r="D515" s="8" t="s">
        <v>851</v>
      </c>
      <c r="E515" s="9" t="n">
        <v>-15.95</v>
      </c>
      <c r="F515" s="8" t="s">
        <v>19</v>
      </c>
    </row>
    <row r="516" customFormat="false" ht="15" hidden="false" customHeight="true" outlineLevel="0" collapsed="false">
      <c r="A516" s="34" t="n">
        <v>45805</v>
      </c>
      <c r="B516" s="8" t="s">
        <v>852</v>
      </c>
      <c r="C516" s="8" t="s">
        <v>359</v>
      </c>
      <c r="D516" s="8" t="s">
        <v>360</v>
      </c>
      <c r="E516" s="9" t="n">
        <v>-1.2</v>
      </c>
      <c r="F516" s="8" t="s">
        <v>25</v>
      </c>
    </row>
    <row r="517" customFormat="false" ht="15" hidden="false" customHeight="true" outlineLevel="0" collapsed="false">
      <c r="A517" s="34" t="n">
        <v>45805</v>
      </c>
      <c r="B517" s="8" t="s">
        <v>853</v>
      </c>
      <c r="C517" s="8" t="s">
        <v>367</v>
      </c>
      <c r="D517" s="8" t="s">
        <v>464</v>
      </c>
      <c r="E517" s="9" t="n">
        <v>-1240.11</v>
      </c>
      <c r="F517" s="8" t="s">
        <v>14</v>
      </c>
    </row>
    <row r="518" customFormat="false" ht="15" hidden="false" customHeight="true" outlineLevel="0" collapsed="false">
      <c r="A518" s="34" t="n">
        <v>45805</v>
      </c>
      <c r="B518" s="8" t="s">
        <v>852</v>
      </c>
      <c r="C518" s="8" t="s">
        <v>361</v>
      </c>
      <c r="D518" s="8" t="s">
        <v>379</v>
      </c>
      <c r="E518" s="9" t="n">
        <v>60000</v>
      </c>
      <c r="F518" s="8" t="s">
        <v>335</v>
      </c>
    </row>
    <row r="519" customFormat="false" ht="15" hidden="false" customHeight="true" outlineLevel="0" collapsed="false">
      <c r="A519" s="34" t="n">
        <v>45806</v>
      </c>
      <c r="B519" s="8" t="s">
        <v>854</v>
      </c>
      <c r="C519" s="8" t="s">
        <v>333</v>
      </c>
      <c r="D519" s="8" t="s">
        <v>334</v>
      </c>
      <c r="E519" s="9" t="n">
        <v>126.61</v>
      </c>
      <c r="F519" s="8" t="s">
        <v>335</v>
      </c>
    </row>
    <row r="520" customFormat="false" ht="15" hidden="false" customHeight="true" outlineLevel="0" collapsed="false">
      <c r="A520" s="34" t="n">
        <v>45807</v>
      </c>
      <c r="B520" s="8" t="s">
        <v>855</v>
      </c>
      <c r="C520" s="8" t="s">
        <v>313</v>
      </c>
      <c r="D520" s="8" t="s">
        <v>518</v>
      </c>
      <c r="E520" s="9" t="n">
        <v>-7.6</v>
      </c>
      <c r="F520" s="8" t="s">
        <v>19</v>
      </c>
    </row>
    <row r="521" customFormat="false" ht="15" hidden="false" customHeight="true" outlineLevel="0" collapsed="false">
      <c r="A521" s="34" t="n">
        <v>45807</v>
      </c>
      <c r="B521" s="8" t="s">
        <v>856</v>
      </c>
      <c r="C521" s="8" t="s">
        <v>313</v>
      </c>
      <c r="D521" s="8" t="s">
        <v>450</v>
      </c>
      <c r="E521" s="9" t="n">
        <v>-55.84</v>
      </c>
      <c r="F521" s="8" t="s">
        <v>20</v>
      </c>
    </row>
    <row r="522" customFormat="false" ht="15" hidden="false" customHeight="true" outlineLevel="0" collapsed="false">
      <c r="A522" s="34" t="n">
        <v>45807</v>
      </c>
      <c r="B522" s="8" t="s">
        <v>857</v>
      </c>
      <c r="C522" s="8" t="s">
        <v>313</v>
      </c>
      <c r="D522" s="8" t="s">
        <v>858</v>
      </c>
      <c r="E522" s="9" t="n">
        <v>-80</v>
      </c>
      <c r="F522" s="8" t="s">
        <v>29</v>
      </c>
    </row>
    <row r="523" customFormat="false" ht="15" hidden="false" customHeight="true" outlineLevel="0" collapsed="false">
      <c r="A523" s="34" t="n">
        <v>45807</v>
      </c>
      <c r="B523" s="8" t="s">
        <v>859</v>
      </c>
      <c r="C523" s="8" t="s">
        <v>313</v>
      </c>
      <c r="D523" s="8" t="s">
        <v>331</v>
      </c>
      <c r="E523" s="9" t="n">
        <v>-28</v>
      </c>
      <c r="F523" s="8" t="s">
        <v>17</v>
      </c>
    </row>
    <row r="524" customFormat="false" ht="15" hidden="false" customHeight="true" outlineLevel="0" collapsed="false">
      <c r="A524" s="34" t="n">
        <v>45810</v>
      </c>
      <c r="B524" s="8" t="s">
        <v>860</v>
      </c>
      <c r="C524" s="8" t="s">
        <v>310</v>
      </c>
      <c r="D524" s="8" t="s">
        <v>317</v>
      </c>
      <c r="E524" s="9" t="n">
        <v>-319.15</v>
      </c>
      <c r="F524" s="8" t="s">
        <v>22</v>
      </c>
    </row>
    <row r="525" customFormat="false" ht="15" hidden="false" customHeight="true" outlineLevel="0" collapsed="false">
      <c r="A525" s="34" t="n">
        <v>45810</v>
      </c>
      <c r="B525" s="8" t="s">
        <v>861</v>
      </c>
      <c r="C525" s="8" t="s">
        <v>313</v>
      </c>
      <c r="D525" s="8" t="s">
        <v>570</v>
      </c>
      <c r="E525" s="9" t="n">
        <v>-40.9</v>
      </c>
      <c r="F525" s="8" t="s">
        <v>19</v>
      </c>
    </row>
    <row r="526" customFormat="false" ht="15" hidden="false" customHeight="true" outlineLevel="0" collapsed="false">
      <c r="A526" s="34" t="n">
        <v>45810</v>
      </c>
      <c r="B526" s="8" t="s">
        <v>862</v>
      </c>
      <c r="C526" s="8" t="s">
        <v>313</v>
      </c>
      <c r="D526" s="8" t="s">
        <v>33</v>
      </c>
      <c r="E526" s="9" t="n">
        <v>-80.68</v>
      </c>
      <c r="F526" s="8" t="s">
        <v>19</v>
      </c>
    </row>
    <row r="527" customFormat="false" ht="15" hidden="false" customHeight="true" outlineLevel="0" collapsed="false">
      <c r="A527" s="34" t="n">
        <v>45810</v>
      </c>
      <c r="B527" s="8" t="s">
        <v>863</v>
      </c>
      <c r="C527" s="8" t="s">
        <v>313</v>
      </c>
      <c r="D527" s="8" t="s">
        <v>864</v>
      </c>
      <c r="E527" s="9" t="n">
        <v>-14</v>
      </c>
      <c r="F527" s="8" t="s">
        <v>18</v>
      </c>
    </row>
    <row r="528" customFormat="false" ht="15" hidden="false" customHeight="true" outlineLevel="0" collapsed="false">
      <c r="A528" s="34" t="n">
        <v>45810</v>
      </c>
      <c r="B528" s="8" t="s">
        <v>865</v>
      </c>
      <c r="C528" s="8" t="s">
        <v>313</v>
      </c>
      <c r="D528" s="8" t="s">
        <v>866</v>
      </c>
      <c r="E528" s="9" t="n">
        <v>-2.6</v>
      </c>
      <c r="F528" s="8" t="s">
        <v>19</v>
      </c>
    </row>
    <row r="529" customFormat="false" ht="15" hidden="false" customHeight="true" outlineLevel="0" collapsed="false">
      <c r="A529" s="34" t="n">
        <v>45810</v>
      </c>
      <c r="B529" s="8" t="s">
        <v>867</v>
      </c>
      <c r="C529" s="8" t="s">
        <v>313</v>
      </c>
      <c r="D529" s="8" t="s">
        <v>346</v>
      </c>
      <c r="E529" s="9" t="n">
        <v>-2.4</v>
      </c>
      <c r="F529" s="8" t="s">
        <v>19</v>
      </c>
    </row>
    <row r="530" customFormat="false" ht="15" hidden="false" customHeight="true" outlineLevel="0" collapsed="false">
      <c r="A530" s="34" t="n">
        <v>45810</v>
      </c>
      <c r="B530" s="8" t="s">
        <v>868</v>
      </c>
      <c r="C530" s="8" t="s">
        <v>313</v>
      </c>
      <c r="D530" s="8" t="s">
        <v>329</v>
      </c>
      <c r="E530" s="9" t="n">
        <v>-133.56</v>
      </c>
      <c r="F530" s="8" t="s">
        <v>20</v>
      </c>
    </row>
    <row r="531" customFormat="false" ht="15" hidden="false" customHeight="true" outlineLevel="0" collapsed="false">
      <c r="A531" s="34" t="n">
        <v>45810</v>
      </c>
      <c r="B531" s="8" t="s">
        <v>869</v>
      </c>
      <c r="C531" s="8" t="s">
        <v>361</v>
      </c>
      <c r="D531" s="8" t="s">
        <v>379</v>
      </c>
      <c r="E531" s="9" t="n">
        <v>15984</v>
      </c>
      <c r="F531" s="8" t="s">
        <v>335</v>
      </c>
    </row>
    <row r="532" customFormat="false" ht="15" hidden="false" customHeight="true" outlineLevel="0" collapsed="false">
      <c r="A532" s="34" t="n">
        <v>45810</v>
      </c>
      <c r="B532" s="8" t="s">
        <v>870</v>
      </c>
      <c r="C532" s="8" t="s">
        <v>313</v>
      </c>
      <c r="D532" s="8" t="s">
        <v>322</v>
      </c>
      <c r="E532" s="9" t="n">
        <v>-40.9</v>
      </c>
      <c r="F532" s="8" t="s">
        <v>19</v>
      </c>
    </row>
    <row r="533" customFormat="false" ht="15" hidden="false" customHeight="true" outlineLevel="0" collapsed="false">
      <c r="A533" s="34" t="n">
        <v>45810</v>
      </c>
      <c r="B533" s="8" t="s">
        <v>871</v>
      </c>
      <c r="C533" s="8" t="s">
        <v>359</v>
      </c>
      <c r="D533" s="8" t="s">
        <v>360</v>
      </c>
      <c r="E533" s="9" t="n">
        <v>-1.2</v>
      </c>
      <c r="F533" s="8" t="s">
        <v>25</v>
      </c>
    </row>
    <row r="534" customFormat="false" ht="15" hidden="false" customHeight="true" outlineLevel="0" collapsed="false">
      <c r="A534" s="34" t="n">
        <v>45810</v>
      </c>
      <c r="B534" s="8" t="s">
        <v>872</v>
      </c>
      <c r="C534" s="8" t="s">
        <v>873</v>
      </c>
      <c r="D534" s="8" t="s">
        <v>874</v>
      </c>
      <c r="E534" s="9" t="n">
        <v>5.3</v>
      </c>
      <c r="F534" s="8" t="s">
        <v>25</v>
      </c>
    </row>
    <row r="535" customFormat="false" ht="15" hidden="false" customHeight="true" outlineLevel="0" collapsed="false">
      <c r="A535" s="34" t="n">
        <v>45810</v>
      </c>
      <c r="B535" s="8" t="s">
        <v>875</v>
      </c>
      <c r="C535" s="8" t="s">
        <v>313</v>
      </c>
      <c r="D535" s="8" t="s">
        <v>420</v>
      </c>
      <c r="E535" s="9" t="n">
        <v>-12.33</v>
      </c>
      <c r="F535" s="8" t="s">
        <v>30</v>
      </c>
    </row>
    <row r="536" customFormat="false" ht="15" hidden="false" customHeight="true" outlineLevel="0" collapsed="false">
      <c r="A536" s="34" t="n">
        <v>45810</v>
      </c>
      <c r="B536" s="8" t="s">
        <v>876</v>
      </c>
      <c r="C536" s="8" t="s">
        <v>310</v>
      </c>
      <c r="D536" s="8" t="s">
        <v>316</v>
      </c>
      <c r="E536" s="9" t="n">
        <v>-872.67</v>
      </c>
      <c r="F536" s="8" t="s">
        <v>19</v>
      </c>
    </row>
    <row r="537" customFormat="false" ht="15" hidden="false" customHeight="true" outlineLevel="0" collapsed="false">
      <c r="A537" s="34" t="n">
        <v>45810</v>
      </c>
      <c r="B537" s="8" t="s">
        <v>877</v>
      </c>
      <c r="C537" s="8" t="s">
        <v>313</v>
      </c>
      <c r="D537" s="8" t="s">
        <v>866</v>
      </c>
      <c r="E537" s="9" t="n">
        <v>-2.6</v>
      </c>
      <c r="F537" s="8" t="s">
        <v>19</v>
      </c>
    </row>
    <row r="538" customFormat="false" ht="15" hidden="false" customHeight="true" outlineLevel="0" collapsed="false">
      <c r="A538" s="34" t="n">
        <v>45810</v>
      </c>
      <c r="B538" s="8" t="s">
        <v>869</v>
      </c>
      <c r="C538" s="8" t="s">
        <v>359</v>
      </c>
      <c r="D538" s="8" t="s">
        <v>360</v>
      </c>
      <c r="E538" s="9" t="n">
        <v>-1.2</v>
      </c>
      <c r="F538" s="8" t="s">
        <v>25</v>
      </c>
    </row>
    <row r="539" customFormat="false" ht="15" hidden="false" customHeight="true" outlineLevel="0" collapsed="false">
      <c r="A539" s="34" t="n">
        <v>45810</v>
      </c>
      <c r="B539" s="8" t="s">
        <v>871</v>
      </c>
      <c r="C539" s="8" t="s">
        <v>361</v>
      </c>
      <c r="D539" s="8" t="s">
        <v>379</v>
      </c>
      <c r="E539" s="9" t="n">
        <v>11985.04</v>
      </c>
      <c r="F539" s="8" t="s">
        <v>335</v>
      </c>
    </row>
    <row r="540" customFormat="false" ht="15" hidden="false" customHeight="true" outlineLevel="0" collapsed="false">
      <c r="A540" s="34" t="n">
        <v>45810</v>
      </c>
      <c r="B540" s="8" t="s">
        <v>878</v>
      </c>
      <c r="C540" s="8" t="s">
        <v>313</v>
      </c>
      <c r="D540" s="8" t="s">
        <v>33</v>
      </c>
      <c r="E540" s="9" t="n">
        <v>-58.92</v>
      </c>
      <c r="F540" s="8" t="s">
        <v>19</v>
      </c>
    </row>
    <row r="541" customFormat="false" ht="15" hidden="false" customHeight="true" outlineLevel="0" collapsed="false">
      <c r="A541" s="34" t="n">
        <v>45811</v>
      </c>
      <c r="B541" s="8" t="s">
        <v>879</v>
      </c>
      <c r="C541" s="8" t="s">
        <v>313</v>
      </c>
      <c r="D541" s="8" t="s">
        <v>344</v>
      </c>
      <c r="E541" s="9" t="n">
        <v>-21.45</v>
      </c>
      <c r="F541" s="8" t="s">
        <v>13</v>
      </c>
    </row>
    <row r="542" customFormat="false" ht="15" hidden="false" customHeight="true" outlineLevel="0" collapsed="false">
      <c r="A542" s="34" t="n">
        <v>45811</v>
      </c>
      <c r="B542" s="8" t="s">
        <v>880</v>
      </c>
      <c r="C542" s="8" t="s">
        <v>411</v>
      </c>
      <c r="D542" s="8" t="s">
        <v>412</v>
      </c>
      <c r="E542" s="9" t="n">
        <v>-1316.91</v>
      </c>
      <c r="F542" s="8" t="s">
        <v>14</v>
      </c>
    </row>
    <row r="543" customFormat="false" ht="15" hidden="false" customHeight="true" outlineLevel="0" collapsed="false">
      <c r="A543" s="34" t="n">
        <v>45811</v>
      </c>
      <c r="B543" s="8" t="s">
        <v>881</v>
      </c>
      <c r="C543" s="8" t="s">
        <v>313</v>
      </c>
      <c r="D543" s="8" t="s">
        <v>337</v>
      </c>
      <c r="E543" s="9" t="n">
        <v>-80.19</v>
      </c>
      <c r="F543" s="8" t="s">
        <v>19</v>
      </c>
    </row>
    <row r="544" customFormat="false" ht="15" hidden="false" customHeight="true" outlineLevel="0" collapsed="false">
      <c r="A544" s="34" t="n">
        <v>45811</v>
      </c>
      <c r="B544" s="8" t="s">
        <v>323</v>
      </c>
      <c r="C544" s="8" t="s">
        <v>324</v>
      </c>
      <c r="D544" s="8" t="s">
        <v>325</v>
      </c>
      <c r="E544" s="9" t="n">
        <v>-42</v>
      </c>
      <c r="F544" s="8" t="s">
        <v>25</v>
      </c>
    </row>
    <row r="545" customFormat="false" ht="15" hidden="false" customHeight="true" outlineLevel="0" collapsed="false">
      <c r="A545" s="34" t="n">
        <v>45812</v>
      </c>
      <c r="B545" s="8" t="s">
        <v>882</v>
      </c>
      <c r="C545" s="8" t="s">
        <v>313</v>
      </c>
      <c r="D545" s="8" t="s">
        <v>809</v>
      </c>
      <c r="E545" s="9" t="n">
        <v>-18.9</v>
      </c>
      <c r="F545" s="8" t="s">
        <v>17</v>
      </c>
    </row>
    <row r="546" customFormat="false" ht="15" hidden="false" customHeight="true" outlineLevel="0" collapsed="false">
      <c r="A546" s="34" t="n">
        <v>45812</v>
      </c>
      <c r="B546" s="8" t="s">
        <v>883</v>
      </c>
      <c r="C546" s="8" t="s">
        <v>310</v>
      </c>
      <c r="D546" s="8" t="s">
        <v>317</v>
      </c>
      <c r="E546" s="9" t="n">
        <v>-84.36</v>
      </c>
      <c r="F546" s="8" t="s">
        <v>22</v>
      </c>
    </row>
    <row r="547" customFormat="false" ht="15" hidden="false" customHeight="true" outlineLevel="0" collapsed="false">
      <c r="A547" s="34" t="n">
        <v>45813</v>
      </c>
      <c r="B547" s="8" t="s">
        <v>884</v>
      </c>
      <c r="C547" s="8" t="s">
        <v>382</v>
      </c>
      <c r="D547" s="8" t="s">
        <v>658</v>
      </c>
      <c r="E547" s="9" t="n">
        <v>-21.6</v>
      </c>
      <c r="F547" s="8" t="s">
        <v>25</v>
      </c>
    </row>
    <row r="548" customFormat="false" ht="15" hidden="false" customHeight="true" outlineLevel="0" collapsed="false">
      <c r="A548" s="34" t="n">
        <v>45813</v>
      </c>
      <c r="B548" s="8" t="s">
        <v>885</v>
      </c>
      <c r="C548" s="8" t="s">
        <v>333</v>
      </c>
      <c r="D548" s="8" t="s">
        <v>334</v>
      </c>
      <c r="E548" s="9" t="n">
        <v>138.19</v>
      </c>
      <c r="F548" s="8" t="s">
        <v>335</v>
      </c>
    </row>
    <row r="549" customFormat="false" ht="15" hidden="false" customHeight="true" outlineLevel="0" collapsed="false">
      <c r="A549" s="34" t="n">
        <v>45813</v>
      </c>
      <c r="B549" s="8" t="s">
        <v>884</v>
      </c>
      <c r="C549" s="8" t="s">
        <v>359</v>
      </c>
      <c r="D549" s="8" t="s">
        <v>360</v>
      </c>
      <c r="E549" s="9" t="n">
        <v>-1.2</v>
      </c>
      <c r="F549" s="8" t="s">
        <v>25</v>
      </c>
    </row>
    <row r="550" customFormat="false" ht="15" hidden="false" customHeight="true" outlineLevel="0" collapsed="false">
      <c r="A550" s="34" t="n">
        <v>45813</v>
      </c>
      <c r="B550" s="8" t="s">
        <v>886</v>
      </c>
      <c r="C550" s="8" t="s">
        <v>313</v>
      </c>
      <c r="D550" s="8" t="s">
        <v>455</v>
      </c>
      <c r="E550" s="9" t="n">
        <v>-4.62</v>
      </c>
      <c r="F550" s="8" t="s">
        <v>17</v>
      </c>
    </row>
    <row r="551" customFormat="false" ht="15" hidden="false" customHeight="true" outlineLevel="0" collapsed="false">
      <c r="A551" s="34" t="n">
        <v>45813</v>
      </c>
      <c r="B551" s="8" t="s">
        <v>884</v>
      </c>
      <c r="C551" s="8" t="s">
        <v>377</v>
      </c>
      <c r="D551" s="8" t="s">
        <v>378</v>
      </c>
      <c r="E551" s="9" t="n">
        <v>-28.2</v>
      </c>
      <c r="F551" s="8" t="s">
        <v>25</v>
      </c>
    </row>
    <row r="552" customFormat="false" ht="15" hidden="false" customHeight="true" outlineLevel="0" collapsed="false">
      <c r="A552" s="34" t="n">
        <v>45813</v>
      </c>
      <c r="B552" s="8" t="s">
        <v>884</v>
      </c>
      <c r="C552" s="8" t="s">
        <v>373</v>
      </c>
      <c r="D552" s="8"/>
      <c r="E552" s="9" t="n">
        <v>-37.2</v>
      </c>
      <c r="F552" s="8" t="s">
        <v>25</v>
      </c>
    </row>
    <row r="553" customFormat="false" ht="15" hidden="false" customHeight="true" outlineLevel="0" collapsed="false">
      <c r="A553" s="34" t="n">
        <v>45813</v>
      </c>
      <c r="B553" s="8" t="s">
        <v>887</v>
      </c>
      <c r="C553" s="8" t="s">
        <v>310</v>
      </c>
      <c r="D553" s="8" t="s">
        <v>311</v>
      </c>
      <c r="E553" s="9" t="n">
        <v>-79</v>
      </c>
      <c r="F553" s="8" t="s">
        <v>26</v>
      </c>
    </row>
    <row r="554" customFormat="false" ht="15" hidden="false" customHeight="true" outlineLevel="0" collapsed="false">
      <c r="A554" s="34" t="n">
        <v>45813</v>
      </c>
      <c r="B554" s="8" t="s">
        <v>884</v>
      </c>
      <c r="C554" s="8" t="s">
        <v>380</v>
      </c>
      <c r="D554" s="8" t="s">
        <v>657</v>
      </c>
      <c r="E554" s="9" t="n">
        <v>-74407.99</v>
      </c>
      <c r="F554" s="8" t="s">
        <v>12</v>
      </c>
    </row>
    <row r="555" customFormat="false" ht="15" hidden="false" customHeight="true" outlineLevel="0" collapsed="false">
      <c r="A555" s="34" t="n">
        <v>45814</v>
      </c>
      <c r="B555" s="8" t="s">
        <v>888</v>
      </c>
      <c r="C555" s="8" t="s">
        <v>313</v>
      </c>
      <c r="D555" s="8" t="s">
        <v>440</v>
      </c>
      <c r="E555" s="9" t="n">
        <v>-6.77</v>
      </c>
      <c r="F555" s="8" t="s">
        <v>30</v>
      </c>
    </row>
    <row r="556" customFormat="false" ht="15" hidden="false" customHeight="true" outlineLevel="0" collapsed="false">
      <c r="A556" s="34" t="n">
        <v>45814</v>
      </c>
      <c r="B556" s="8" t="s">
        <v>889</v>
      </c>
      <c r="C556" s="8" t="s">
        <v>313</v>
      </c>
      <c r="D556" s="8" t="s">
        <v>518</v>
      </c>
      <c r="E556" s="9" t="n">
        <v>-7.2</v>
      </c>
      <c r="F556" s="8" t="s">
        <v>19</v>
      </c>
    </row>
    <row r="557" customFormat="false" ht="15" hidden="false" customHeight="true" outlineLevel="0" collapsed="false">
      <c r="A557" s="34" t="n">
        <v>45817</v>
      </c>
      <c r="B557" s="8" t="s">
        <v>890</v>
      </c>
      <c r="C557" s="8" t="s">
        <v>313</v>
      </c>
      <c r="D557" s="8" t="s">
        <v>33</v>
      </c>
      <c r="E557" s="9" t="n">
        <v>-10.43</v>
      </c>
      <c r="F557" s="8" t="s">
        <v>19</v>
      </c>
    </row>
    <row r="558" customFormat="false" ht="15" hidden="false" customHeight="true" outlineLevel="0" collapsed="false">
      <c r="A558" s="34" t="n">
        <v>45817</v>
      </c>
      <c r="B558" s="8" t="s">
        <v>891</v>
      </c>
      <c r="C558" s="8" t="s">
        <v>313</v>
      </c>
      <c r="D558" s="8" t="s">
        <v>33</v>
      </c>
      <c r="E558" s="9" t="n">
        <v>-65.39</v>
      </c>
      <c r="F558" s="8" t="s">
        <v>19</v>
      </c>
    </row>
    <row r="559" customFormat="false" ht="15" hidden="false" customHeight="true" outlineLevel="0" collapsed="false">
      <c r="A559" s="34" t="n">
        <v>45817</v>
      </c>
      <c r="B559" s="8" t="s">
        <v>892</v>
      </c>
      <c r="C559" s="8" t="s">
        <v>313</v>
      </c>
      <c r="D559" s="8" t="s">
        <v>893</v>
      </c>
      <c r="E559" s="9" t="n">
        <v>-3.4</v>
      </c>
      <c r="F559" s="8" t="s">
        <v>19</v>
      </c>
    </row>
    <row r="560" customFormat="false" ht="15" hidden="false" customHeight="true" outlineLevel="0" collapsed="false">
      <c r="A560" s="34" t="n">
        <v>45818</v>
      </c>
      <c r="B560" s="8" t="s">
        <v>823</v>
      </c>
      <c r="C560" s="8" t="s">
        <v>313</v>
      </c>
      <c r="D560" s="8" t="s">
        <v>723</v>
      </c>
      <c r="E560" s="9" t="n">
        <v>-893.64</v>
      </c>
      <c r="F560" s="8" t="s">
        <v>18</v>
      </c>
    </row>
    <row r="561" customFormat="false" ht="15" hidden="false" customHeight="true" outlineLevel="0" collapsed="false">
      <c r="A561" s="34" t="n">
        <v>45818</v>
      </c>
      <c r="B561" s="8" t="s">
        <v>894</v>
      </c>
      <c r="C561" s="8" t="s">
        <v>313</v>
      </c>
      <c r="D561" s="8" t="s">
        <v>723</v>
      </c>
      <c r="E561" s="9" t="n">
        <v>-23</v>
      </c>
      <c r="F561" s="8" t="s">
        <v>18</v>
      </c>
    </row>
    <row r="562" customFormat="false" ht="15" hidden="false" customHeight="true" outlineLevel="0" collapsed="false">
      <c r="A562" s="34" t="n">
        <v>45818</v>
      </c>
      <c r="B562" s="8" t="s">
        <v>895</v>
      </c>
      <c r="C562" s="8" t="s">
        <v>310</v>
      </c>
      <c r="D562" s="8" t="s">
        <v>348</v>
      </c>
      <c r="E562" s="9" t="n">
        <v>-130.67</v>
      </c>
      <c r="F562" s="8" t="s">
        <v>26</v>
      </c>
    </row>
    <row r="563" customFormat="false" ht="15" hidden="false" customHeight="true" outlineLevel="0" collapsed="false">
      <c r="A563" s="34" t="n">
        <v>45818</v>
      </c>
      <c r="B563" s="8" t="s">
        <v>896</v>
      </c>
      <c r="C563" s="8" t="s">
        <v>359</v>
      </c>
      <c r="D563" s="8" t="s">
        <v>360</v>
      </c>
      <c r="E563" s="9" t="n">
        <v>-1.2</v>
      </c>
      <c r="F563" s="8" t="s">
        <v>25</v>
      </c>
    </row>
    <row r="564" customFormat="false" ht="15" hidden="false" customHeight="true" outlineLevel="0" collapsed="false">
      <c r="A564" s="34" t="n">
        <v>45818</v>
      </c>
      <c r="B564" s="8" t="s">
        <v>897</v>
      </c>
      <c r="C564" s="8" t="s">
        <v>310</v>
      </c>
      <c r="D564" s="8" t="s">
        <v>311</v>
      </c>
      <c r="E564" s="9" t="n">
        <v>-125.16</v>
      </c>
      <c r="F564" s="8" t="s">
        <v>26</v>
      </c>
    </row>
    <row r="565" customFormat="false" ht="15" hidden="false" customHeight="true" outlineLevel="0" collapsed="false">
      <c r="A565" s="34" t="n">
        <v>45818</v>
      </c>
      <c r="B565" s="8" t="s">
        <v>896</v>
      </c>
      <c r="C565" s="8" t="s">
        <v>361</v>
      </c>
      <c r="D565" s="8" t="s">
        <v>379</v>
      </c>
      <c r="E565" s="9" t="n">
        <v>7000</v>
      </c>
      <c r="F565" s="8" t="s">
        <v>335</v>
      </c>
    </row>
    <row r="566" customFormat="false" ht="15" hidden="false" customHeight="true" outlineLevel="0" collapsed="false">
      <c r="A566" s="34" t="n">
        <v>45818</v>
      </c>
      <c r="B566" s="8" t="s">
        <v>898</v>
      </c>
      <c r="C566" s="8" t="s">
        <v>310</v>
      </c>
      <c r="D566" s="8" t="s">
        <v>497</v>
      </c>
      <c r="E566" s="9" t="n">
        <v>-28.86</v>
      </c>
      <c r="F566" s="8" t="s">
        <v>32</v>
      </c>
    </row>
    <row r="567" customFormat="false" ht="15" hidden="false" customHeight="true" outlineLevel="0" collapsed="false">
      <c r="A567" s="34" t="n">
        <v>45819</v>
      </c>
      <c r="B567" s="8" t="s">
        <v>899</v>
      </c>
      <c r="C567" s="8" t="s">
        <v>377</v>
      </c>
      <c r="D567" s="8" t="s">
        <v>378</v>
      </c>
      <c r="E567" s="9" t="n">
        <v>-28.2</v>
      </c>
      <c r="F567" s="8" t="s">
        <v>25</v>
      </c>
    </row>
    <row r="568" customFormat="false" ht="15" hidden="false" customHeight="true" outlineLevel="0" collapsed="false">
      <c r="A568" s="34" t="n">
        <v>45819</v>
      </c>
      <c r="B568" s="8" t="s">
        <v>900</v>
      </c>
      <c r="C568" s="8" t="s">
        <v>313</v>
      </c>
      <c r="D568" s="8" t="s">
        <v>341</v>
      </c>
      <c r="E568" s="9" t="n">
        <v>-10.7</v>
      </c>
      <c r="F568" s="8" t="s">
        <v>19</v>
      </c>
    </row>
    <row r="569" customFormat="false" ht="15" hidden="false" customHeight="true" outlineLevel="0" collapsed="false">
      <c r="A569" s="34" t="n">
        <v>45819</v>
      </c>
      <c r="B569" s="8" t="s">
        <v>899</v>
      </c>
      <c r="C569" s="8" t="s">
        <v>373</v>
      </c>
      <c r="D569" s="8"/>
      <c r="E569" s="9" t="n">
        <v>-17</v>
      </c>
      <c r="F569" s="8" t="s">
        <v>25</v>
      </c>
    </row>
    <row r="570" customFormat="false" ht="15" hidden="false" customHeight="true" outlineLevel="0" collapsed="false">
      <c r="A570" s="34" t="n">
        <v>45819</v>
      </c>
      <c r="B570" s="8" t="s">
        <v>901</v>
      </c>
      <c r="C570" s="8" t="s">
        <v>313</v>
      </c>
      <c r="D570" s="8" t="s">
        <v>893</v>
      </c>
      <c r="E570" s="9" t="n">
        <v>-4.4</v>
      </c>
      <c r="F570" s="8" t="s">
        <v>19</v>
      </c>
    </row>
    <row r="571" customFormat="false" ht="15" hidden="false" customHeight="true" outlineLevel="0" collapsed="false">
      <c r="A571" s="34" t="n">
        <v>45819</v>
      </c>
      <c r="B571" s="8" t="s">
        <v>902</v>
      </c>
      <c r="C571" s="8" t="s">
        <v>367</v>
      </c>
      <c r="D571" s="8" t="s">
        <v>903</v>
      </c>
      <c r="E571" s="9" t="n">
        <v>-1952.5</v>
      </c>
      <c r="F571" s="8" t="s">
        <v>17</v>
      </c>
    </row>
    <row r="572" customFormat="false" ht="15" hidden="false" customHeight="true" outlineLevel="0" collapsed="false">
      <c r="A572" s="34" t="n">
        <v>45819</v>
      </c>
      <c r="B572" s="8" t="s">
        <v>904</v>
      </c>
      <c r="C572" s="8" t="s">
        <v>313</v>
      </c>
      <c r="D572" s="8" t="s">
        <v>562</v>
      </c>
      <c r="E572" s="9" t="n">
        <v>-58.13</v>
      </c>
      <c r="F572" s="8" t="s">
        <v>19</v>
      </c>
    </row>
    <row r="573" customFormat="false" ht="15" hidden="false" customHeight="true" outlineLevel="0" collapsed="false">
      <c r="A573" s="34" t="n">
        <v>45819</v>
      </c>
      <c r="B573" s="8" t="s">
        <v>899</v>
      </c>
      <c r="C573" s="8" t="s">
        <v>382</v>
      </c>
      <c r="D573" s="8" t="s">
        <v>383</v>
      </c>
      <c r="E573" s="9" t="n">
        <v>-15.6</v>
      </c>
      <c r="F573" s="8" t="s">
        <v>25</v>
      </c>
    </row>
    <row r="574" customFormat="false" ht="15" hidden="false" customHeight="true" outlineLevel="0" collapsed="false">
      <c r="A574" s="34" t="n">
        <v>45819</v>
      </c>
      <c r="B574" s="8" t="s">
        <v>905</v>
      </c>
      <c r="C574" s="8" t="s">
        <v>313</v>
      </c>
      <c r="D574" s="8" t="s">
        <v>344</v>
      </c>
      <c r="E574" s="9" t="n">
        <v>-72.85</v>
      </c>
      <c r="F574" s="8" t="s">
        <v>13</v>
      </c>
    </row>
    <row r="575" customFormat="false" ht="15" hidden="false" customHeight="true" outlineLevel="0" collapsed="false">
      <c r="A575" s="34" t="n">
        <v>45819</v>
      </c>
      <c r="B575" s="8" t="s">
        <v>906</v>
      </c>
      <c r="C575" s="8" t="s">
        <v>313</v>
      </c>
      <c r="D575" s="8" t="s">
        <v>346</v>
      </c>
      <c r="E575" s="9" t="n">
        <v>-10.2</v>
      </c>
      <c r="F575" s="8" t="s">
        <v>19</v>
      </c>
    </row>
    <row r="576" customFormat="false" ht="15" hidden="false" customHeight="true" outlineLevel="0" collapsed="false">
      <c r="A576" s="34" t="n">
        <v>45819</v>
      </c>
      <c r="B576" s="8" t="s">
        <v>907</v>
      </c>
      <c r="C576" s="8" t="s">
        <v>313</v>
      </c>
      <c r="D576" s="8" t="s">
        <v>346</v>
      </c>
      <c r="E576" s="9" t="n">
        <v>-1.7</v>
      </c>
      <c r="F576" s="8" t="s">
        <v>19</v>
      </c>
    </row>
    <row r="577" customFormat="false" ht="15" hidden="false" customHeight="true" outlineLevel="0" collapsed="false">
      <c r="A577" s="34" t="n">
        <v>45819</v>
      </c>
      <c r="B577" s="8" t="s">
        <v>899</v>
      </c>
      <c r="C577" s="8" t="s">
        <v>359</v>
      </c>
      <c r="D577" s="8" t="s">
        <v>360</v>
      </c>
      <c r="E577" s="9" t="n">
        <v>-1.2</v>
      </c>
      <c r="F577" s="8" t="s">
        <v>25</v>
      </c>
    </row>
    <row r="578" customFormat="false" ht="15" hidden="false" customHeight="true" outlineLevel="0" collapsed="false">
      <c r="A578" s="34" t="n">
        <v>45819</v>
      </c>
      <c r="B578" s="8" t="s">
        <v>908</v>
      </c>
      <c r="C578" s="8" t="s">
        <v>310</v>
      </c>
      <c r="D578" s="8" t="s">
        <v>355</v>
      </c>
      <c r="E578" s="9" t="n">
        <v>-67.36</v>
      </c>
      <c r="F578" s="8" t="s">
        <v>31</v>
      </c>
    </row>
    <row r="579" customFormat="false" ht="15" hidden="false" customHeight="true" outlineLevel="0" collapsed="false">
      <c r="A579" s="34" t="n">
        <v>45819</v>
      </c>
      <c r="B579" s="8" t="s">
        <v>899</v>
      </c>
      <c r="C579" s="8" t="s">
        <v>380</v>
      </c>
      <c r="D579" s="8" t="s">
        <v>909</v>
      </c>
      <c r="E579" s="9" t="n">
        <v>-4482.37</v>
      </c>
      <c r="F579" s="8" t="s">
        <v>17</v>
      </c>
    </row>
    <row r="580" customFormat="false" ht="15" hidden="false" customHeight="true" outlineLevel="0" collapsed="false">
      <c r="A580" s="34" t="n">
        <v>45820</v>
      </c>
      <c r="B580" s="8" t="s">
        <v>910</v>
      </c>
      <c r="C580" s="8" t="s">
        <v>911</v>
      </c>
      <c r="D580" s="8" t="s">
        <v>497</v>
      </c>
      <c r="E580" s="9" t="n">
        <v>28.86</v>
      </c>
      <c r="F580" s="8" t="s">
        <v>25</v>
      </c>
    </row>
    <row r="581" customFormat="false" ht="15" hidden="false" customHeight="true" outlineLevel="0" collapsed="false">
      <c r="A581" s="34" t="n">
        <v>45820</v>
      </c>
      <c r="B581" s="8" t="s">
        <v>912</v>
      </c>
      <c r="C581" s="8" t="s">
        <v>359</v>
      </c>
      <c r="D581" s="8" t="s">
        <v>360</v>
      </c>
      <c r="E581" s="9" t="n">
        <v>-1.2</v>
      </c>
      <c r="F581" s="8" t="s">
        <v>25</v>
      </c>
    </row>
    <row r="582" customFormat="false" ht="15" hidden="false" customHeight="true" outlineLevel="0" collapsed="false">
      <c r="A582" s="34" t="n">
        <v>45820</v>
      </c>
      <c r="B582" s="8" t="s">
        <v>912</v>
      </c>
      <c r="C582" s="8" t="s">
        <v>380</v>
      </c>
      <c r="D582" s="8" t="s">
        <v>381</v>
      </c>
      <c r="E582" s="9" t="n">
        <v>-3042.3</v>
      </c>
      <c r="F582" s="8" t="s">
        <v>12</v>
      </c>
    </row>
    <row r="583" customFormat="false" ht="15" hidden="false" customHeight="true" outlineLevel="0" collapsed="false">
      <c r="A583" s="34" t="n">
        <v>45820</v>
      </c>
      <c r="B583" s="8" t="s">
        <v>912</v>
      </c>
      <c r="C583" s="8" t="s">
        <v>382</v>
      </c>
      <c r="D583" s="8" t="s">
        <v>383</v>
      </c>
      <c r="E583" s="9" t="n">
        <v>-15.6</v>
      </c>
      <c r="F583" s="8" t="s">
        <v>25</v>
      </c>
    </row>
    <row r="584" customFormat="false" ht="15" hidden="false" customHeight="true" outlineLevel="0" collapsed="false">
      <c r="A584" s="34" t="n">
        <v>45820</v>
      </c>
      <c r="B584" s="8" t="s">
        <v>912</v>
      </c>
      <c r="C584" s="8" t="s">
        <v>377</v>
      </c>
      <c r="D584" s="8" t="s">
        <v>378</v>
      </c>
      <c r="E584" s="9" t="n">
        <v>-28.2</v>
      </c>
      <c r="F584" s="8" t="s">
        <v>25</v>
      </c>
    </row>
    <row r="585" customFormat="false" ht="15" hidden="false" customHeight="true" outlineLevel="0" collapsed="false">
      <c r="A585" s="34" t="n">
        <v>45820</v>
      </c>
      <c r="B585" s="8" t="s">
        <v>913</v>
      </c>
      <c r="C585" s="8" t="s">
        <v>914</v>
      </c>
      <c r="D585" s="8" t="s">
        <v>915</v>
      </c>
      <c r="E585" s="9" t="n">
        <v>-440</v>
      </c>
      <c r="F585" s="8" t="s">
        <v>17</v>
      </c>
    </row>
    <row r="586" customFormat="false" ht="15" hidden="false" customHeight="true" outlineLevel="0" collapsed="false">
      <c r="A586" s="34" t="n">
        <v>45820</v>
      </c>
      <c r="B586" s="8" t="s">
        <v>912</v>
      </c>
      <c r="C586" s="8" t="s">
        <v>373</v>
      </c>
      <c r="D586" s="8"/>
      <c r="E586" s="9" t="n">
        <v>-17</v>
      </c>
      <c r="F586" s="8" t="s">
        <v>25</v>
      </c>
    </row>
    <row r="587" customFormat="false" ht="15" hidden="false" customHeight="true" outlineLevel="0" collapsed="false">
      <c r="A587" s="34" t="n">
        <v>45821</v>
      </c>
      <c r="B587" s="8" t="s">
        <v>916</v>
      </c>
      <c r="C587" s="8" t="s">
        <v>310</v>
      </c>
      <c r="D587" s="8" t="s">
        <v>352</v>
      </c>
      <c r="E587" s="9" t="n">
        <v>-504</v>
      </c>
      <c r="F587" s="8" t="s">
        <v>23</v>
      </c>
    </row>
    <row r="588" customFormat="false" ht="15" hidden="false" customHeight="true" outlineLevel="0" collapsed="false">
      <c r="A588" s="34" t="n">
        <v>45821</v>
      </c>
      <c r="B588" s="8" t="s">
        <v>917</v>
      </c>
      <c r="C588" s="8" t="s">
        <v>313</v>
      </c>
      <c r="D588" s="8" t="s">
        <v>518</v>
      </c>
      <c r="E588" s="9" t="n">
        <v>-6.9</v>
      </c>
      <c r="F588" s="8" t="s">
        <v>19</v>
      </c>
    </row>
    <row r="589" customFormat="false" ht="15" hidden="false" customHeight="true" outlineLevel="0" collapsed="false">
      <c r="A589" s="34" t="n">
        <v>45821</v>
      </c>
      <c r="B589" s="8" t="s">
        <v>918</v>
      </c>
      <c r="C589" s="8" t="s">
        <v>365</v>
      </c>
      <c r="D589" s="8" t="s">
        <v>364</v>
      </c>
      <c r="E589" s="9" t="n">
        <v>-0.59</v>
      </c>
      <c r="F589" s="8" t="s">
        <v>25</v>
      </c>
    </row>
    <row r="590" customFormat="false" ht="15" hidden="false" customHeight="true" outlineLevel="0" collapsed="false">
      <c r="A590" s="34" t="n">
        <v>45821</v>
      </c>
      <c r="B590" s="8" t="s">
        <v>918</v>
      </c>
      <c r="C590" s="8" t="s">
        <v>313</v>
      </c>
      <c r="D590" s="8" t="s">
        <v>364</v>
      </c>
      <c r="E590" s="9" t="n">
        <v>-39.59</v>
      </c>
      <c r="F590" s="8" t="s">
        <v>20</v>
      </c>
    </row>
    <row r="591" customFormat="false" ht="15" hidden="false" customHeight="true" outlineLevel="0" collapsed="false">
      <c r="A591" s="34" t="n">
        <v>45821</v>
      </c>
      <c r="B591" s="8" t="s">
        <v>919</v>
      </c>
      <c r="C591" s="8" t="s">
        <v>313</v>
      </c>
      <c r="D591" s="8" t="s">
        <v>920</v>
      </c>
      <c r="E591" s="9" t="n">
        <v>-10.35</v>
      </c>
      <c r="F591" s="8" t="s">
        <v>17</v>
      </c>
    </row>
    <row r="592" customFormat="false" ht="15" hidden="false" customHeight="true" outlineLevel="0" collapsed="false">
      <c r="A592" s="34" t="n">
        <v>45824</v>
      </c>
      <c r="B592" s="8" t="s">
        <v>356</v>
      </c>
      <c r="C592" s="8" t="s">
        <v>384</v>
      </c>
      <c r="D592" s="8"/>
      <c r="E592" s="9" t="n">
        <v>-7.69</v>
      </c>
      <c r="F592" s="8" t="s">
        <v>25</v>
      </c>
    </row>
    <row r="593" customFormat="false" ht="15" hidden="false" customHeight="true" outlineLevel="0" collapsed="false">
      <c r="A593" s="34" t="n">
        <v>45824</v>
      </c>
      <c r="B593" s="8" t="s">
        <v>921</v>
      </c>
      <c r="C593" s="8" t="s">
        <v>375</v>
      </c>
      <c r="D593" s="8" t="s">
        <v>376</v>
      </c>
      <c r="E593" s="9" t="n">
        <v>-24.03</v>
      </c>
      <c r="F593" s="8" t="s">
        <v>25</v>
      </c>
    </row>
    <row r="594" customFormat="false" ht="15" hidden="false" customHeight="true" outlineLevel="0" collapsed="false">
      <c r="A594" s="34" t="n">
        <v>45824</v>
      </c>
      <c r="B594" s="8" t="s">
        <v>922</v>
      </c>
      <c r="C594" s="8" t="s">
        <v>434</v>
      </c>
      <c r="D594" s="8" t="s">
        <v>923</v>
      </c>
      <c r="E594" s="9" t="n">
        <v>6460.8</v>
      </c>
      <c r="F594" s="8" t="s">
        <v>335</v>
      </c>
    </row>
    <row r="595" customFormat="false" ht="15" hidden="false" customHeight="true" outlineLevel="0" collapsed="false">
      <c r="A595" s="34" t="n">
        <v>45824</v>
      </c>
      <c r="B595" s="8" t="s">
        <v>924</v>
      </c>
      <c r="C595" s="8" t="s">
        <v>313</v>
      </c>
      <c r="D595" s="8" t="s">
        <v>440</v>
      </c>
      <c r="E595" s="9" t="n">
        <v>-36.94</v>
      </c>
      <c r="F595" s="8" t="s">
        <v>30</v>
      </c>
    </row>
    <row r="596" customFormat="false" ht="15" hidden="false" customHeight="true" outlineLevel="0" collapsed="false">
      <c r="A596" s="34" t="n">
        <v>45824</v>
      </c>
      <c r="B596" s="8" t="s">
        <v>925</v>
      </c>
      <c r="C596" s="8" t="s">
        <v>313</v>
      </c>
      <c r="D596" s="8" t="s">
        <v>562</v>
      </c>
      <c r="E596" s="9" t="n">
        <v>-50</v>
      </c>
      <c r="F596" s="8" t="s">
        <v>19</v>
      </c>
    </row>
    <row r="597" customFormat="false" ht="15" hidden="false" customHeight="true" outlineLevel="0" collapsed="false">
      <c r="A597" s="34" t="n">
        <v>45824</v>
      </c>
      <c r="B597" s="8" t="s">
        <v>926</v>
      </c>
      <c r="C597" s="8" t="s">
        <v>310</v>
      </c>
      <c r="D597" s="8" t="s">
        <v>400</v>
      </c>
      <c r="E597" s="9" t="n">
        <v>-179.68</v>
      </c>
      <c r="F597" s="8" t="s">
        <v>20</v>
      </c>
    </row>
    <row r="598" customFormat="false" ht="15" hidden="false" customHeight="true" outlineLevel="0" collapsed="false">
      <c r="A598" s="34" t="n">
        <v>45825</v>
      </c>
      <c r="B598" s="8" t="s">
        <v>927</v>
      </c>
      <c r="C598" s="8" t="s">
        <v>310</v>
      </c>
      <c r="D598" s="8" t="s">
        <v>390</v>
      </c>
      <c r="E598" s="9" t="n">
        <v>-2798</v>
      </c>
      <c r="F598" s="8" t="s">
        <v>15</v>
      </c>
    </row>
    <row r="599" customFormat="false" ht="15" hidden="false" customHeight="true" outlineLevel="0" collapsed="false">
      <c r="A599" s="34" t="n">
        <v>45825</v>
      </c>
      <c r="B599" s="8" t="s">
        <v>928</v>
      </c>
      <c r="C599" s="8" t="s">
        <v>367</v>
      </c>
      <c r="D599" s="8" t="s">
        <v>929</v>
      </c>
      <c r="E599" s="9" t="n">
        <v>-10000</v>
      </c>
      <c r="F599" s="8" t="s">
        <v>11</v>
      </c>
    </row>
    <row r="600" customFormat="false" ht="15" hidden="false" customHeight="true" outlineLevel="0" collapsed="false">
      <c r="A600" s="34" t="n">
        <v>45825</v>
      </c>
      <c r="B600" s="8" t="s">
        <v>930</v>
      </c>
      <c r="C600" s="8" t="s">
        <v>367</v>
      </c>
      <c r="D600" s="8" t="s">
        <v>452</v>
      </c>
      <c r="E600" s="9" t="n">
        <v>-3596.7</v>
      </c>
      <c r="F600" s="8" t="s">
        <v>13</v>
      </c>
    </row>
    <row r="601" customFormat="false" ht="15" hidden="false" customHeight="true" outlineLevel="0" collapsed="false">
      <c r="A601" s="34" t="n">
        <v>45825</v>
      </c>
      <c r="B601" s="8" t="s">
        <v>931</v>
      </c>
      <c r="C601" s="8" t="s">
        <v>367</v>
      </c>
      <c r="D601" s="8" t="s">
        <v>932</v>
      </c>
      <c r="E601" s="9" t="n">
        <v>-49.8</v>
      </c>
      <c r="F601" s="8" t="s">
        <v>13</v>
      </c>
    </row>
    <row r="602" customFormat="false" ht="15" hidden="false" customHeight="true" outlineLevel="0" collapsed="false">
      <c r="A602" s="34" t="n">
        <v>45826</v>
      </c>
      <c r="B602" s="8" t="s">
        <v>933</v>
      </c>
      <c r="C602" s="8" t="s">
        <v>361</v>
      </c>
      <c r="D602" s="8" t="s">
        <v>644</v>
      </c>
      <c r="E602" s="9" t="n">
        <v>12953.15</v>
      </c>
      <c r="F602" s="8" t="s">
        <v>335</v>
      </c>
    </row>
    <row r="603" customFormat="false" ht="15" hidden="false" customHeight="true" outlineLevel="0" collapsed="false">
      <c r="A603" s="34" t="n">
        <v>45826</v>
      </c>
      <c r="B603" s="8" t="s">
        <v>934</v>
      </c>
      <c r="C603" s="8" t="s">
        <v>313</v>
      </c>
      <c r="D603" s="8" t="s">
        <v>935</v>
      </c>
      <c r="E603" s="9" t="n">
        <v>-15.6</v>
      </c>
      <c r="F603" s="8" t="s">
        <v>29</v>
      </c>
    </row>
    <row r="604" customFormat="false" ht="15" hidden="false" customHeight="true" outlineLevel="0" collapsed="false">
      <c r="A604" s="34" t="n">
        <v>45826</v>
      </c>
      <c r="B604" s="8" t="s">
        <v>936</v>
      </c>
      <c r="C604" s="8" t="s">
        <v>313</v>
      </c>
      <c r="D604" s="8" t="s">
        <v>337</v>
      </c>
      <c r="E604" s="9" t="n">
        <v>-77.45</v>
      </c>
      <c r="F604" s="8" t="s">
        <v>19</v>
      </c>
    </row>
    <row r="605" customFormat="false" ht="15" hidden="false" customHeight="true" outlineLevel="0" collapsed="false">
      <c r="A605" s="34" t="n">
        <v>45826</v>
      </c>
      <c r="B605" s="8" t="s">
        <v>933</v>
      </c>
      <c r="C605" s="8" t="s">
        <v>359</v>
      </c>
      <c r="D605" s="8" t="s">
        <v>360</v>
      </c>
      <c r="E605" s="9" t="n">
        <v>-1.2</v>
      </c>
      <c r="F605" s="8" t="s">
        <v>25</v>
      </c>
    </row>
    <row r="606" customFormat="false" ht="15" hidden="false" customHeight="true" outlineLevel="0" collapsed="false">
      <c r="A606" s="34" t="n">
        <v>45827</v>
      </c>
      <c r="B606" s="8" t="s">
        <v>937</v>
      </c>
      <c r="C606" s="8" t="s">
        <v>367</v>
      </c>
      <c r="D606" s="8" t="s">
        <v>452</v>
      </c>
      <c r="E606" s="9" t="n">
        <v>-454.5</v>
      </c>
      <c r="F606" s="8" t="s">
        <v>13</v>
      </c>
    </row>
    <row r="607" customFormat="false" ht="15" hidden="false" customHeight="true" outlineLevel="0" collapsed="false">
      <c r="A607" s="34" t="n">
        <v>45827</v>
      </c>
      <c r="B607" s="8" t="s">
        <v>938</v>
      </c>
      <c r="C607" s="8" t="s">
        <v>313</v>
      </c>
      <c r="D607" s="8" t="s">
        <v>893</v>
      </c>
      <c r="E607" s="9" t="n">
        <v>-0.5</v>
      </c>
      <c r="F607" s="8" t="s">
        <v>19</v>
      </c>
    </row>
    <row r="608" customFormat="false" ht="15" hidden="false" customHeight="true" outlineLevel="0" collapsed="false">
      <c r="A608" s="34" t="n">
        <v>45827</v>
      </c>
      <c r="B608" s="8" t="s">
        <v>939</v>
      </c>
      <c r="C608" s="8" t="s">
        <v>367</v>
      </c>
      <c r="D608" s="8" t="s">
        <v>368</v>
      </c>
      <c r="E608" s="9" t="n">
        <v>-294</v>
      </c>
      <c r="F608" s="8" t="s">
        <v>11</v>
      </c>
    </row>
    <row r="609" customFormat="false" ht="15" hidden="false" customHeight="true" outlineLevel="0" collapsed="false">
      <c r="A609" s="34" t="n">
        <v>45827</v>
      </c>
      <c r="B609" s="8" t="s">
        <v>940</v>
      </c>
      <c r="C609" s="8" t="s">
        <v>333</v>
      </c>
      <c r="D609" s="8" t="s">
        <v>334</v>
      </c>
      <c r="E609" s="9" t="n">
        <v>273.12</v>
      </c>
      <c r="F609" s="8" t="s">
        <v>335</v>
      </c>
    </row>
    <row r="610" customFormat="false" ht="15" hidden="false" customHeight="true" outlineLevel="0" collapsed="false">
      <c r="A610" s="34" t="n">
        <v>45827</v>
      </c>
      <c r="B610" s="8" t="s">
        <v>941</v>
      </c>
      <c r="C610" s="8" t="s">
        <v>373</v>
      </c>
      <c r="D610" s="8"/>
      <c r="E610" s="9" t="n">
        <v>-17</v>
      </c>
      <c r="F610" s="8" t="s">
        <v>25</v>
      </c>
    </row>
    <row r="611" customFormat="false" ht="15" hidden="false" customHeight="true" outlineLevel="0" collapsed="false">
      <c r="A611" s="34" t="n">
        <v>45827</v>
      </c>
      <c r="B611" s="8" t="s">
        <v>941</v>
      </c>
      <c r="C611" s="8" t="s">
        <v>382</v>
      </c>
      <c r="D611" s="8" t="s">
        <v>383</v>
      </c>
      <c r="E611" s="9" t="n">
        <v>-15.6</v>
      </c>
      <c r="F611" s="8" t="s">
        <v>25</v>
      </c>
    </row>
    <row r="612" customFormat="false" ht="15" hidden="false" customHeight="true" outlineLevel="0" collapsed="false">
      <c r="A612" s="34" t="n">
        <v>45827</v>
      </c>
      <c r="B612" s="8" t="s">
        <v>941</v>
      </c>
      <c r="C612" s="8" t="s">
        <v>380</v>
      </c>
      <c r="D612" s="8" t="s">
        <v>381</v>
      </c>
      <c r="E612" s="9" t="n">
        <v>-290.67</v>
      </c>
      <c r="F612" s="8" t="s">
        <v>12</v>
      </c>
    </row>
    <row r="613" customFormat="false" ht="15" hidden="false" customHeight="true" outlineLevel="0" collapsed="false">
      <c r="A613" s="34" t="n">
        <v>45827</v>
      </c>
      <c r="B613" s="8" t="s">
        <v>941</v>
      </c>
      <c r="C613" s="8" t="s">
        <v>359</v>
      </c>
      <c r="D613" s="8" t="s">
        <v>360</v>
      </c>
      <c r="E613" s="9" t="n">
        <v>-1.2</v>
      </c>
      <c r="F613" s="8" t="s">
        <v>25</v>
      </c>
    </row>
    <row r="614" customFormat="false" ht="15" hidden="false" customHeight="true" outlineLevel="0" collapsed="false">
      <c r="A614" s="34" t="n">
        <v>45827</v>
      </c>
      <c r="B614" s="8" t="s">
        <v>942</v>
      </c>
      <c r="C614" s="8" t="s">
        <v>359</v>
      </c>
      <c r="D614" s="8" t="s">
        <v>360</v>
      </c>
      <c r="E614" s="9" t="n">
        <v>-1.2</v>
      </c>
      <c r="F614" s="8" t="s">
        <v>25</v>
      </c>
    </row>
    <row r="615" customFormat="false" ht="15" hidden="false" customHeight="true" outlineLevel="0" collapsed="false">
      <c r="A615" s="34" t="n">
        <v>45827</v>
      </c>
      <c r="B615" s="8" t="s">
        <v>941</v>
      </c>
      <c r="C615" s="8" t="s">
        <v>377</v>
      </c>
      <c r="D615" s="8" t="s">
        <v>378</v>
      </c>
      <c r="E615" s="9" t="n">
        <v>-28.2</v>
      </c>
      <c r="F615" s="8" t="s">
        <v>25</v>
      </c>
    </row>
    <row r="616" customFormat="false" ht="15" hidden="false" customHeight="true" outlineLevel="0" collapsed="false">
      <c r="A616" s="34" t="n">
        <v>45827</v>
      </c>
      <c r="B616" s="8" t="s">
        <v>942</v>
      </c>
      <c r="C616" s="8" t="s">
        <v>361</v>
      </c>
      <c r="D616" s="8" t="s">
        <v>379</v>
      </c>
      <c r="E616" s="9" t="n">
        <v>10000</v>
      </c>
      <c r="F616" s="8" t="s">
        <v>335</v>
      </c>
    </row>
    <row r="617" customFormat="false" ht="15" hidden="false" customHeight="true" outlineLevel="0" collapsed="false">
      <c r="A617" s="34" t="n">
        <v>45828</v>
      </c>
      <c r="B617" s="8" t="s">
        <v>943</v>
      </c>
      <c r="C617" s="8" t="s">
        <v>367</v>
      </c>
      <c r="D617" s="8" t="s">
        <v>423</v>
      </c>
      <c r="E617" s="9" t="n">
        <v>-7534.5</v>
      </c>
      <c r="F617" s="8" t="s">
        <v>10</v>
      </c>
    </row>
    <row r="618" customFormat="false" ht="15" hidden="false" customHeight="true" outlineLevel="0" collapsed="false">
      <c r="A618" s="34" t="n">
        <v>45828</v>
      </c>
      <c r="B618" s="8" t="s">
        <v>944</v>
      </c>
      <c r="C618" s="8" t="s">
        <v>367</v>
      </c>
      <c r="D618" s="8" t="s">
        <v>368</v>
      </c>
      <c r="E618" s="9" t="n">
        <v>-3202.58</v>
      </c>
      <c r="F618" s="8" t="s">
        <v>11</v>
      </c>
    </row>
    <row r="619" customFormat="false" ht="15" hidden="false" customHeight="true" outlineLevel="0" collapsed="false">
      <c r="A619" s="34" t="n">
        <v>45831</v>
      </c>
      <c r="B619" s="8" t="s">
        <v>945</v>
      </c>
      <c r="C619" s="8" t="s">
        <v>313</v>
      </c>
      <c r="D619" s="8" t="s">
        <v>518</v>
      </c>
      <c r="E619" s="9" t="n">
        <v>-6.2</v>
      </c>
      <c r="F619" s="8" t="s">
        <v>19</v>
      </c>
    </row>
    <row r="620" customFormat="false" ht="15" hidden="false" customHeight="true" outlineLevel="0" collapsed="false">
      <c r="A620" s="34" t="n">
        <v>45831</v>
      </c>
      <c r="B620" s="8" t="s">
        <v>946</v>
      </c>
      <c r="C620" s="8" t="s">
        <v>313</v>
      </c>
      <c r="D620" s="8" t="s">
        <v>33</v>
      </c>
      <c r="E620" s="9" t="n">
        <v>-83.06</v>
      </c>
      <c r="F620" s="8" t="s">
        <v>19</v>
      </c>
    </row>
    <row r="621" customFormat="false" ht="15" hidden="false" customHeight="true" outlineLevel="0" collapsed="false">
      <c r="A621" s="34" t="n">
        <v>45832</v>
      </c>
      <c r="B621" s="8" t="s">
        <v>947</v>
      </c>
      <c r="C621" s="8" t="s">
        <v>310</v>
      </c>
      <c r="D621" s="8" t="s">
        <v>390</v>
      </c>
      <c r="E621" s="9" t="n">
        <v>-129</v>
      </c>
      <c r="F621" s="8" t="s">
        <v>15</v>
      </c>
    </row>
    <row r="622" customFormat="false" ht="15" hidden="false" customHeight="true" outlineLevel="0" collapsed="false">
      <c r="A622" s="34" t="n">
        <v>45832</v>
      </c>
      <c r="B622" s="8" t="s">
        <v>948</v>
      </c>
      <c r="C622" s="8" t="s">
        <v>313</v>
      </c>
      <c r="D622" s="8" t="s">
        <v>33</v>
      </c>
      <c r="E622" s="9" t="n">
        <v>-80</v>
      </c>
      <c r="F622" s="8" t="s">
        <v>19</v>
      </c>
    </row>
    <row r="623" customFormat="false" ht="15" hidden="false" customHeight="true" outlineLevel="0" collapsed="false">
      <c r="A623" s="34" t="n">
        <v>45832</v>
      </c>
      <c r="B623" s="8" t="s">
        <v>949</v>
      </c>
      <c r="C623" s="8" t="s">
        <v>414</v>
      </c>
      <c r="D623" s="8" t="s">
        <v>415</v>
      </c>
      <c r="E623" s="9" t="n">
        <v>-191</v>
      </c>
      <c r="F623" s="8" t="s">
        <v>15</v>
      </c>
    </row>
    <row r="624" customFormat="false" ht="15" hidden="false" customHeight="true" outlineLevel="0" collapsed="false">
      <c r="A624" s="34" t="n">
        <v>45832</v>
      </c>
      <c r="B624" s="8" t="s">
        <v>950</v>
      </c>
      <c r="C624" s="8" t="s">
        <v>631</v>
      </c>
      <c r="D624" s="8" t="s">
        <v>632</v>
      </c>
      <c r="E624" s="9" t="n">
        <v>-14.64</v>
      </c>
      <c r="F624" s="8" t="s">
        <v>25</v>
      </c>
    </row>
    <row r="625" customFormat="false" ht="15" hidden="false" customHeight="true" outlineLevel="0" collapsed="false">
      <c r="A625" s="34" t="n">
        <v>45832</v>
      </c>
      <c r="B625" s="8" t="s">
        <v>951</v>
      </c>
      <c r="C625" s="8" t="s">
        <v>313</v>
      </c>
      <c r="D625" s="8" t="s">
        <v>440</v>
      </c>
      <c r="E625" s="9" t="n">
        <v>-31.38</v>
      </c>
      <c r="F625" s="8" t="s">
        <v>30</v>
      </c>
    </row>
    <row r="626" customFormat="false" ht="15" hidden="false" customHeight="true" outlineLevel="0" collapsed="false">
      <c r="A626" s="34" t="n">
        <v>45832</v>
      </c>
      <c r="B626" s="8" t="s">
        <v>950</v>
      </c>
      <c r="C626" s="8" t="s">
        <v>361</v>
      </c>
      <c r="D626" s="8" t="s">
        <v>952</v>
      </c>
      <c r="E626" s="9" t="n">
        <v>12965</v>
      </c>
      <c r="F626" s="8" t="s">
        <v>335</v>
      </c>
    </row>
    <row r="627" customFormat="false" ht="15" hidden="false" customHeight="true" outlineLevel="0" collapsed="false">
      <c r="A627" s="34" t="n">
        <v>45832</v>
      </c>
      <c r="B627" s="8" t="s">
        <v>950</v>
      </c>
      <c r="C627" s="8" t="s">
        <v>359</v>
      </c>
      <c r="D627" s="8" t="s">
        <v>360</v>
      </c>
      <c r="E627" s="9" t="n">
        <v>-1.2</v>
      </c>
      <c r="F627" s="8" t="s">
        <v>25</v>
      </c>
    </row>
    <row r="628" customFormat="false" ht="15" hidden="false" customHeight="true" outlineLevel="0" collapsed="false">
      <c r="A628" s="34" t="n">
        <v>45833</v>
      </c>
      <c r="B628" s="8" t="s">
        <v>953</v>
      </c>
      <c r="C628" s="8" t="s">
        <v>313</v>
      </c>
      <c r="D628" s="8" t="s">
        <v>562</v>
      </c>
      <c r="E628" s="9" t="n">
        <v>-47.05</v>
      </c>
      <c r="F628" s="8" t="s">
        <v>19</v>
      </c>
    </row>
    <row r="629" customFormat="false" ht="15" hidden="false" customHeight="true" outlineLevel="0" collapsed="false">
      <c r="A629" s="34" t="n">
        <v>45833</v>
      </c>
      <c r="B629" s="8" t="s">
        <v>954</v>
      </c>
      <c r="C629" s="8" t="s">
        <v>310</v>
      </c>
      <c r="D629" s="8" t="s">
        <v>432</v>
      </c>
      <c r="E629" s="9" t="n">
        <v>-611.37</v>
      </c>
      <c r="F629" s="8" t="s">
        <v>15</v>
      </c>
    </row>
    <row r="630" customFormat="false" ht="15" hidden="false" customHeight="true" outlineLevel="0" collapsed="false">
      <c r="A630" s="34" t="n">
        <v>45834</v>
      </c>
      <c r="B630" s="8" t="s">
        <v>955</v>
      </c>
      <c r="C630" s="8" t="s">
        <v>310</v>
      </c>
      <c r="D630" s="8" t="s">
        <v>400</v>
      </c>
      <c r="E630" s="9" t="n">
        <v>-352.12</v>
      </c>
      <c r="F630" s="8" t="s">
        <v>20</v>
      </c>
    </row>
    <row r="631" customFormat="false" ht="15" hidden="false" customHeight="true" outlineLevel="0" collapsed="false">
      <c r="A631" s="34" t="n">
        <v>45835</v>
      </c>
      <c r="B631" s="8" t="s">
        <v>956</v>
      </c>
      <c r="C631" s="8" t="s">
        <v>310</v>
      </c>
      <c r="D631" s="8" t="s">
        <v>678</v>
      </c>
      <c r="E631" s="9" t="n">
        <v>-15.95</v>
      </c>
      <c r="F631" s="8" t="s">
        <v>19</v>
      </c>
    </row>
    <row r="632" customFormat="false" ht="15" hidden="false" customHeight="true" outlineLevel="0" collapsed="false">
      <c r="A632" s="34" t="n">
        <v>45835</v>
      </c>
      <c r="B632" s="8" t="s">
        <v>957</v>
      </c>
      <c r="C632" s="8" t="s">
        <v>313</v>
      </c>
      <c r="D632" s="8" t="s">
        <v>344</v>
      </c>
      <c r="E632" s="9" t="n">
        <v>-7.96</v>
      </c>
      <c r="F632" s="8" t="s">
        <v>13</v>
      </c>
    </row>
    <row r="633" customFormat="false" ht="15" hidden="false" customHeight="true" outlineLevel="0" collapsed="false">
      <c r="A633" s="34" t="n">
        <v>45835</v>
      </c>
      <c r="B633" s="8" t="s">
        <v>958</v>
      </c>
      <c r="C633" s="8" t="s">
        <v>313</v>
      </c>
      <c r="D633" s="8" t="s">
        <v>440</v>
      </c>
      <c r="E633" s="9" t="n">
        <v>-37.03</v>
      </c>
      <c r="F633" s="8" t="s">
        <v>30</v>
      </c>
    </row>
    <row r="634" customFormat="false" ht="15" hidden="false" customHeight="true" outlineLevel="0" collapsed="false">
      <c r="A634" s="34" t="n">
        <v>45838</v>
      </c>
      <c r="B634" s="8" t="s">
        <v>959</v>
      </c>
      <c r="C634" s="8" t="s">
        <v>367</v>
      </c>
      <c r="D634" s="8" t="s">
        <v>476</v>
      </c>
      <c r="E634" s="9" t="n">
        <v>-2484.55</v>
      </c>
      <c r="F634" s="8" t="s">
        <v>14</v>
      </c>
    </row>
    <row r="635" customFormat="false" ht="15" hidden="false" customHeight="true" outlineLevel="0" collapsed="false">
      <c r="A635" s="34" t="n">
        <v>45838</v>
      </c>
      <c r="B635" s="8" t="s">
        <v>356</v>
      </c>
      <c r="C635" s="8" t="s">
        <v>688</v>
      </c>
      <c r="D635" s="8" t="s">
        <v>689</v>
      </c>
      <c r="E635" s="9" t="n">
        <v>-72</v>
      </c>
      <c r="F635" s="8" t="s">
        <v>25</v>
      </c>
    </row>
    <row r="636" customFormat="false" ht="15" hidden="false" customHeight="true" outlineLevel="0" collapsed="false">
      <c r="A636" s="34" t="n">
        <v>45838</v>
      </c>
      <c r="B636" s="8" t="s">
        <v>960</v>
      </c>
      <c r="C636" s="8" t="s">
        <v>359</v>
      </c>
      <c r="D636" s="8" t="s">
        <v>360</v>
      </c>
      <c r="E636" s="9" t="n">
        <v>-1.2</v>
      </c>
      <c r="F636" s="8" t="s">
        <v>25</v>
      </c>
    </row>
    <row r="637" customFormat="false" ht="15" hidden="false" customHeight="true" outlineLevel="0" collapsed="false">
      <c r="A637" s="34" t="n">
        <v>45838</v>
      </c>
      <c r="B637" s="8" t="s">
        <v>961</v>
      </c>
      <c r="C637" s="8" t="s">
        <v>310</v>
      </c>
      <c r="D637" s="8" t="s">
        <v>319</v>
      </c>
      <c r="E637" s="9" t="n">
        <v>-440.77</v>
      </c>
      <c r="F637" s="8" t="s">
        <v>13</v>
      </c>
    </row>
    <row r="638" customFormat="false" ht="15" hidden="false" customHeight="true" outlineLevel="0" collapsed="false">
      <c r="A638" s="34" t="n">
        <v>45838</v>
      </c>
      <c r="B638" s="8" t="s">
        <v>962</v>
      </c>
      <c r="C638" s="8" t="s">
        <v>367</v>
      </c>
      <c r="D638" s="8" t="s">
        <v>464</v>
      </c>
      <c r="E638" s="9" t="n">
        <v>-1240.11</v>
      </c>
      <c r="F638" s="8" t="s">
        <v>14</v>
      </c>
    </row>
    <row r="639" customFormat="false" ht="15" hidden="false" customHeight="true" outlineLevel="0" collapsed="false">
      <c r="A639" s="34" t="n">
        <v>45838</v>
      </c>
      <c r="B639" s="8" t="s">
        <v>960</v>
      </c>
      <c r="C639" s="8" t="s">
        <v>361</v>
      </c>
      <c r="D639" s="8" t="s">
        <v>379</v>
      </c>
      <c r="E639" s="9" t="n">
        <v>44200</v>
      </c>
      <c r="F639" s="8" t="s">
        <v>335</v>
      </c>
    </row>
    <row r="640" customFormat="false" ht="15" hidden="false" customHeight="true" outlineLevel="0" collapsed="false">
      <c r="A640" s="34" t="n">
        <v>45838</v>
      </c>
      <c r="B640" s="8" t="s">
        <v>963</v>
      </c>
      <c r="C640" s="8" t="s">
        <v>313</v>
      </c>
      <c r="D640" s="8" t="s">
        <v>683</v>
      </c>
      <c r="E640" s="9" t="n">
        <v>-13</v>
      </c>
      <c r="F640" s="8" t="s">
        <v>20</v>
      </c>
    </row>
    <row r="641" customFormat="false" ht="15" hidden="false" customHeight="true" outlineLevel="0" collapsed="false">
      <c r="A641" s="34" t="n">
        <v>45838</v>
      </c>
      <c r="B641" s="8" t="s">
        <v>964</v>
      </c>
      <c r="C641" s="8" t="s">
        <v>313</v>
      </c>
      <c r="D641" s="8" t="s">
        <v>33</v>
      </c>
      <c r="E641" s="9" t="n">
        <v>-77.57</v>
      </c>
      <c r="F641" s="8" t="s">
        <v>19</v>
      </c>
    </row>
    <row r="642" customFormat="false" ht="15" hidden="false" customHeight="true" outlineLevel="0" collapsed="false">
      <c r="A642" s="34" t="n">
        <v>45838</v>
      </c>
      <c r="B642" s="8" t="s">
        <v>965</v>
      </c>
      <c r="C642" s="8" t="s">
        <v>367</v>
      </c>
      <c r="D642" s="8" t="s">
        <v>412</v>
      </c>
      <c r="E642" s="9" t="n">
        <v>-1264.25</v>
      </c>
      <c r="F642" s="8" t="s">
        <v>14</v>
      </c>
    </row>
    <row r="643" customFormat="false" ht="15" hidden="false" customHeight="true" outlineLevel="0" collapsed="false">
      <c r="A643" s="34" t="n">
        <v>45838</v>
      </c>
      <c r="B643" s="8" t="s">
        <v>966</v>
      </c>
      <c r="C643" s="8" t="s">
        <v>313</v>
      </c>
      <c r="D643" s="8" t="s">
        <v>450</v>
      </c>
      <c r="E643" s="9" t="n">
        <v>-55.84</v>
      </c>
      <c r="F643" s="8" t="s">
        <v>20</v>
      </c>
    </row>
    <row r="644" customFormat="false" ht="15" hidden="false" customHeight="true" outlineLevel="0" collapsed="false">
      <c r="A644" s="34" t="n">
        <v>45839</v>
      </c>
      <c r="B644" s="8" t="s">
        <v>967</v>
      </c>
      <c r="C644" s="8" t="s">
        <v>313</v>
      </c>
      <c r="D644" s="8" t="s">
        <v>33</v>
      </c>
      <c r="E644" s="9" t="n">
        <v>-14.9</v>
      </c>
      <c r="F644" s="8" t="s">
        <v>19</v>
      </c>
    </row>
    <row r="645" customFormat="false" ht="15" hidden="false" customHeight="true" outlineLevel="0" collapsed="false">
      <c r="A645" s="34" t="n">
        <v>45839</v>
      </c>
      <c r="B645" s="8" t="s">
        <v>968</v>
      </c>
      <c r="C645" s="8" t="s">
        <v>310</v>
      </c>
      <c r="D645" s="8" t="s">
        <v>317</v>
      </c>
      <c r="E645" s="9" t="n">
        <v>-196.82</v>
      </c>
      <c r="F645" s="8" t="s">
        <v>22</v>
      </c>
    </row>
    <row r="646" customFormat="false" ht="15" hidden="false" customHeight="true" outlineLevel="0" collapsed="false">
      <c r="A646" s="34" t="n">
        <v>45839</v>
      </c>
      <c r="B646" s="8" t="s">
        <v>969</v>
      </c>
      <c r="C646" s="8" t="s">
        <v>313</v>
      </c>
      <c r="D646" s="8" t="s">
        <v>33</v>
      </c>
      <c r="E646" s="9" t="n">
        <v>-67.41</v>
      </c>
      <c r="F646" s="8" t="s">
        <v>19</v>
      </c>
    </row>
    <row r="647" customFormat="false" ht="15" hidden="false" customHeight="true" outlineLevel="0" collapsed="false">
      <c r="A647" s="34" t="n">
        <v>45839</v>
      </c>
      <c r="B647" s="8" t="s">
        <v>970</v>
      </c>
      <c r="C647" s="8" t="s">
        <v>313</v>
      </c>
      <c r="D647" s="8" t="s">
        <v>971</v>
      </c>
      <c r="E647" s="9" t="n">
        <v>-190</v>
      </c>
      <c r="F647" s="8" t="s">
        <v>17</v>
      </c>
    </row>
    <row r="648" customFormat="false" ht="15" hidden="false" customHeight="true" outlineLevel="0" collapsed="false">
      <c r="A648" s="34" t="n">
        <v>45839</v>
      </c>
      <c r="B648" s="8" t="s">
        <v>972</v>
      </c>
      <c r="C648" s="8" t="s">
        <v>310</v>
      </c>
      <c r="D648" s="8" t="s">
        <v>316</v>
      </c>
      <c r="E648" s="9" t="n">
        <v>-872.67</v>
      </c>
      <c r="F648" s="8" t="s">
        <v>19</v>
      </c>
    </row>
    <row r="649" customFormat="false" ht="15" hidden="false" customHeight="true" outlineLevel="0" collapsed="false">
      <c r="A649" s="34" t="n">
        <v>45839</v>
      </c>
      <c r="B649" s="8" t="s">
        <v>973</v>
      </c>
      <c r="C649" s="8" t="s">
        <v>367</v>
      </c>
      <c r="D649" s="8" t="s">
        <v>368</v>
      </c>
      <c r="E649" s="9" t="n">
        <v>-42353.81</v>
      </c>
      <c r="F649" s="8" t="s">
        <v>11</v>
      </c>
    </row>
    <row r="650" customFormat="false" ht="15" hidden="false" customHeight="true" outlineLevel="0" collapsed="false">
      <c r="A650" s="34" t="n">
        <v>45839</v>
      </c>
      <c r="B650" s="8" t="s">
        <v>974</v>
      </c>
      <c r="C650" s="8" t="s">
        <v>361</v>
      </c>
      <c r="D650" s="8" t="s">
        <v>379</v>
      </c>
      <c r="E650" s="9" t="n">
        <v>23080</v>
      </c>
      <c r="F650" s="8" t="s">
        <v>335</v>
      </c>
    </row>
    <row r="651" customFormat="false" ht="15" hidden="false" customHeight="true" outlineLevel="0" collapsed="false">
      <c r="A651" s="34" t="n">
        <v>45839</v>
      </c>
      <c r="B651" s="8" t="s">
        <v>974</v>
      </c>
      <c r="C651" s="8" t="s">
        <v>359</v>
      </c>
      <c r="D651" s="8" t="s">
        <v>360</v>
      </c>
      <c r="E651" s="9" t="n">
        <v>-1.2</v>
      </c>
      <c r="F651" s="8" t="s">
        <v>25</v>
      </c>
    </row>
    <row r="652" customFormat="false" ht="15" hidden="false" customHeight="true" outlineLevel="0" collapsed="false">
      <c r="A652" s="34" t="n">
        <v>45840</v>
      </c>
      <c r="B652" s="8" t="s">
        <v>975</v>
      </c>
      <c r="C652" s="8" t="s">
        <v>313</v>
      </c>
      <c r="D652" s="8" t="s">
        <v>976</v>
      </c>
      <c r="E652" s="9" t="n">
        <v>-95</v>
      </c>
      <c r="F652" s="8" t="s">
        <v>29</v>
      </c>
    </row>
    <row r="653" customFormat="false" ht="15" hidden="false" customHeight="true" outlineLevel="0" collapsed="false">
      <c r="A653" s="34" t="n">
        <v>45840</v>
      </c>
      <c r="B653" s="8" t="s">
        <v>977</v>
      </c>
      <c r="C653" s="8" t="s">
        <v>313</v>
      </c>
      <c r="D653" s="8" t="s">
        <v>329</v>
      </c>
      <c r="E653" s="9" t="n">
        <v>-145.48</v>
      </c>
      <c r="F653" s="8" t="s">
        <v>20</v>
      </c>
    </row>
    <row r="654" customFormat="false" ht="15" hidden="false" customHeight="true" outlineLevel="0" collapsed="false">
      <c r="A654" s="34" t="n">
        <v>45840</v>
      </c>
      <c r="B654" s="8" t="s">
        <v>978</v>
      </c>
      <c r="C654" s="8" t="s">
        <v>313</v>
      </c>
      <c r="D654" s="8" t="s">
        <v>346</v>
      </c>
      <c r="E654" s="9" t="n">
        <v>-9.6</v>
      </c>
      <c r="F654" s="8" t="s">
        <v>19</v>
      </c>
    </row>
    <row r="655" customFormat="false" ht="15" hidden="false" customHeight="true" outlineLevel="0" collapsed="false">
      <c r="A655" s="34" t="n">
        <v>45840</v>
      </c>
      <c r="B655" s="8" t="s">
        <v>716</v>
      </c>
      <c r="C655" s="8" t="s">
        <v>313</v>
      </c>
      <c r="D655" s="8" t="s">
        <v>33</v>
      </c>
      <c r="E655" s="9" t="n">
        <v>-13.62</v>
      </c>
      <c r="F655" s="8" t="s">
        <v>19</v>
      </c>
    </row>
    <row r="656" customFormat="false" ht="15" hidden="false" customHeight="true" outlineLevel="0" collapsed="false">
      <c r="A656" s="34" t="n">
        <v>45840</v>
      </c>
      <c r="B656" s="8" t="s">
        <v>323</v>
      </c>
      <c r="C656" s="8" t="s">
        <v>324</v>
      </c>
      <c r="D656" s="8" t="s">
        <v>325</v>
      </c>
      <c r="E656" s="9" t="n">
        <v>-42</v>
      </c>
      <c r="F656" s="8" t="s">
        <v>25</v>
      </c>
    </row>
    <row r="657" customFormat="false" ht="15" hidden="false" customHeight="true" outlineLevel="0" collapsed="false">
      <c r="A657" s="34" t="n">
        <v>45840</v>
      </c>
      <c r="B657" s="8" t="s">
        <v>979</v>
      </c>
      <c r="C657" s="8" t="s">
        <v>367</v>
      </c>
      <c r="D657" s="8" t="s">
        <v>929</v>
      </c>
      <c r="E657" s="9" t="n">
        <v>-24183.96</v>
      </c>
      <c r="F657" s="8" t="s">
        <v>11</v>
      </c>
    </row>
    <row r="658" customFormat="false" ht="15" hidden="false" customHeight="true" outlineLevel="0" collapsed="false">
      <c r="A658" s="34" t="n">
        <v>45840</v>
      </c>
      <c r="B658" s="8" t="s">
        <v>980</v>
      </c>
      <c r="C658" s="8" t="s">
        <v>313</v>
      </c>
      <c r="D658" s="8" t="s">
        <v>346</v>
      </c>
      <c r="E658" s="9" t="n">
        <v>-1.7</v>
      </c>
      <c r="F658" s="8" t="s">
        <v>19</v>
      </c>
    </row>
    <row r="659" customFormat="false" ht="15" hidden="false" customHeight="true" outlineLevel="0" collapsed="false">
      <c r="A659" s="34" t="n">
        <v>45840</v>
      </c>
      <c r="B659" s="8" t="s">
        <v>981</v>
      </c>
      <c r="C659" s="8" t="s">
        <v>313</v>
      </c>
      <c r="D659" s="8" t="s">
        <v>562</v>
      </c>
      <c r="E659" s="9" t="n">
        <v>-63.28</v>
      </c>
      <c r="F659" s="8" t="s">
        <v>19</v>
      </c>
    </row>
    <row r="660" customFormat="false" ht="15" hidden="false" customHeight="true" outlineLevel="0" collapsed="false">
      <c r="A660" s="34" t="n">
        <v>45841</v>
      </c>
      <c r="B660" s="8" t="s">
        <v>982</v>
      </c>
      <c r="C660" s="8" t="s">
        <v>313</v>
      </c>
      <c r="D660" s="8" t="s">
        <v>346</v>
      </c>
      <c r="E660" s="9" t="n">
        <v>-16.2</v>
      </c>
      <c r="F660" s="8" t="s">
        <v>19</v>
      </c>
    </row>
    <row r="661" customFormat="false" ht="15" hidden="false" customHeight="true" outlineLevel="0" collapsed="false">
      <c r="A661" s="34" t="n">
        <v>45841</v>
      </c>
      <c r="B661" s="8" t="s">
        <v>983</v>
      </c>
      <c r="C661" s="8" t="s">
        <v>313</v>
      </c>
      <c r="D661" s="8" t="s">
        <v>341</v>
      </c>
      <c r="E661" s="9" t="n">
        <v>-16.2</v>
      </c>
      <c r="F661" s="8" t="s">
        <v>19</v>
      </c>
    </row>
    <row r="662" customFormat="false" ht="15" hidden="false" customHeight="true" outlineLevel="0" collapsed="false">
      <c r="A662" s="34" t="n">
        <v>45841</v>
      </c>
      <c r="B662" s="8" t="s">
        <v>984</v>
      </c>
      <c r="C662" s="8" t="s">
        <v>313</v>
      </c>
      <c r="D662" s="8" t="s">
        <v>985</v>
      </c>
      <c r="E662" s="9" t="n">
        <v>-24.85</v>
      </c>
      <c r="F662" s="8" t="s">
        <v>19</v>
      </c>
    </row>
    <row r="663" customFormat="false" ht="15" hidden="false" customHeight="true" outlineLevel="0" collapsed="false">
      <c r="A663" s="34" t="n">
        <v>45841</v>
      </c>
      <c r="B663" s="8" t="s">
        <v>986</v>
      </c>
      <c r="C663" s="8" t="s">
        <v>313</v>
      </c>
      <c r="D663" s="8" t="s">
        <v>341</v>
      </c>
      <c r="E663" s="9" t="n">
        <v>-10.7</v>
      </c>
      <c r="F663" s="8" t="s">
        <v>19</v>
      </c>
    </row>
    <row r="664" customFormat="false" ht="15" hidden="false" customHeight="true" outlineLevel="0" collapsed="false">
      <c r="A664" s="34" t="n">
        <v>45842</v>
      </c>
      <c r="B664" s="8" t="s">
        <v>987</v>
      </c>
      <c r="C664" s="8" t="s">
        <v>313</v>
      </c>
      <c r="D664" s="8" t="s">
        <v>988</v>
      </c>
      <c r="E664" s="9" t="n">
        <v>-12.25</v>
      </c>
      <c r="F664" s="8" t="s">
        <v>18</v>
      </c>
    </row>
    <row r="665" customFormat="false" ht="15" hidden="false" customHeight="true" outlineLevel="0" collapsed="false">
      <c r="A665" s="34" t="n">
        <v>45842</v>
      </c>
      <c r="B665" s="8" t="s">
        <v>989</v>
      </c>
      <c r="C665" s="8" t="s">
        <v>367</v>
      </c>
      <c r="D665" s="8" t="s">
        <v>386</v>
      </c>
      <c r="E665" s="9" t="n">
        <v>-3500</v>
      </c>
      <c r="F665" s="8" t="s">
        <v>16</v>
      </c>
    </row>
    <row r="666" customFormat="false" ht="15" hidden="false" customHeight="true" outlineLevel="0" collapsed="false">
      <c r="A666" s="34" t="n">
        <v>45845</v>
      </c>
      <c r="B666" s="8" t="s">
        <v>990</v>
      </c>
      <c r="C666" s="8" t="s">
        <v>310</v>
      </c>
      <c r="D666" s="8" t="s">
        <v>311</v>
      </c>
      <c r="E666" s="9" t="n">
        <v>-79</v>
      </c>
      <c r="F666" s="8" t="s">
        <v>26</v>
      </c>
    </row>
    <row r="667" customFormat="false" ht="15" hidden="false" customHeight="true" outlineLevel="0" collapsed="false">
      <c r="A667" s="34" t="n">
        <v>45845</v>
      </c>
      <c r="B667" s="8" t="s">
        <v>991</v>
      </c>
      <c r="C667" s="8" t="s">
        <v>310</v>
      </c>
      <c r="D667" s="8" t="s">
        <v>317</v>
      </c>
      <c r="E667" s="9" t="n">
        <v>-93.98</v>
      </c>
      <c r="F667" s="8" t="s">
        <v>22</v>
      </c>
    </row>
    <row r="668" customFormat="false" ht="15" hidden="false" customHeight="true" outlineLevel="0" collapsed="false">
      <c r="A668" s="34" t="n">
        <v>45845</v>
      </c>
      <c r="B668" s="8" t="s">
        <v>992</v>
      </c>
      <c r="C668" s="8" t="s">
        <v>361</v>
      </c>
      <c r="D668" s="8" t="s">
        <v>750</v>
      </c>
      <c r="E668" s="9" t="n">
        <v>57046</v>
      </c>
      <c r="F668" s="8" t="s">
        <v>335</v>
      </c>
    </row>
    <row r="669" customFormat="false" ht="15" hidden="false" customHeight="true" outlineLevel="0" collapsed="false">
      <c r="A669" s="34" t="n">
        <v>45846</v>
      </c>
      <c r="B669" s="8" t="s">
        <v>993</v>
      </c>
      <c r="C669" s="8" t="s">
        <v>367</v>
      </c>
      <c r="D669" s="8" t="s">
        <v>596</v>
      </c>
      <c r="E669" s="9" t="n">
        <v>-13850.73</v>
      </c>
      <c r="F669" s="8" t="s">
        <v>10</v>
      </c>
    </row>
    <row r="670" customFormat="false" ht="15" hidden="false" customHeight="true" outlineLevel="0" collapsed="false">
      <c r="A670" s="34" t="n">
        <v>45846</v>
      </c>
      <c r="B670" s="8" t="s">
        <v>994</v>
      </c>
      <c r="C670" s="8" t="s">
        <v>310</v>
      </c>
      <c r="D670" s="8" t="s">
        <v>334</v>
      </c>
      <c r="E670" s="9" t="n">
        <v>-168.99</v>
      </c>
      <c r="F670" s="8" t="s">
        <v>25</v>
      </c>
    </row>
    <row r="671" customFormat="false" ht="15" hidden="false" customHeight="true" outlineLevel="0" collapsed="false">
      <c r="A671" s="34" t="n">
        <v>45846</v>
      </c>
      <c r="B671" s="8" t="s">
        <v>995</v>
      </c>
      <c r="C671" s="8" t="s">
        <v>310</v>
      </c>
      <c r="D671" s="8" t="s">
        <v>497</v>
      </c>
      <c r="E671" s="9" t="n">
        <v>-28.86</v>
      </c>
      <c r="F671" s="8" t="s">
        <v>32</v>
      </c>
    </row>
    <row r="672" customFormat="false" ht="15" hidden="false" customHeight="true" outlineLevel="0" collapsed="false">
      <c r="A672" s="34" t="n">
        <v>45846</v>
      </c>
      <c r="B672" s="8" t="s">
        <v>996</v>
      </c>
      <c r="C672" s="8" t="s">
        <v>313</v>
      </c>
      <c r="D672" s="8" t="s">
        <v>33</v>
      </c>
      <c r="E672" s="9" t="n">
        <v>-12.2</v>
      </c>
      <c r="F672" s="8" t="s">
        <v>19</v>
      </c>
    </row>
    <row r="673" customFormat="false" ht="15" hidden="false" customHeight="true" outlineLevel="0" collapsed="false">
      <c r="A673" s="34" t="n">
        <v>45847</v>
      </c>
      <c r="B673" s="8" t="s">
        <v>997</v>
      </c>
      <c r="C673" s="8" t="s">
        <v>313</v>
      </c>
      <c r="D673" s="8" t="s">
        <v>481</v>
      </c>
      <c r="E673" s="9" t="n">
        <v>-3.99</v>
      </c>
      <c r="F673" s="8" t="s">
        <v>20</v>
      </c>
    </row>
    <row r="674" customFormat="false" ht="15" hidden="false" customHeight="true" outlineLevel="0" collapsed="false">
      <c r="A674" s="34" t="n">
        <v>45847</v>
      </c>
      <c r="B674" s="8" t="s">
        <v>998</v>
      </c>
      <c r="C674" s="8" t="s">
        <v>333</v>
      </c>
      <c r="D674" s="8" t="s">
        <v>999</v>
      </c>
      <c r="E674" s="9" t="n">
        <v>3600</v>
      </c>
      <c r="F674" s="8" t="s">
        <v>335</v>
      </c>
    </row>
    <row r="675" customFormat="false" ht="15" hidden="false" customHeight="true" outlineLevel="0" collapsed="false">
      <c r="A675" s="34" t="n">
        <v>45847</v>
      </c>
      <c r="B675" s="8" t="s">
        <v>1000</v>
      </c>
      <c r="C675" s="8" t="s">
        <v>313</v>
      </c>
      <c r="D675" s="8" t="s">
        <v>344</v>
      </c>
      <c r="E675" s="9" t="n">
        <v>-45.05</v>
      </c>
      <c r="F675" s="8" t="s">
        <v>13</v>
      </c>
    </row>
    <row r="676" customFormat="false" ht="15" hidden="false" customHeight="true" outlineLevel="0" collapsed="false">
      <c r="A676" s="34" t="n">
        <v>45848</v>
      </c>
      <c r="B676" s="8" t="s">
        <v>1001</v>
      </c>
      <c r="C676" s="8" t="s">
        <v>310</v>
      </c>
      <c r="D676" s="8" t="s">
        <v>311</v>
      </c>
      <c r="E676" s="9" t="n">
        <v>-125.16</v>
      </c>
      <c r="F676" s="8" t="s">
        <v>26</v>
      </c>
    </row>
    <row r="677" customFormat="false" ht="15" hidden="false" customHeight="true" outlineLevel="0" collapsed="false">
      <c r="A677" s="34" t="n">
        <v>45848</v>
      </c>
      <c r="B677" s="8" t="s">
        <v>1002</v>
      </c>
      <c r="C677" s="8" t="s">
        <v>911</v>
      </c>
      <c r="D677" s="8" t="s">
        <v>334</v>
      </c>
      <c r="E677" s="9" t="n">
        <v>168.99</v>
      </c>
      <c r="F677" s="8" t="s">
        <v>25</v>
      </c>
    </row>
    <row r="678" customFormat="false" ht="15" hidden="false" customHeight="true" outlineLevel="0" collapsed="false">
      <c r="A678" s="34" t="n">
        <v>45848</v>
      </c>
      <c r="B678" s="8" t="s">
        <v>1003</v>
      </c>
      <c r="C678" s="8" t="s">
        <v>1004</v>
      </c>
      <c r="D678" s="8" t="s">
        <v>1005</v>
      </c>
      <c r="E678" s="9" t="n">
        <v>-42938.1</v>
      </c>
      <c r="F678" s="8" t="s">
        <v>10</v>
      </c>
    </row>
    <row r="679" customFormat="false" ht="15" hidden="false" customHeight="true" outlineLevel="0" collapsed="false">
      <c r="A679" s="34" t="n">
        <v>45848</v>
      </c>
      <c r="B679" s="8" t="s">
        <v>356</v>
      </c>
      <c r="C679" s="8" t="s">
        <v>357</v>
      </c>
      <c r="D679" s="8" t="s">
        <v>1006</v>
      </c>
      <c r="E679" s="9" t="n">
        <v>-377.34</v>
      </c>
      <c r="F679" s="8" t="s">
        <v>25</v>
      </c>
    </row>
    <row r="680" customFormat="false" ht="15" hidden="false" customHeight="true" outlineLevel="0" collapsed="false">
      <c r="A680" s="34" t="n">
        <v>45848</v>
      </c>
      <c r="B680" s="8" t="s">
        <v>1003</v>
      </c>
      <c r="C680" s="8" t="s">
        <v>359</v>
      </c>
      <c r="D680" s="8" t="s">
        <v>360</v>
      </c>
      <c r="E680" s="9" t="n">
        <v>-1.2</v>
      </c>
      <c r="F680" s="8" t="s">
        <v>25</v>
      </c>
    </row>
    <row r="681" customFormat="false" ht="15" hidden="false" customHeight="true" outlineLevel="0" collapsed="false">
      <c r="A681" s="34" t="n">
        <v>45848</v>
      </c>
      <c r="B681" s="8" t="s">
        <v>1003</v>
      </c>
      <c r="C681" s="8" t="s">
        <v>1007</v>
      </c>
      <c r="D681" s="8" t="s">
        <v>1008</v>
      </c>
      <c r="E681" s="9" t="n">
        <v>-12</v>
      </c>
      <c r="F681" s="8" t="s">
        <v>25</v>
      </c>
    </row>
    <row r="682" customFormat="false" ht="15" hidden="false" customHeight="true" outlineLevel="0" collapsed="false">
      <c r="A682" s="34" t="n">
        <v>45848</v>
      </c>
      <c r="B682" s="8" t="s">
        <v>1009</v>
      </c>
      <c r="C682" s="8" t="s">
        <v>310</v>
      </c>
      <c r="D682" s="8" t="s">
        <v>348</v>
      </c>
      <c r="E682" s="9" t="n">
        <v>-130.67</v>
      </c>
      <c r="F682" s="8" t="s">
        <v>26</v>
      </c>
    </row>
    <row r="683" customFormat="false" ht="15" hidden="false" customHeight="true" outlineLevel="0" collapsed="false">
      <c r="A683" s="34" t="n">
        <v>45848</v>
      </c>
      <c r="B683" s="8" t="s">
        <v>1010</v>
      </c>
      <c r="C683" s="8" t="s">
        <v>310</v>
      </c>
      <c r="D683" s="8" t="s">
        <v>355</v>
      </c>
      <c r="E683" s="9" t="n">
        <v>-67.36</v>
      </c>
      <c r="F683" s="8" t="s">
        <v>31</v>
      </c>
    </row>
    <row r="684" customFormat="false" ht="15" hidden="false" customHeight="true" outlineLevel="0" collapsed="false">
      <c r="A684" s="34" t="n">
        <v>45848</v>
      </c>
      <c r="B684" s="8" t="s">
        <v>1003</v>
      </c>
      <c r="C684" s="8" t="s">
        <v>1011</v>
      </c>
      <c r="D684" s="8" t="s">
        <v>1012</v>
      </c>
      <c r="E684" s="9" t="n">
        <v>-3.98</v>
      </c>
      <c r="F684" s="8" t="s">
        <v>25</v>
      </c>
    </row>
    <row r="685" customFormat="false" ht="15" hidden="false" customHeight="true" outlineLevel="0" collapsed="false">
      <c r="A685" s="34" t="n">
        <v>45848</v>
      </c>
      <c r="B685" s="8" t="s">
        <v>1013</v>
      </c>
      <c r="C685" s="8" t="s">
        <v>310</v>
      </c>
      <c r="D685" s="8" t="s">
        <v>352</v>
      </c>
      <c r="E685" s="9" t="n">
        <v>-504</v>
      </c>
      <c r="F685" s="8" t="s">
        <v>23</v>
      </c>
    </row>
    <row r="686" customFormat="false" ht="15" hidden="false" customHeight="true" outlineLevel="0" collapsed="false">
      <c r="A686" s="34" t="n">
        <v>45849</v>
      </c>
      <c r="B686" s="8" t="s">
        <v>1014</v>
      </c>
      <c r="C686" s="8" t="s">
        <v>313</v>
      </c>
      <c r="D686" s="8" t="s">
        <v>562</v>
      </c>
      <c r="E686" s="9" t="n">
        <v>-66.65</v>
      </c>
      <c r="F686" s="8" t="s">
        <v>19</v>
      </c>
    </row>
    <row r="687" customFormat="false" ht="15" hidden="false" customHeight="true" outlineLevel="0" collapsed="false">
      <c r="A687" s="34" t="n">
        <v>45849</v>
      </c>
      <c r="B687" s="8" t="s">
        <v>1015</v>
      </c>
      <c r="C687" s="8" t="s">
        <v>313</v>
      </c>
      <c r="D687" s="8" t="s">
        <v>337</v>
      </c>
      <c r="E687" s="9" t="n">
        <v>-77.87</v>
      </c>
      <c r="F687" s="8" t="s">
        <v>19</v>
      </c>
    </row>
    <row r="688" customFormat="false" ht="15" hidden="false" customHeight="true" outlineLevel="0" collapsed="false">
      <c r="A688" s="34" t="n">
        <v>45852</v>
      </c>
      <c r="B688" s="8" t="s">
        <v>1016</v>
      </c>
      <c r="C688" s="8" t="s">
        <v>310</v>
      </c>
      <c r="D688" s="8" t="s">
        <v>334</v>
      </c>
      <c r="E688" s="9" t="n">
        <v>-68.97</v>
      </c>
      <c r="F688" s="8" t="s">
        <v>25</v>
      </c>
    </row>
    <row r="689" customFormat="false" ht="15" hidden="false" customHeight="true" outlineLevel="0" collapsed="false">
      <c r="A689" s="34" t="n">
        <v>45852</v>
      </c>
      <c r="B689" s="8" t="s">
        <v>1017</v>
      </c>
      <c r="C689" s="8" t="s">
        <v>313</v>
      </c>
      <c r="D689" s="8" t="s">
        <v>331</v>
      </c>
      <c r="E689" s="9" t="n">
        <v>-28</v>
      </c>
      <c r="F689" s="8" t="s">
        <v>17</v>
      </c>
    </row>
    <row r="690" customFormat="false" ht="15" hidden="false" customHeight="true" outlineLevel="0" collapsed="false">
      <c r="A690" s="34" t="n">
        <v>45853</v>
      </c>
      <c r="B690" s="8" t="s">
        <v>1018</v>
      </c>
      <c r="C690" s="8" t="s">
        <v>365</v>
      </c>
      <c r="D690" s="8" t="s">
        <v>1019</v>
      </c>
      <c r="E690" s="9" t="n">
        <v>-0.63</v>
      </c>
      <c r="F690" s="8" t="s">
        <v>25</v>
      </c>
    </row>
    <row r="691" customFormat="false" ht="15" hidden="false" customHeight="true" outlineLevel="0" collapsed="false">
      <c r="A691" s="34" t="n">
        <v>45853</v>
      </c>
      <c r="B691" s="8" t="s">
        <v>1020</v>
      </c>
      <c r="C691" s="8" t="s">
        <v>313</v>
      </c>
      <c r="D691" s="8" t="s">
        <v>1021</v>
      </c>
      <c r="E691" s="9" t="n">
        <v>-95.38</v>
      </c>
      <c r="F691" s="8" t="s">
        <v>18</v>
      </c>
    </row>
    <row r="692" customFormat="false" ht="15" hidden="false" customHeight="true" outlineLevel="0" collapsed="false">
      <c r="A692" s="34" t="n">
        <v>45853</v>
      </c>
      <c r="B692" s="8" t="s">
        <v>356</v>
      </c>
      <c r="C692" s="8" t="s">
        <v>384</v>
      </c>
      <c r="D692" s="8"/>
      <c r="E692" s="9" t="n">
        <v>-7.69</v>
      </c>
      <c r="F692" s="8" t="s">
        <v>25</v>
      </c>
    </row>
    <row r="693" customFormat="false" ht="15" hidden="false" customHeight="true" outlineLevel="0" collapsed="false">
      <c r="A693" s="34" t="n">
        <v>45853</v>
      </c>
      <c r="B693" s="8" t="s">
        <v>1022</v>
      </c>
      <c r="C693" s="8" t="s">
        <v>310</v>
      </c>
      <c r="D693" s="8" t="s">
        <v>400</v>
      </c>
      <c r="E693" s="9" t="n">
        <v>-121.33</v>
      </c>
      <c r="F693" s="8" t="s">
        <v>20</v>
      </c>
    </row>
    <row r="694" customFormat="false" ht="15" hidden="false" customHeight="true" outlineLevel="0" collapsed="false">
      <c r="A694" s="34" t="n">
        <v>45853</v>
      </c>
      <c r="B694" s="8" t="s">
        <v>1018</v>
      </c>
      <c r="C694" s="8" t="s">
        <v>313</v>
      </c>
      <c r="D694" s="8" t="s">
        <v>1019</v>
      </c>
      <c r="E694" s="9" t="n">
        <v>-21.94</v>
      </c>
      <c r="F694" s="8" t="s">
        <v>29</v>
      </c>
    </row>
    <row r="695" customFormat="false" ht="15" hidden="false" customHeight="true" outlineLevel="0" collapsed="false">
      <c r="A695" s="34" t="n">
        <v>45853</v>
      </c>
      <c r="B695" s="8" t="s">
        <v>1023</v>
      </c>
      <c r="C695" s="8" t="s">
        <v>375</v>
      </c>
      <c r="D695" s="8" t="s">
        <v>376</v>
      </c>
      <c r="E695" s="9" t="n">
        <v>-24.03</v>
      </c>
      <c r="F695" s="8" t="s">
        <v>25</v>
      </c>
    </row>
    <row r="696" customFormat="false" ht="15" hidden="false" customHeight="true" outlineLevel="0" collapsed="false">
      <c r="A696" s="34" t="n">
        <v>45853</v>
      </c>
      <c r="B696" s="8" t="s">
        <v>1024</v>
      </c>
      <c r="C696" s="8" t="s">
        <v>365</v>
      </c>
      <c r="D696" s="8" t="s">
        <v>364</v>
      </c>
      <c r="E696" s="9" t="n">
        <v>-0.61</v>
      </c>
      <c r="F696" s="8" t="s">
        <v>25</v>
      </c>
    </row>
    <row r="697" customFormat="false" ht="15" hidden="false" customHeight="true" outlineLevel="0" collapsed="false">
      <c r="A697" s="34" t="n">
        <v>45853</v>
      </c>
      <c r="B697" s="8" t="s">
        <v>823</v>
      </c>
      <c r="C697" s="8" t="s">
        <v>313</v>
      </c>
      <c r="D697" s="8" t="s">
        <v>723</v>
      </c>
      <c r="E697" s="9" t="n">
        <v>-1910.9</v>
      </c>
      <c r="F697" s="8" t="s">
        <v>18</v>
      </c>
    </row>
    <row r="698" customFormat="false" ht="15" hidden="false" customHeight="true" outlineLevel="0" collapsed="false">
      <c r="A698" s="34" t="n">
        <v>45853</v>
      </c>
      <c r="B698" s="8" t="s">
        <v>1024</v>
      </c>
      <c r="C698" s="8" t="s">
        <v>313</v>
      </c>
      <c r="D698" s="8" t="s">
        <v>364</v>
      </c>
      <c r="E698" s="9" t="n">
        <v>-41</v>
      </c>
      <c r="F698" s="8" t="s">
        <v>20</v>
      </c>
    </row>
    <row r="699" customFormat="false" ht="15" hidden="false" customHeight="true" outlineLevel="0" collapsed="false">
      <c r="A699" s="34" t="n">
        <v>45854</v>
      </c>
      <c r="B699" s="8" t="s">
        <v>1025</v>
      </c>
      <c r="C699" s="8" t="s">
        <v>310</v>
      </c>
      <c r="D699" s="8" t="s">
        <v>390</v>
      </c>
      <c r="E699" s="9" t="n">
        <v>-2795</v>
      </c>
      <c r="F699" s="8" t="s">
        <v>15</v>
      </c>
    </row>
    <row r="700" customFormat="false" ht="15" hidden="false" customHeight="true" outlineLevel="0" collapsed="false">
      <c r="A700" s="34" t="n">
        <v>45854</v>
      </c>
      <c r="B700" s="8" t="s">
        <v>1026</v>
      </c>
      <c r="C700" s="8" t="s">
        <v>359</v>
      </c>
      <c r="D700" s="8" t="s">
        <v>360</v>
      </c>
      <c r="E700" s="9" t="n">
        <v>-1.2</v>
      </c>
      <c r="F700" s="8" t="s">
        <v>25</v>
      </c>
    </row>
    <row r="701" customFormat="false" ht="15" hidden="false" customHeight="true" outlineLevel="0" collapsed="false">
      <c r="A701" s="34" t="n">
        <v>45854</v>
      </c>
      <c r="B701" s="8" t="s">
        <v>1027</v>
      </c>
      <c r="C701" s="8" t="s">
        <v>313</v>
      </c>
      <c r="D701" s="8" t="s">
        <v>481</v>
      </c>
      <c r="E701" s="9" t="n">
        <v>-3.99</v>
      </c>
      <c r="F701" s="8" t="s">
        <v>20</v>
      </c>
    </row>
    <row r="702" customFormat="false" ht="15" hidden="false" customHeight="true" outlineLevel="0" collapsed="false">
      <c r="A702" s="34" t="n">
        <v>45854</v>
      </c>
      <c r="B702" s="8" t="s">
        <v>1028</v>
      </c>
      <c r="C702" s="8" t="s">
        <v>313</v>
      </c>
      <c r="D702" s="8" t="s">
        <v>337</v>
      </c>
      <c r="E702" s="9" t="n">
        <v>-2.55</v>
      </c>
      <c r="F702" s="8" t="s">
        <v>19</v>
      </c>
    </row>
    <row r="703" customFormat="false" ht="15" hidden="false" customHeight="true" outlineLevel="0" collapsed="false">
      <c r="A703" s="34" t="n">
        <v>45854</v>
      </c>
      <c r="B703" s="8" t="s">
        <v>1028</v>
      </c>
      <c r="C703" s="8" t="s">
        <v>313</v>
      </c>
      <c r="D703" s="8" t="s">
        <v>337</v>
      </c>
      <c r="E703" s="9" t="n">
        <v>-77.02</v>
      </c>
      <c r="F703" s="8" t="s">
        <v>19</v>
      </c>
    </row>
    <row r="704" customFormat="false" ht="15" hidden="false" customHeight="true" outlineLevel="0" collapsed="false">
      <c r="A704" s="34" t="n">
        <v>45854</v>
      </c>
      <c r="B704" s="8" t="s">
        <v>1026</v>
      </c>
      <c r="C704" s="8" t="s">
        <v>361</v>
      </c>
      <c r="D704" s="8" t="s">
        <v>379</v>
      </c>
      <c r="E704" s="9" t="n">
        <v>45000</v>
      </c>
      <c r="F704" s="8" t="s">
        <v>335</v>
      </c>
    </row>
    <row r="705" customFormat="false" ht="15" hidden="false" customHeight="true" outlineLevel="0" collapsed="false">
      <c r="A705" s="34" t="n">
        <v>45854</v>
      </c>
      <c r="B705" s="8" t="s">
        <v>1029</v>
      </c>
      <c r="C705" s="8" t="s">
        <v>313</v>
      </c>
      <c r="D705" s="8" t="s">
        <v>331</v>
      </c>
      <c r="E705" s="9" t="n">
        <v>-28</v>
      </c>
      <c r="F705" s="8" t="s">
        <v>17</v>
      </c>
    </row>
    <row r="706" customFormat="false" ht="15" hidden="false" customHeight="true" outlineLevel="0" collapsed="false">
      <c r="A706" s="34" t="n">
        <v>45854</v>
      </c>
      <c r="B706" s="8" t="s">
        <v>1030</v>
      </c>
      <c r="C706" s="8" t="s">
        <v>313</v>
      </c>
      <c r="D706" s="8" t="s">
        <v>1031</v>
      </c>
      <c r="E706" s="9" t="n">
        <v>-5.5</v>
      </c>
      <c r="F706" s="8" t="s">
        <v>30</v>
      </c>
    </row>
    <row r="707" customFormat="false" ht="15" hidden="false" customHeight="true" outlineLevel="0" collapsed="false">
      <c r="A707" s="34" t="n">
        <v>45855</v>
      </c>
      <c r="B707" s="8" t="s">
        <v>1032</v>
      </c>
      <c r="C707" s="8" t="s">
        <v>313</v>
      </c>
      <c r="D707" s="8" t="s">
        <v>344</v>
      </c>
      <c r="E707" s="9" t="n">
        <v>-102.68</v>
      </c>
      <c r="F707" s="8" t="s">
        <v>13</v>
      </c>
    </row>
    <row r="708" customFormat="false" ht="15" hidden="false" customHeight="true" outlineLevel="0" collapsed="false">
      <c r="A708" s="34" t="n">
        <v>45855</v>
      </c>
      <c r="B708" s="8" t="s">
        <v>1033</v>
      </c>
      <c r="C708" s="8" t="s">
        <v>361</v>
      </c>
      <c r="D708" s="8" t="s">
        <v>379</v>
      </c>
      <c r="E708" s="9" t="n">
        <v>30000</v>
      </c>
      <c r="F708" s="8" t="s">
        <v>335</v>
      </c>
    </row>
    <row r="709" customFormat="false" ht="15" hidden="false" customHeight="true" outlineLevel="0" collapsed="false">
      <c r="A709" s="34" t="n">
        <v>45855</v>
      </c>
      <c r="B709" s="8" t="s">
        <v>1033</v>
      </c>
      <c r="C709" s="8" t="s">
        <v>359</v>
      </c>
      <c r="D709" s="8" t="s">
        <v>360</v>
      </c>
      <c r="E709" s="9" t="n">
        <v>-1.2</v>
      </c>
      <c r="F709" s="8" t="s">
        <v>25</v>
      </c>
    </row>
    <row r="710" customFormat="false" ht="15" hidden="false" customHeight="true" outlineLevel="0" collapsed="false">
      <c r="A710" s="34" t="n">
        <v>45855</v>
      </c>
      <c r="B710" s="8" t="s">
        <v>1034</v>
      </c>
      <c r="C710" s="8" t="s">
        <v>313</v>
      </c>
      <c r="D710" s="8" t="s">
        <v>346</v>
      </c>
      <c r="E710" s="9" t="n">
        <v>-10.7</v>
      </c>
      <c r="F710" s="8" t="s">
        <v>19</v>
      </c>
    </row>
    <row r="711" customFormat="false" ht="15" hidden="false" customHeight="true" outlineLevel="0" collapsed="false">
      <c r="A711" s="34" t="n">
        <v>45855</v>
      </c>
      <c r="B711" s="8" t="s">
        <v>1035</v>
      </c>
      <c r="C711" s="8" t="s">
        <v>313</v>
      </c>
      <c r="D711" s="8" t="s">
        <v>346</v>
      </c>
      <c r="E711" s="9" t="n">
        <v>-10.7</v>
      </c>
      <c r="F711" s="8" t="s">
        <v>19</v>
      </c>
    </row>
    <row r="712" customFormat="false" ht="15" hidden="false" customHeight="true" outlineLevel="0" collapsed="false">
      <c r="A712" s="34" t="n">
        <v>45859</v>
      </c>
      <c r="B712" s="8" t="s">
        <v>1036</v>
      </c>
      <c r="C712" s="8" t="s">
        <v>313</v>
      </c>
      <c r="D712" s="8" t="s">
        <v>33</v>
      </c>
      <c r="E712" s="9" t="n">
        <v>-60.77</v>
      </c>
      <c r="F712" s="8" t="s">
        <v>19</v>
      </c>
    </row>
    <row r="713" customFormat="false" ht="15" hidden="false" customHeight="true" outlineLevel="0" collapsed="false">
      <c r="A713" s="34" t="n">
        <v>45859</v>
      </c>
      <c r="B713" s="8" t="s">
        <v>636</v>
      </c>
      <c r="C713" s="8" t="s">
        <v>367</v>
      </c>
      <c r="D713" s="8" t="s">
        <v>596</v>
      </c>
      <c r="E713" s="9" t="n">
        <v>-75000</v>
      </c>
      <c r="F713" s="8" t="s">
        <v>10</v>
      </c>
    </row>
    <row r="714" customFormat="false" ht="15" hidden="false" customHeight="true" outlineLevel="0" collapsed="false">
      <c r="A714" s="34" t="n">
        <v>45859</v>
      </c>
      <c r="B714" s="8" t="s">
        <v>1037</v>
      </c>
      <c r="C714" s="8" t="s">
        <v>313</v>
      </c>
      <c r="D714" s="8" t="s">
        <v>33</v>
      </c>
      <c r="E714" s="9" t="n">
        <v>-12.1</v>
      </c>
      <c r="F714" s="8" t="s">
        <v>19</v>
      </c>
    </row>
    <row r="715" customFormat="false" ht="15" hidden="false" customHeight="true" outlineLevel="0" collapsed="false">
      <c r="A715" s="34" t="n">
        <v>45859</v>
      </c>
      <c r="B715" s="8" t="s">
        <v>1038</v>
      </c>
      <c r="C715" s="8" t="s">
        <v>313</v>
      </c>
      <c r="D715" s="8" t="s">
        <v>33</v>
      </c>
      <c r="E715" s="9" t="n">
        <v>-67.45</v>
      </c>
      <c r="F715" s="8" t="s">
        <v>19</v>
      </c>
    </row>
    <row r="716" customFormat="false" ht="15" hidden="false" customHeight="true" outlineLevel="0" collapsed="false">
      <c r="A716" s="34" t="n">
        <v>45859</v>
      </c>
      <c r="B716" s="8" t="s">
        <v>1039</v>
      </c>
      <c r="C716" s="8" t="s">
        <v>313</v>
      </c>
      <c r="D716" s="8" t="s">
        <v>562</v>
      </c>
      <c r="E716" s="9" t="n">
        <v>-60.35</v>
      </c>
      <c r="F716" s="8" t="s">
        <v>19</v>
      </c>
    </row>
    <row r="717" customFormat="false" ht="15" hidden="false" customHeight="true" outlineLevel="0" collapsed="false">
      <c r="A717" s="34" t="n">
        <v>45859</v>
      </c>
      <c r="B717" s="8" t="s">
        <v>1040</v>
      </c>
      <c r="C717" s="8" t="s">
        <v>313</v>
      </c>
      <c r="D717" s="8" t="s">
        <v>33</v>
      </c>
      <c r="E717" s="9" t="n">
        <v>-79.42</v>
      </c>
      <c r="F717" s="8" t="s">
        <v>19</v>
      </c>
    </row>
    <row r="718" customFormat="false" ht="15" hidden="false" customHeight="true" outlineLevel="0" collapsed="false">
      <c r="A718" s="34" t="n">
        <v>45860</v>
      </c>
      <c r="B718" s="8" t="s">
        <v>1041</v>
      </c>
      <c r="C718" s="8" t="s">
        <v>313</v>
      </c>
      <c r="D718" s="8" t="s">
        <v>346</v>
      </c>
      <c r="E718" s="9" t="n">
        <v>-10.7</v>
      </c>
      <c r="F718" s="8" t="s">
        <v>19</v>
      </c>
    </row>
    <row r="719" customFormat="false" ht="15" hidden="false" customHeight="true" outlineLevel="0" collapsed="false">
      <c r="A719" s="34" t="n">
        <v>45860</v>
      </c>
      <c r="B719" s="8" t="s">
        <v>1042</v>
      </c>
      <c r="C719" s="8" t="s">
        <v>313</v>
      </c>
      <c r="D719" s="8" t="s">
        <v>341</v>
      </c>
      <c r="E719" s="9" t="n">
        <v>-10.7</v>
      </c>
      <c r="F719" s="8" t="s">
        <v>19</v>
      </c>
    </row>
    <row r="720" customFormat="false" ht="15" hidden="false" customHeight="true" outlineLevel="0" collapsed="false">
      <c r="A720" s="34" t="n">
        <v>45861</v>
      </c>
      <c r="B720" s="8" t="s">
        <v>1043</v>
      </c>
      <c r="C720" s="8" t="s">
        <v>414</v>
      </c>
      <c r="D720" s="8" t="s">
        <v>415</v>
      </c>
      <c r="E720" s="9" t="n">
        <v>-191</v>
      </c>
      <c r="F720" s="8" t="s">
        <v>15</v>
      </c>
    </row>
    <row r="721" customFormat="false" ht="15" hidden="false" customHeight="true" outlineLevel="0" collapsed="false">
      <c r="A721" s="34" t="n">
        <v>45861</v>
      </c>
      <c r="B721" s="8" t="s">
        <v>1044</v>
      </c>
      <c r="C721" s="8" t="s">
        <v>313</v>
      </c>
      <c r="D721" s="8" t="s">
        <v>33</v>
      </c>
      <c r="E721" s="9" t="n">
        <v>-7.9</v>
      </c>
      <c r="F721" s="8" t="s">
        <v>19</v>
      </c>
    </row>
    <row r="722" customFormat="false" ht="15" hidden="false" customHeight="true" outlineLevel="0" collapsed="false">
      <c r="A722" s="34" t="n">
        <v>45861</v>
      </c>
      <c r="B722" s="8" t="s">
        <v>1045</v>
      </c>
      <c r="C722" s="8" t="s">
        <v>313</v>
      </c>
      <c r="D722" s="8" t="s">
        <v>481</v>
      </c>
      <c r="E722" s="9" t="n">
        <v>-3.99</v>
      </c>
      <c r="F722" s="8" t="s">
        <v>20</v>
      </c>
    </row>
    <row r="723" customFormat="false" ht="15" hidden="false" customHeight="true" outlineLevel="0" collapsed="false">
      <c r="A723" s="34" t="n">
        <v>45861</v>
      </c>
      <c r="B723" s="8" t="s">
        <v>1046</v>
      </c>
      <c r="C723" s="8" t="s">
        <v>310</v>
      </c>
      <c r="D723" s="8" t="s">
        <v>390</v>
      </c>
      <c r="E723" s="9" t="n">
        <v>-129</v>
      </c>
      <c r="F723" s="8" t="s">
        <v>15</v>
      </c>
    </row>
    <row r="724" customFormat="false" ht="15" hidden="false" customHeight="true" outlineLevel="0" collapsed="false">
      <c r="A724" s="34" t="n">
        <v>45861</v>
      </c>
      <c r="B724" s="8" t="s">
        <v>1047</v>
      </c>
      <c r="C724" s="8" t="s">
        <v>313</v>
      </c>
      <c r="D724" s="8" t="s">
        <v>33</v>
      </c>
      <c r="E724" s="9" t="n">
        <v>-8.4</v>
      </c>
      <c r="F724" s="8" t="s">
        <v>19</v>
      </c>
    </row>
    <row r="725" customFormat="false" ht="15" hidden="false" customHeight="true" outlineLevel="0" collapsed="false">
      <c r="A725" s="34" t="n">
        <v>45862</v>
      </c>
      <c r="B725" s="8" t="s">
        <v>1048</v>
      </c>
      <c r="C725" s="8" t="s">
        <v>313</v>
      </c>
      <c r="D725" s="8" t="s">
        <v>341</v>
      </c>
      <c r="E725" s="9" t="n">
        <v>-10.7</v>
      </c>
      <c r="F725" s="8" t="s">
        <v>19</v>
      </c>
    </row>
    <row r="726" customFormat="false" ht="15" hidden="false" customHeight="true" outlineLevel="0" collapsed="false">
      <c r="A726" s="34" t="n">
        <v>45862</v>
      </c>
      <c r="B726" s="8" t="s">
        <v>1049</v>
      </c>
      <c r="C726" s="8" t="s">
        <v>411</v>
      </c>
      <c r="D726" s="8" t="s">
        <v>1050</v>
      </c>
      <c r="E726" s="9" t="n">
        <v>-69.62</v>
      </c>
      <c r="F726" s="8" t="s">
        <v>15</v>
      </c>
    </row>
    <row r="727" customFormat="false" ht="15" hidden="false" customHeight="true" outlineLevel="0" collapsed="false">
      <c r="A727" s="34" t="n">
        <v>45862</v>
      </c>
      <c r="B727" s="8" t="s">
        <v>1051</v>
      </c>
      <c r="C727" s="8" t="s">
        <v>313</v>
      </c>
      <c r="D727" s="8" t="s">
        <v>341</v>
      </c>
      <c r="E727" s="9" t="n">
        <v>-2.2</v>
      </c>
      <c r="F727" s="8" t="s">
        <v>19</v>
      </c>
    </row>
    <row r="728" customFormat="false" ht="15" hidden="false" customHeight="true" outlineLevel="0" collapsed="false">
      <c r="A728" s="34" t="n">
        <v>45862</v>
      </c>
      <c r="B728" s="8" t="s">
        <v>1052</v>
      </c>
      <c r="C728" s="8" t="s">
        <v>310</v>
      </c>
      <c r="D728" s="8" t="s">
        <v>418</v>
      </c>
      <c r="E728" s="9" t="n">
        <v>-98.12</v>
      </c>
      <c r="F728" s="8" t="s">
        <v>26</v>
      </c>
    </row>
    <row r="729" customFormat="false" ht="15" hidden="false" customHeight="true" outlineLevel="0" collapsed="false">
      <c r="A729" s="34" t="n">
        <v>45862</v>
      </c>
      <c r="B729" s="8" t="s">
        <v>1053</v>
      </c>
      <c r="C729" s="8" t="s">
        <v>359</v>
      </c>
      <c r="D729" s="8" t="s">
        <v>360</v>
      </c>
      <c r="E729" s="9" t="n">
        <v>-1.2</v>
      </c>
      <c r="F729" s="8" t="s">
        <v>25</v>
      </c>
    </row>
    <row r="730" customFormat="false" ht="15" hidden="false" customHeight="true" outlineLevel="0" collapsed="false">
      <c r="A730" s="34" t="n">
        <v>45862</v>
      </c>
      <c r="B730" s="8" t="s">
        <v>1053</v>
      </c>
      <c r="C730" s="8" t="s">
        <v>1054</v>
      </c>
      <c r="D730" s="8" t="s">
        <v>1055</v>
      </c>
      <c r="E730" s="9" t="n">
        <v>52385.1</v>
      </c>
      <c r="F730" s="8" t="s">
        <v>335</v>
      </c>
    </row>
    <row r="731" customFormat="false" ht="15" hidden="false" customHeight="true" outlineLevel="0" collapsed="false">
      <c r="A731" s="34" t="n">
        <v>45863</v>
      </c>
      <c r="B731" s="8" t="s">
        <v>1056</v>
      </c>
      <c r="C731" s="8" t="s">
        <v>359</v>
      </c>
      <c r="D731" s="8" t="s">
        <v>360</v>
      </c>
      <c r="E731" s="9" t="n">
        <v>-1.2</v>
      </c>
      <c r="F731" s="8" t="s">
        <v>25</v>
      </c>
    </row>
    <row r="732" customFormat="false" ht="15" hidden="false" customHeight="true" outlineLevel="0" collapsed="false">
      <c r="A732" s="34" t="n">
        <v>45863</v>
      </c>
      <c r="B732" s="8" t="s">
        <v>1057</v>
      </c>
      <c r="C732" s="8" t="s">
        <v>310</v>
      </c>
      <c r="D732" s="8" t="s">
        <v>432</v>
      </c>
      <c r="E732" s="9" t="n">
        <v>-610.75</v>
      </c>
      <c r="F732" s="8" t="s">
        <v>15</v>
      </c>
    </row>
    <row r="733" customFormat="false" ht="15" hidden="false" customHeight="true" outlineLevel="0" collapsed="false">
      <c r="A733" s="34" t="n">
        <v>45863</v>
      </c>
      <c r="B733" s="8" t="s">
        <v>1058</v>
      </c>
      <c r="C733" s="8" t="s">
        <v>411</v>
      </c>
      <c r="D733" s="8" t="s">
        <v>386</v>
      </c>
      <c r="E733" s="9" t="n">
        <v>-2000</v>
      </c>
      <c r="F733" s="8" t="s">
        <v>16</v>
      </c>
    </row>
    <row r="734" customFormat="false" ht="15" hidden="false" customHeight="true" outlineLevel="0" collapsed="false">
      <c r="A734" s="34" t="n">
        <v>45863</v>
      </c>
      <c r="B734" s="8" t="s">
        <v>1056</v>
      </c>
      <c r="C734" s="8" t="s">
        <v>361</v>
      </c>
      <c r="D734" s="8" t="s">
        <v>1059</v>
      </c>
      <c r="E734" s="9" t="n">
        <v>15303</v>
      </c>
      <c r="F734" s="8" t="s">
        <v>335</v>
      </c>
    </row>
    <row r="735" customFormat="false" ht="15" hidden="false" customHeight="true" outlineLevel="0" collapsed="false">
      <c r="A735" s="34" t="n">
        <v>45863</v>
      </c>
      <c r="B735" s="8" t="s">
        <v>1060</v>
      </c>
      <c r="C735" s="8" t="s">
        <v>367</v>
      </c>
      <c r="D735" s="8" t="s">
        <v>386</v>
      </c>
      <c r="E735" s="9" t="n">
        <v>-3000</v>
      </c>
      <c r="F735" s="8" t="s">
        <v>16</v>
      </c>
    </row>
    <row r="736" customFormat="false" ht="15" hidden="false" customHeight="true" outlineLevel="0" collapsed="false">
      <c r="A736" s="34" t="n">
        <v>45866</v>
      </c>
      <c r="B736" s="8" t="s">
        <v>1061</v>
      </c>
      <c r="C736" s="8" t="s">
        <v>313</v>
      </c>
      <c r="D736" s="8" t="s">
        <v>1062</v>
      </c>
      <c r="E736" s="9" t="n">
        <v>-42.8</v>
      </c>
      <c r="F736" s="8" t="s">
        <v>17</v>
      </c>
    </row>
    <row r="737" customFormat="false" ht="15" hidden="false" customHeight="true" outlineLevel="0" collapsed="false">
      <c r="A737" s="34" t="n">
        <v>45866</v>
      </c>
      <c r="B737" s="8" t="s">
        <v>1063</v>
      </c>
      <c r="C737" s="8" t="s">
        <v>313</v>
      </c>
      <c r="D737" s="8" t="s">
        <v>683</v>
      </c>
      <c r="E737" s="9" t="n">
        <v>-13</v>
      </c>
      <c r="F737" s="8" t="s">
        <v>20</v>
      </c>
    </row>
    <row r="738" customFormat="false" ht="15" hidden="false" customHeight="true" outlineLevel="0" collapsed="false">
      <c r="A738" s="34" t="n">
        <v>45866</v>
      </c>
      <c r="B738" s="8" t="s">
        <v>1064</v>
      </c>
      <c r="C738" s="8" t="s">
        <v>313</v>
      </c>
      <c r="D738" s="8" t="s">
        <v>570</v>
      </c>
      <c r="E738" s="9" t="n">
        <v>-42.8</v>
      </c>
      <c r="F738" s="8" t="s">
        <v>19</v>
      </c>
    </row>
    <row r="739" customFormat="false" ht="15" hidden="false" customHeight="true" outlineLevel="0" collapsed="false">
      <c r="A739" s="34" t="n">
        <v>45866</v>
      </c>
      <c r="B739" s="8" t="s">
        <v>1065</v>
      </c>
      <c r="C739" s="8" t="s">
        <v>313</v>
      </c>
      <c r="D739" s="8" t="s">
        <v>33</v>
      </c>
      <c r="E739" s="9" t="n">
        <v>-77.75</v>
      </c>
      <c r="F739" s="8" t="s">
        <v>19</v>
      </c>
    </row>
    <row r="740" customFormat="false" ht="15" hidden="false" customHeight="true" outlineLevel="0" collapsed="false">
      <c r="A740" s="34" t="n">
        <v>45866</v>
      </c>
      <c r="B740" s="8" t="s">
        <v>1066</v>
      </c>
      <c r="C740" s="8" t="s">
        <v>313</v>
      </c>
      <c r="D740" s="8" t="s">
        <v>331</v>
      </c>
      <c r="E740" s="9" t="n">
        <v>-28</v>
      </c>
      <c r="F740" s="8" t="s">
        <v>17</v>
      </c>
    </row>
    <row r="741" customFormat="false" ht="15" hidden="false" customHeight="true" outlineLevel="0" collapsed="false">
      <c r="A741" s="34" t="n">
        <v>45866</v>
      </c>
      <c r="B741" s="8" t="s">
        <v>1067</v>
      </c>
      <c r="C741" s="8" t="s">
        <v>313</v>
      </c>
      <c r="D741" s="8" t="s">
        <v>1031</v>
      </c>
      <c r="E741" s="9" t="n">
        <v>-2.5</v>
      </c>
      <c r="F741" s="8" t="s">
        <v>30</v>
      </c>
    </row>
    <row r="742" customFormat="false" ht="15" hidden="false" customHeight="true" outlineLevel="0" collapsed="false">
      <c r="A742" s="34" t="n">
        <v>45866</v>
      </c>
      <c r="B742" s="8" t="s">
        <v>872</v>
      </c>
      <c r="C742" s="8" t="s">
        <v>1068</v>
      </c>
      <c r="D742" s="8" t="s">
        <v>1069</v>
      </c>
      <c r="E742" s="9" t="n">
        <v>-120</v>
      </c>
      <c r="F742" s="8" t="s">
        <v>25</v>
      </c>
    </row>
    <row r="743" customFormat="false" ht="15" hidden="false" customHeight="true" outlineLevel="0" collapsed="false">
      <c r="A743" s="34" t="n">
        <v>45866</v>
      </c>
      <c r="B743" s="8" t="s">
        <v>1070</v>
      </c>
      <c r="C743" s="8" t="s">
        <v>367</v>
      </c>
      <c r="D743" s="8" t="s">
        <v>770</v>
      </c>
      <c r="E743" s="9" t="n">
        <v>-2284.9</v>
      </c>
      <c r="F743" s="8" t="s">
        <v>10</v>
      </c>
    </row>
    <row r="744" customFormat="false" ht="15" hidden="false" customHeight="true" outlineLevel="0" collapsed="false">
      <c r="A744" s="34" t="n">
        <v>45866</v>
      </c>
      <c r="B744" s="8" t="s">
        <v>1071</v>
      </c>
      <c r="C744" s="8" t="s">
        <v>367</v>
      </c>
      <c r="D744" s="8" t="s">
        <v>423</v>
      </c>
      <c r="E744" s="9" t="n">
        <v>-2785</v>
      </c>
      <c r="F744" s="8" t="s">
        <v>10</v>
      </c>
    </row>
    <row r="745" customFormat="false" ht="15" hidden="false" customHeight="true" outlineLevel="0" collapsed="false">
      <c r="A745" s="34" t="n">
        <v>45866</v>
      </c>
      <c r="B745" s="8" t="s">
        <v>1072</v>
      </c>
      <c r="C745" s="8" t="s">
        <v>313</v>
      </c>
      <c r="D745" s="8" t="s">
        <v>518</v>
      </c>
      <c r="E745" s="9" t="n">
        <v>-7.2</v>
      </c>
      <c r="F745" s="8" t="s">
        <v>19</v>
      </c>
    </row>
    <row r="746" customFormat="false" ht="15" hidden="false" customHeight="true" outlineLevel="0" collapsed="false">
      <c r="A746" s="34" t="n">
        <v>45866</v>
      </c>
      <c r="B746" s="8" t="s">
        <v>1073</v>
      </c>
      <c r="C746" s="8" t="s">
        <v>313</v>
      </c>
      <c r="D746" s="8" t="s">
        <v>314</v>
      </c>
      <c r="E746" s="9" t="n">
        <v>-15.6</v>
      </c>
      <c r="F746" s="8" t="s">
        <v>19</v>
      </c>
    </row>
    <row r="747" customFormat="false" ht="15" hidden="false" customHeight="true" outlineLevel="0" collapsed="false">
      <c r="A747" s="34" t="n">
        <v>45866</v>
      </c>
      <c r="B747" s="8" t="s">
        <v>1074</v>
      </c>
      <c r="C747" s="8" t="s">
        <v>367</v>
      </c>
      <c r="D747" s="8" t="s">
        <v>452</v>
      </c>
      <c r="E747" s="9" t="n">
        <v>-2122.2</v>
      </c>
      <c r="F747" s="8" t="s">
        <v>13</v>
      </c>
    </row>
    <row r="748" customFormat="false" ht="15" hidden="false" customHeight="true" outlineLevel="0" collapsed="false">
      <c r="A748" s="34" t="n">
        <v>45866</v>
      </c>
      <c r="B748" s="8" t="s">
        <v>1075</v>
      </c>
      <c r="C748" s="8" t="s">
        <v>310</v>
      </c>
      <c r="D748" s="8" t="s">
        <v>400</v>
      </c>
      <c r="E748" s="9" t="n">
        <v>-350.17</v>
      </c>
      <c r="F748" s="8" t="s">
        <v>20</v>
      </c>
    </row>
    <row r="749" customFormat="false" ht="15" hidden="false" customHeight="true" outlineLevel="0" collapsed="false">
      <c r="A749" s="34" t="n">
        <v>45866</v>
      </c>
      <c r="B749" s="8" t="s">
        <v>1076</v>
      </c>
      <c r="C749" s="8" t="s">
        <v>313</v>
      </c>
      <c r="D749" s="8" t="s">
        <v>777</v>
      </c>
      <c r="E749" s="9" t="n">
        <v>-5.66</v>
      </c>
      <c r="F749" s="8" t="s">
        <v>28</v>
      </c>
    </row>
    <row r="750" customFormat="false" ht="15" hidden="false" customHeight="true" outlineLevel="0" collapsed="false">
      <c r="A750" s="34" t="n">
        <v>45866</v>
      </c>
      <c r="B750" s="8" t="s">
        <v>1077</v>
      </c>
      <c r="C750" s="8" t="s">
        <v>313</v>
      </c>
      <c r="D750" s="8" t="s">
        <v>1078</v>
      </c>
      <c r="E750" s="9" t="n">
        <v>-13.7</v>
      </c>
      <c r="F750" s="8" t="s">
        <v>17</v>
      </c>
    </row>
    <row r="751" customFormat="false" ht="15" hidden="false" customHeight="true" outlineLevel="0" collapsed="false">
      <c r="A751" s="34" t="n">
        <v>45866</v>
      </c>
      <c r="B751" s="8" t="s">
        <v>1079</v>
      </c>
      <c r="C751" s="8" t="s">
        <v>313</v>
      </c>
      <c r="D751" s="8" t="s">
        <v>33</v>
      </c>
      <c r="E751" s="9" t="n">
        <v>-73.6</v>
      </c>
      <c r="F751" s="8" t="s">
        <v>19</v>
      </c>
    </row>
    <row r="752" customFormat="false" ht="15" hidden="false" customHeight="true" outlineLevel="0" collapsed="false">
      <c r="A752" s="34" t="n">
        <v>45866</v>
      </c>
      <c r="B752" s="8" t="s">
        <v>1080</v>
      </c>
      <c r="C752" s="8" t="s">
        <v>313</v>
      </c>
      <c r="D752" s="8" t="s">
        <v>33</v>
      </c>
      <c r="E752" s="9" t="n">
        <v>-70.57</v>
      </c>
      <c r="F752" s="8" t="s">
        <v>19</v>
      </c>
    </row>
    <row r="753" customFormat="false" ht="15" hidden="false" customHeight="true" outlineLevel="0" collapsed="false">
      <c r="A753" s="34" t="n">
        <v>45866</v>
      </c>
      <c r="B753" s="8" t="s">
        <v>1081</v>
      </c>
      <c r="C753" s="8" t="s">
        <v>367</v>
      </c>
      <c r="D753" s="8" t="s">
        <v>1082</v>
      </c>
      <c r="E753" s="9" t="n">
        <v>-166.4</v>
      </c>
      <c r="F753" s="8" t="s">
        <v>17</v>
      </c>
    </row>
    <row r="754" customFormat="false" ht="15" hidden="false" customHeight="true" outlineLevel="0" collapsed="false">
      <c r="A754" s="34" t="n">
        <v>45866</v>
      </c>
      <c r="B754" s="8" t="s">
        <v>1083</v>
      </c>
      <c r="C754" s="8" t="s">
        <v>313</v>
      </c>
      <c r="D754" s="8" t="s">
        <v>1084</v>
      </c>
      <c r="E754" s="9" t="n">
        <v>-18.6</v>
      </c>
      <c r="F754" s="8" t="s">
        <v>19</v>
      </c>
    </row>
    <row r="755" customFormat="false" ht="15" hidden="false" customHeight="true" outlineLevel="0" collapsed="false">
      <c r="A755" s="34" t="n">
        <v>45866</v>
      </c>
      <c r="B755" s="8" t="s">
        <v>1085</v>
      </c>
      <c r="C755" s="8" t="s">
        <v>313</v>
      </c>
      <c r="D755" s="8" t="s">
        <v>713</v>
      </c>
      <c r="E755" s="9" t="n">
        <v>-10</v>
      </c>
      <c r="F755" s="8" t="s">
        <v>17</v>
      </c>
    </row>
    <row r="756" customFormat="false" ht="15" hidden="false" customHeight="true" outlineLevel="0" collapsed="false">
      <c r="A756" s="34" t="n">
        <v>45867</v>
      </c>
      <c r="B756" s="8" t="s">
        <v>1086</v>
      </c>
      <c r="C756" s="8" t="s">
        <v>313</v>
      </c>
      <c r="D756" s="8" t="s">
        <v>777</v>
      </c>
      <c r="E756" s="9" t="n">
        <v>-22.91</v>
      </c>
      <c r="F756" s="8" t="s">
        <v>28</v>
      </c>
    </row>
    <row r="757" customFormat="false" ht="15" hidden="false" customHeight="true" outlineLevel="0" collapsed="false">
      <c r="A757" s="34" t="n">
        <v>45867</v>
      </c>
      <c r="B757" s="8" t="s">
        <v>1087</v>
      </c>
      <c r="C757" s="8" t="s">
        <v>313</v>
      </c>
      <c r="D757" s="8" t="s">
        <v>450</v>
      </c>
      <c r="E757" s="9" t="n">
        <v>-55.84</v>
      </c>
      <c r="F757" s="8" t="s">
        <v>20</v>
      </c>
    </row>
    <row r="758" customFormat="false" ht="15" hidden="false" customHeight="true" outlineLevel="0" collapsed="false">
      <c r="A758" s="34" t="n">
        <v>45867</v>
      </c>
      <c r="B758" s="8" t="s">
        <v>1088</v>
      </c>
      <c r="C758" s="8" t="s">
        <v>367</v>
      </c>
      <c r="D758" s="8" t="s">
        <v>476</v>
      </c>
      <c r="E758" s="9" t="n">
        <v>-2466.15</v>
      </c>
      <c r="F758" s="8" t="s">
        <v>14</v>
      </c>
    </row>
    <row r="759" customFormat="false" ht="15" hidden="false" customHeight="true" outlineLevel="0" collapsed="false">
      <c r="A759" s="34" t="n">
        <v>45867</v>
      </c>
      <c r="B759" s="8" t="s">
        <v>1089</v>
      </c>
      <c r="C759" s="8" t="s">
        <v>367</v>
      </c>
      <c r="D759" s="8" t="s">
        <v>412</v>
      </c>
      <c r="E759" s="9" t="n">
        <v>-1300.24</v>
      </c>
      <c r="F759" s="8" t="s">
        <v>14</v>
      </c>
    </row>
    <row r="760" customFormat="false" ht="15" hidden="false" customHeight="true" outlineLevel="0" collapsed="false">
      <c r="A760" s="34" t="n">
        <v>45867</v>
      </c>
      <c r="B760" s="8" t="s">
        <v>1090</v>
      </c>
      <c r="C760" s="8" t="s">
        <v>310</v>
      </c>
      <c r="D760" s="8" t="s">
        <v>678</v>
      </c>
      <c r="E760" s="9" t="n">
        <v>-15.95</v>
      </c>
      <c r="F760" s="8" t="s">
        <v>19</v>
      </c>
    </row>
    <row r="761" customFormat="false" ht="15" hidden="false" customHeight="true" outlineLevel="0" collapsed="false">
      <c r="A761" s="34" t="n">
        <v>45867</v>
      </c>
      <c r="B761" s="8" t="s">
        <v>1091</v>
      </c>
      <c r="C761" s="8" t="s">
        <v>367</v>
      </c>
      <c r="D761" s="8" t="s">
        <v>368</v>
      </c>
      <c r="E761" s="9" t="n">
        <v>-5065.24</v>
      </c>
      <c r="F761" s="8" t="s">
        <v>11</v>
      </c>
    </row>
    <row r="762" customFormat="false" ht="15" hidden="false" customHeight="true" outlineLevel="0" collapsed="false">
      <c r="A762" s="34" t="n">
        <v>45867</v>
      </c>
      <c r="B762" s="8" t="s">
        <v>1092</v>
      </c>
      <c r="C762" s="8" t="s">
        <v>367</v>
      </c>
      <c r="D762" s="8" t="s">
        <v>464</v>
      </c>
      <c r="E762" s="9" t="n">
        <v>-1228.51</v>
      </c>
      <c r="F762" s="8" t="s">
        <v>14</v>
      </c>
    </row>
    <row r="763" customFormat="false" ht="15" hidden="false" customHeight="true" outlineLevel="0" collapsed="false">
      <c r="A763" s="34" t="n">
        <v>45867</v>
      </c>
      <c r="B763" s="8" t="s">
        <v>1093</v>
      </c>
      <c r="C763" s="8" t="s">
        <v>367</v>
      </c>
      <c r="D763" s="8" t="s">
        <v>368</v>
      </c>
      <c r="E763" s="9" t="n">
        <v>-10532.57</v>
      </c>
      <c r="F763" s="8" t="s">
        <v>11</v>
      </c>
    </row>
    <row r="764" customFormat="false" ht="15" hidden="false" customHeight="true" outlineLevel="0" collapsed="false">
      <c r="A764" s="34" t="n">
        <v>45868</v>
      </c>
      <c r="B764" s="8" t="s">
        <v>1094</v>
      </c>
      <c r="C764" s="8" t="s">
        <v>313</v>
      </c>
      <c r="D764" s="8" t="s">
        <v>777</v>
      </c>
      <c r="E764" s="9" t="n">
        <v>-32.99</v>
      </c>
      <c r="F764" s="8" t="s">
        <v>28</v>
      </c>
    </row>
    <row r="765" customFormat="false" ht="15" hidden="false" customHeight="true" outlineLevel="0" collapsed="false">
      <c r="A765" s="34" t="n">
        <v>45868</v>
      </c>
      <c r="B765" s="8" t="s">
        <v>1095</v>
      </c>
      <c r="C765" s="8" t="s">
        <v>313</v>
      </c>
      <c r="D765" s="8" t="s">
        <v>481</v>
      </c>
      <c r="E765" s="9" t="n">
        <v>-3.99</v>
      </c>
      <c r="F765" s="8" t="s">
        <v>20</v>
      </c>
    </row>
    <row r="766" customFormat="false" ht="15" hidden="false" customHeight="true" outlineLevel="0" collapsed="false">
      <c r="A766" s="34" t="n">
        <v>45868</v>
      </c>
      <c r="B766" s="8" t="s">
        <v>1096</v>
      </c>
      <c r="C766" s="8" t="s">
        <v>313</v>
      </c>
      <c r="D766" s="8" t="s">
        <v>777</v>
      </c>
      <c r="E766" s="9" t="n">
        <v>-96.46</v>
      </c>
      <c r="F766" s="8" t="s">
        <v>28</v>
      </c>
    </row>
    <row r="767" customFormat="false" ht="15" hidden="false" customHeight="true" outlineLevel="0" collapsed="false">
      <c r="A767" s="34" t="n">
        <v>45869</v>
      </c>
      <c r="B767" s="8" t="s">
        <v>1097</v>
      </c>
      <c r="C767" s="8" t="s">
        <v>313</v>
      </c>
      <c r="D767" s="8" t="s">
        <v>331</v>
      </c>
      <c r="E767" s="9" t="n">
        <v>-28</v>
      </c>
      <c r="F767" s="8" t="s">
        <v>17</v>
      </c>
    </row>
    <row r="768" customFormat="false" ht="15" hidden="false" customHeight="true" outlineLevel="0" collapsed="false">
      <c r="A768" s="34" t="n">
        <v>45869</v>
      </c>
      <c r="B768" s="8" t="s">
        <v>1098</v>
      </c>
      <c r="C768" s="8" t="s">
        <v>313</v>
      </c>
      <c r="D768" s="8" t="s">
        <v>331</v>
      </c>
      <c r="E768" s="9" t="n">
        <v>-43</v>
      </c>
      <c r="F768" s="8" t="s">
        <v>17</v>
      </c>
    </row>
    <row r="769" customFormat="false" ht="15" hidden="false" customHeight="true" outlineLevel="0" collapsed="false">
      <c r="A769" s="34" t="n">
        <v>45869</v>
      </c>
      <c r="B769" s="8" t="s">
        <v>1099</v>
      </c>
      <c r="C769" s="8" t="s">
        <v>313</v>
      </c>
      <c r="D769" s="8" t="s">
        <v>331</v>
      </c>
      <c r="E769" s="9" t="n">
        <v>-88</v>
      </c>
      <c r="F769" s="8" t="s">
        <v>17</v>
      </c>
    </row>
    <row r="770" customFormat="false" ht="15" hidden="false" customHeight="true" outlineLevel="0" collapsed="false">
      <c r="A770" s="34" t="n">
        <v>45869</v>
      </c>
      <c r="B770" s="8" t="s">
        <v>1100</v>
      </c>
      <c r="C770" s="8" t="s">
        <v>359</v>
      </c>
      <c r="D770" s="8" t="s">
        <v>360</v>
      </c>
      <c r="E770" s="9" t="n">
        <v>-1.2</v>
      </c>
      <c r="F770" s="8" t="s">
        <v>25</v>
      </c>
    </row>
    <row r="771" customFormat="false" ht="15" hidden="false" customHeight="true" outlineLevel="0" collapsed="false">
      <c r="A771" s="34" t="n">
        <v>45869</v>
      </c>
      <c r="B771" s="8" t="s">
        <v>1100</v>
      </c>
      <c r="C771" s="8" t="s">
        <v>361</v>
      </c>
      <c r="D771" s="8" t="s">
        <v>1101</v>
      </c>
      <c r="E771" s="9" t="n">
        <v>9022</v>
      </c>
      <c r="F771" s="8" t="s">
        <v>335</v>
      </c>
    </row>
    <row r="772" customFormat="false" ht="15" hidden="false" customHeight="true" outlineLevel="0" collapsed="false">
      <c r="A772" s="34" t="n">
        <v>45869</v>
      </c>
      <c r="B772" s="8" t="s">
        <v>1102</v>
      </c>
      <c r="C772" s="8" t="s">
        <v>310</v>
      </c>
      <c r="D772" s="8" t="s">
        <v>317</v>
      </c>
      <c r="E772" s="9" t="n">
        <v>-124.56</v>
      </c>
      <c r="F772" s="8" t="s">
        <v>22</v>
      </c>
    </row>
    <row r="773" customFormat="false" ht="15" hidden="false" customHeight="true" outlineLevel="0" collapsed="false">
      <c r="A773" s="34" t="n">
        <v>45870</v>
      </c>
      <c r="B773" s="8" t="s">
        <v>1103</v>
      </c>
      <c r="C773" s="8" t="s">
        <v>310</v>
      </c>
      <c r="D773" s="8" t="s">
        <v>316</v>
      </c>
      <c r="E773" s="9" t="n">
        <v>-872.67</v>
      </c>
      <c r="F773" s="8" t="s">
        <v>19</v>
      </c>
    </row>
    <row r="774" customFormat="false" ht="15" hidden="false" customHeight="true" outlineLevel="0" collapsed="false">
      <c r="A774" s="34" t="n">
        <v>45870</v>
      </c>
      <c r="B774" s="8" t="s">
        <v>1104</v>
      </c>
      <c r="C774" s="8" t="s">
        <v>313</v>
      </c>
      <c r="D774" s="8" t="s">
        <v>1105</v>
      </c>
      <c r="E774" s="9" t="n">
        <v>-60</v>
      </c>
      <c r="F774" s="8" t="s">
        <v>19</v>
      </c>
    </row>
    <row r="775" customFormat="false" ht="15" hidden="false" customHeight="true" outlineLevel="0" collapsed="false">
      <c r="A775" s="34" t="n">
        <v>45870</v>
      </c>
      <c r="B775" s="8" t="s">
        <v>1106</v>
      </c>
      <c r="C775" s="8" t="s">
        <v>313</v>
      </c>
      <c r="D775" s="8" t="s">
        <v>460</v>
      </c>
      <c r="E775" s="9" t="n">
        <v>-336.28</v>
      </c>
      <c r="F775" s="8" t="s">
        <v>18</v>
      </c>
    </row>
    <row r="776" customFormat="false" ht="15" hidden="false" customHeight="true" outlineLevel="0" collapsed="false">
      <c r="A776" s="34" t="n">
        <v>45870</v>
      </c>
      <c r="B776" s="8" t="s">
        <v>1107</v>
      </c>
      <c r="C776" s="8" t="s">
        <v>313</v>
      </c>
      <c r="D776" s="8" t="s">
        <v>988</v>
      </c>
      <c r="E776" s="9" t="n">
        <v>-38.41</v>
      </c>
      <c r="F776" s="8" t="s">
        <v>18</v>
      </c>
    </row>
    <row r="777" customFormat="false" ht="15" hidden="false" customHeight="true" outlineLevel="0" collapsed="false">
      <c r="A777" s="34" t="n">
        <v>45870</v>
      </c>
      <c r="B777" s="8" t="s">
        <v>1108</v>
      </c>
      <c r="C777" s="8" t="s">
        <v>313</v>
      </c>
      <c r="D777" s="8" t="s">
        <v>1109</v>
      </c>
      <c r="E777" s="9" t="n">
        <v>-3.55</v>
      </c>
      <c r="F777" s="8" t="s">
        <v>18</v>
      </c>
    </row>
    <row r="778" customFormat="false" ht="15" hidden="false" customHeight="true" outlineLevel="0" collapsed="false">
      <c r="A778" s="34" t="n">
        <v>45873</v>
      </c>
      <c r="B778" s="8" t="s">
        <v>1110</v>
      </c>
      <c r="C778" s="8" t="s">
        <v>313</v>
      </c>
      <c r="D778" s="8" t="s">
        <v>570</v>
      </c>
      <c r="E778" s="9" t="n">
        <v>-41.6</v>
      </c>
      <c r="F778" s="8" t="s">
        <v>19</v>
      </c>
    </row>
    <row r="779" customFormat="false" ht="15" hidden="false" customHeight="true" outlineLevel="0" collapsed="false">
      <c r="A779" s="34" t="n">
        <v>45873</v>
      </c>
      <c r="B779" s="8" t="s">
        <v>1111</v>
      </c>
      <c r="C779" s="8" t="s">
        <v>313</v>
      </c>
      <c r="D779" s="8" t="s">
        <v>329</v>
      </c>
      <c r="E779" s="9" t="n">
        <v>-145.8</v>
      </c>
      <c r="F779" s="8" t="s">
        <v>20</v>
      </c>
    </row>
    <row r="780" customFormat="false" ht="15" hidden="false" customHeight="true" outlineLevel="0" collapsed="false">
      <c r="A780" s="34" t="n">
        <v>45873</v>
      </c>
      <c r="B780" s="8" t="s">
        <v>1112</v>
      </c>
      <c r="C780" s="8" t="s">
        <v>313</v>
      </c>
      <c r="D780" s="8" t="s">
        <v>314</v>
      </c>
      <c r="E780" s="9" t="n">
        <v>-30.3</v>
      </c>
      <c r="F780" s="8" t="s">
        <v>19</v>
      </c>
    </row>
    <row r="781" customFormat="false" ht="15" hidden="false" customHeight="true" outlineLevel="0" collapsed="false">
      <c r="A781" s="34" t="n">
        <v>45873</v>
      </c>
      <c r="B781" s="8" t="s">
        <v>323</v>
      </c>
      <c r="C781" s="8" t="s">
        <v>324</v>
      </c>
      <c r="D781" s="8" t="s">
        <v>325</v>
      </c>
      <c r="E781" s="9" t="n">
        <v>-42</v>
      </c>
      <c r="F781" s="8" t="s">
        <v>25</v>
      </c>
    </row>
    <row r="782" customFormat="false" ht="15" hidden="false" customHeight="true" outlineLevel="0" collapsed="false">
      <c r="A782" s="34" t="n">
        <v>45873</v>
      </c>
      <c r="B782" s="8" t="s">
        <v>1113</v>
      </c>
      <c r="C782" s="8" t="s">
        <v>313</v>
      </c>
      <c r="D782" s="8" t="s">
        <v>1114</v>
      </c>
      <c r="E782" s="9" t="n">
        <v>-30</v>
      </c>
      <c r="F782" s="8" t="s">
        <v>19</v>
      </c>
    </row>
    <row r="783" customFormat="false" ht="15" hidden="false" customHeight="true" outlineLevel="0" collapsed="false">
      <c r="A783" s="34" t="n">
        <v>45873</v>
      </c>
      <c r="B783" s="8" t="s">
        <v>1115</v>
      </c>
      <c r="C783" s="8" t="s">
        <v>313</v>
      </c>
      <c r="D783" s="8" t="s">
        <v>314</v>
      </c>
      <c r="E783" s="9" t="n">
        <v>-20.1</v>
      </c>
      <c r="F783" s="8" t="s">
        <v>19</v>
      </c>
    </row>
    <row r="784" customFormat="false" ht="15" hidden="false" customHeight="true" outlineLevel="0" collapsed="false">
      <c r="A784" s="34" t="n">
        <v>45873</v>
      </c>
      <c r="B784" s="8" t="s">
        <v>1116</v>
      </c>
      <c r="C784" s="8" t="s">
        <v>313</v>
      </c>
      <c r="D784" s="8" t="s">
        <v>1117</v>
      </c>
      <c r="E784" s="9" t="n">
        <v>-50</v>
      </c>
      <c r="F784" s="8" t="s">
        <v>19</v>
      </c>
    </row>
    <row r="785" customFormat="false" ht="15" hidden="false" customHeight="true" outlineLevel="0" collapsed="false">
      <c r="A785" s="34" t="n">
        <v>45873</v>
      </c>
      <c r="B785" s="8" t="s">
        <v>1118</v>
      </c>
      <c r="C785" s="8" t="s">
        <v>313</v>
      </c>
      <c r="D785" s="8" t="s">
        <v>1119</v>
      </c>
      <c r="E785" s="9" t="n">
        <v>-50</v>
      </c>
      <c r="F785" s="8" t="s">
        <v>19</v>
      </c>
    </row>
    <row r="786" customFormat="false" ht="15" hidden="false" customHeight="true" outlineLevel="0" collapsed="false">
      <c r="A786" s="34" t="n">
        <v>45873</v>
      </c>
      <c r="B786" s="8" t="s">
        <v>1120</v>
      </c>
      <c r="C786" s="8" t="s">
        <v>313</v>
      </c>
      <c r="D786" s="8" t="s">
        <v>33</v>
      </c>
      <c r="E786" s="9" t="n">
        <v>-50</v>
      </c>
      <c r="F786" s="8" t="s">
        <v>19</v>
      </c>
    </row>
    <row r="787" customFormat="false" ht="15" hidden="false" customHeight="true" outlineLevel="0" collapsed="false">
      <c r="A787" s="34" t="n">
        <v>45874</v>
      </c>
      <c r="B787" s="8" t="s">
        <v>1121</v>
      </c>
      <c r="C787" s="8" t="s">
        <v>313</v>
      </c>
      <c r="D787" s="8" t="s">
        <v>331</v>
      </c>
      <c r="E787" s="9" t="n">
        <v>-73</v>
      </c>
      <c r="F787" s="8" t="s">
        <v>17</v>
      </c>
    </row>
    <row r="788" customFormat="false" ht="15" hidden="false" customHeight="true" outlineLevel="0" collapsed="false">
      <c r="A788" s="34" t="n">
        <v>45874</v>
      </c>
      <c r="B788" s="8" t="s">
        <v>1122</v>
      </c>
      <c r="C788" s="8" t="s">
        <v>310</v>
      </c>
      <c r="D788" s="8" t="s">
        <v>311</v>
      </c>
      <c r="E788" s="9" t="n">
        <v>-79</v>
      </c>
      <c r="F788" s="8" t="s">
        <v>26</v>
      </c>
    </row>
    <row r="789" customFormat="false" ht="15" hidden="false" customHeight="true" outlineLevel="0" collapsed="false">
      <c r="A789" s="34" t="n">
        <v>45875</v>
      </c>
      <c r="B789" s="8" t="s">
        <v>1123</v>
      </c>
      <c r="C789" s="8" t="s">
        <v>313</v>
      </c>
      <c r="D789" s="8" t="s">
        <v>481</v>
      </c>
      <c r="E789" s="9" t="n">
        <v>-3.99</v>
      </c>
      <c r="F789" s="8" t="s">
        <v>20</v>
      </c>
    </row>
    <row r="790" customFormat="false" ht="15" hidden="false" customHeight="true" outlineLevel="0" collapsed="false">
      <c r="A790" s="34" t="n">
        <v>45877</v>
      </c>
      <c r="B790" s="8" t="s">
        <v>1124</v>
      </c>
      <c r="C790" s="8" t="s">
        <v>361</v>
      </c>
      <c r="D790" s="8" t="s">
        <v>1101</v>
      </c>
      <c r="E790" s="9" t="n">
        <v>2558</v>
      </c>
      <c r="F790" s="8" t="s">
        <v>335</v>
      </c>
    </row>
    <row r="791" customFormat="false" ht="15" hidden="false" customHeight="true" outlineLevel="0" collapsed="false">
      <c r="A791" s="34" t="n">
        <v>45877</v>
      </c>
      <c r="B791" s="8" t="s">
        <v>1125</v>
      </c>
      <c r="C791" s="8" t="s">
        <v>361</v>
      </c>
      <c r="D791" s="8" t="s">
        <v>750</v>
      </c>
      <c r="E791" s="9" t="n">
        <v>120449.68</v>
      </c>
      <c r="F791" s="8" t="s">
        <v>335</v>
      </c>
    </row>
    <row r="792" customFormat="false" ht="15" hidden="false" customHeight="true" outlineLevel="0" collapsed="false">
      <c r="A792" s="34" t="n">
        <v>45877</v>
      </c>
      <c r="B792" s="8" t="s">
        <v>1126</v>
      </c>
      <c r="C792" s="8" t="s">
        <v>310</v>
      </c>
      <c r="D792" s="8" t="s">
        <v>497</v>
      </c>
      <c r="E792" s="9" t="n">
        <v>-38.48</v>
      </c>
      <c r="F792" s="8" t="s">
        <v>32</v>
      </c>
    </row>
    <row r="793" customFormat="false" ht="15" hidden="false" customHeight="true" outlineLevel="0" collapsed="false">
      <c r="A793" s="34" t="n">
        <v>45877</v>
      </c>
      <c r="B793" s="8" t="s">
        <v>1124</v>
      </c>
      <c r="C793" s="8" t="s">
        <v>359</v>
      </c>
      <c r="D793" s="8" t="s">
        <v>360</v>
      </c>
      <c r="E793" s="9" t="n">
        <v>-1.2</v>
      </c>
      <c r="F793" s="8" t="s">
        <v>25</v>
      </c>
    </row>
    <row r="794" customFormat="false" ht="15" hidden="false" customHeight="true" outlineLevel="0" collapsed="false">
      <c r="A794" s="34" t="n">
        <v>45880</v>
      </c>
      <c r="B794" s="8" t="s">
        <v>1127</v>
      </c>
      <c r="C794" s="8" t="s">
        <v>367</v>
      </c>
      <c r="D794" s="8" t="s">
        <v>386</v>
      </c>
      <c r="E794" s="9" t="n">
        <v>-5000</v>
      </c>
      <c r="F794" s="8" t="s">
        <v>16</v>
      </c>
    </row>
    <row r="795" customFormat="false" ht="15" hidden="false" customHeight="true" outlineLevel="0" collapsed="false">
      <c r="A795" s="34" t="n">
        <v>45880</v>
      </c>
      <c r="B795" s="8" t="s">
        <v>1128</v>
      </c>
      <c r="C795" s="8" t="s">
        <v>313</v>
      </c>
      <c r="D795" s="8" t="s">
        <v>1129</v>
      </c>
      <c r="E795" s="9" t="n">
        <v>-70.98</v>
      </c>
      <c r="F795" s="8" t="s">
        <v>19</v>
      </c>
    </row>
    <row r="796" customFormat="false" ht="15" hidden="false" customHeight="true" outlineLevel="0" collapsed="false">
      <c r="A796" s="34" t="n">
        <v>45880</v>
      </c>
      <c r="B796" s="8" t="s">
        <v>1130</v>
      </c>
      <c r="C796" s="8" t="s">
        <v>310</v>
      </c>
      <c r="D796" s="8" t="s">
        <v>311</v>
      </c>
      <c r="E796" s="9" t="n">
        <v>-125.16</v>
      </c>
      <c r="F796" s="8" t="s">
        <v>26</v>
      </c>
    </row>
    <row r="797" customFormat="false" ht="15" hidden="false" customHeight="true" outlineLevel="0" collapsed="false">
      <c r="A797" s="34" t="n">
        <v>45880</v>
      </c>
      <c r="B797" s="8" t="s">
        <v>1131</v>
      </c>
      <c r="C797" s="8" t="s">
        <v>313</v>
      </c>
      <c r="D797" s="8" t="s">
        <v>1132</v>
      </c>
      <c r="E797" s="9" t="n">
        <v>-7.25</v>
      </c>
      <c r="F797" s="8" t="s">
        <v>29</v>
      </c>
    </row>
    <row r="798" customFormat="false" ht="15" hidden="false" customHeight="true" outlineLevel="0" collapsed="false">
      <c r="A798" s="34" t="n">
        <v>45880</v>
      </c>
      <c r="B798" s="8" t="s">
        <v>1133</v>
      </c>
      <c r="C798" s="8" t="s">
        <v>310</v>
      </c>
      <c r="D798" s="8" t="s">
        <v>352</v>
      </c>
      <c r="E798" s="9" t="n">
        <v>-1604.93</v>
      </c>
      <c r="F798" s="8" t="s">
        <v>23</v>
      </c>
    </row>
    <row r="799" customFormat="false" ht="15" hidden="false" customHeight="true" outlineLevel="0" collapsed="false">
      <c r="A799" s="34" t="n">
        <v>45880</v>
      </c>
      <c r="B799" s="8" t="s">
        <v>1134</v>
      </c>
      <c r="C799" s="8" t="s">
        <v>310</v>
      </c>
      <c r="D799" s="8" t="s">
        <v>355</v>
      </c>
      <c r="E799" s="9" t="n">
        <v>-84.96</v>
      </c>
      <c r="F799" s="8" t="s">
        <v>31</v>
      </c>
    </row>
    <row r="800" customFormat="false" ht="15" hidden="false" customHeight="true" outlineLevel="0" collapsed="false">
      <c r="A800" s="34" t="n">
        <v>45880</v>
      </c>
      <c r="B800" s="8" t="s">
        <v>1135</v>
      </c>
      <c r="C800" s="8" t="s">
        <v>310</v>
      </c>
      <c r="D800" s="8" t="s">
        <v>348</v>
      </c>
      <c r="E800" s="9" t="n">
        <v>-130.67</v>
      </c>
      <c r="F800" s="8" t="s">
        <v>26</v>
      </c>
    </row>
    <row r="801" customFormat="false" ht="15" hidden="false" customHeight="true" outlineLevel="0" collapsed="false">
      <c r="A801" s="34" t="n">
        <v>45881</v>
      </c>
      <c r="B801" s="8" t="s">
        <v>1136</v>
      </c>
      <c r="C801" s="8" t="s">
        <v>313</v>
      </c>
      <c r="D801" s="8" t="s">
        <v>331</v>
      </c>
      <c r="E801" s="9" t="n">
        <v>-58</v>
      </c>
      <c r="F801" s="8" t="s">
        <v>17</v>
      </c>
    </row>
    <row r="802" customFormat="false" ht="15" hidden="false" customHeight="true" outlineLevel="0" collapsed="false">
      <c r="A802" s="34" t="n">
        <v>45881</v>
      </c>
      <c r="B802" s="8" t="s">
        <v>1137</v>
      </c>
      <c r="C802" s="8" t="s">
        <v>313</v>
      </c>
      <c r="D802" s="8" t="s">
        <v>364</v>
      </c>
      <c r="E802" s="9" t="n">
        <v>-36.52</v>
      </c>
      <c r="F802" s="8" t="s">
        <v>20</v>
      </c>
    </row>
    <row r="803" customFormat="false" ht="15" hidden="false" customHeight="true" outlineLevel="0" collapsed="false">
      <c r="A803" s="34" t="n">
        <v>45881</v>
      </c>
      <c r="B803" s="8" t="s">
        <v>1137</v>
      </c>
      <c r="C803" s="8" t="s">
        <v>365</v>
      </c>
      <c r="D803" s="8" t="s">
        <v>364</v>
      </c>
      <c r="E803" s="9" t="n">
        <v>-0.54</v>
      </c>
      <c r="F803" s="8" t="s">
        <v>25</v>
      </c>
    </row>
    <row r="804" customFormat="false" ht="15" hidden="false" customHeight="true" outlineLevel="0" collapsed="false">
      <c r="A804" s="34" t="n">
        <v>45881</v>
      </c>
      <c r="B804" s="8" t="s">
        <v>1093</v>
      </c>
      <c r="C804" s="8" t="s">
        <v>367</v>
      </c>
      <c r="D804" s="8" t="s">
        <v>596</v>
      </c>
      <c r="E804" s="9" t="n">
        <v>-101001.5</v>
      </c>
      <c r="F804" s="8" t="s">
        <v>10</v>
      </c>
    </row>
    <row r="805" customFormat="false" ht="15" hidden="false" customHeight="true" outlineLevel="0" collapsed="false">
      <c r="A805" s="34" t="n">
        <v>45882</v>
      </c>
      <c r="B805" s="8" t="s">
        <v>1138</v>
      </c>
      <c r="C805" s="8" t="s">
        <v>313</v>
      </c>
      <c r="D805" s="8" t="s">
        <v>481</v>
      </c>
      <c r="E805" s="9" t="n">
        <v>-3.99</v>
      </c>
      <c r="F805" s="8" t="s">
        <v>20</v>
      </c>
    </row>
    <row r="806" customFormat="false" ht="15" hidden="false" customHeight="true" outlineLevel="0" collapsed="false">
      <c r="A806" s="34" t="n">
        <v>45883</v>
      </c>
      <c r="B806" s="8" t="s">
        <v>1139</v>
      </c>
      <c r="C806" s="8" t="s">
        <v>333</v>
      </c>
      <c r="D806" s="8" t="s">
        <v>334</v>
      </c>
      <c r="E806" s="9" t="n">
        <v>146.51</v>
      </c>
      <c r="F806" s="8" t="s">
        <v>335</v>
      </c>
    </row>
    <row r="807" customFormat="false" ht="15" hidden="false" customHeight="true" outlineLevel="0" collapsed="false">
      <c r="A807" s="34" t="n">
        <v>45883</v>
      </c>
      <c r="B807" s="8" t="s">
        <v>1140</v>
      </c>
      <c r="C807" s="8" t="s">
        <v>310</v>
      </c>
      <c r="D807" s="8" t="s">
        <v>400</v>
      </c>
      <c r="E807" s="9" t="n">
        <v>-118.98</v>
      </c>
      <c r="F807" s="8" t="s">
        <v>20</v>
      </c>
    </row>
    <row r="808" customFormat="false" ht="15" hidden="false" customHeight="true" outlineLevel="0" collapsed="false">
      <c r="A808" s="34" t="n">
        <v>45883</v>
      </c>
      <c r="B808" s="8" t="s">
        <v>1141</v>
      </c>
      <c r="C808" s="8" t="s">
        <v>375</v>
      </c>
      <c r="D808" s="8" t="s">
        <v>376</v>
      </c>
      <c r="E808" s="9" t="n">
        <v>-24.03</v>
      </c>
      <c r="F808" s="8" t="s">
        <v>25</v>
      </c>
    </row>
    <row r="809" customFormat="false" ht="15" hidden="false" customHeight="true" outlineLevel="0" collapsed="false">
      <c r="A809" s="34" t="n">
        <v>45884</v>
      </c>
      <c r="B809" s="8" t="s">
        <v>1142</v>
      </c>
      <c r="C809" s="8" t="s">
        <v>333</v>
      </c>
      <c r="D809" s="8" t="s">
        <v>334</v>
      </c>
      <c r="E809" s="9" t="n">
        <v>259.99</v>
      </c>
      <c r="F809" s="8" t="s">
        <v>335</v>
      </c>
    </row>
    <row r="810" customFormat="false" ht="15" hidden="false" customHeight="true" outlineLevel="0" collapsed="false">
      <c r="A810" s="34" t="n">
        <v>45884</v>
      </c>
      <c r="B810" s="8" t="s">
        <v>356</v>
      </c>
      <c r="C810" s="8" t="s">
        <v>384</v>
      </c>
      <c r="D810" s="8"/>
      <c r="E810" s="9" t="n">
        <v>-7.69</v>
      </c>
      <c r="F810" s="8" t="s">
        <v>25</v>
      </c>
    </row>
    <row r="811" customFormat="false" ht="15" hidden="false" customHeight="true" outlineLevel="0" collapsed="false">
      <c r="A811" s="34" t="n">
        <v>45885</v>
      </c>
      <c r="B811" s="8" t="s">
        <v>1143</v>
      </c>
      <c r="C811" s="8" t="s">
        <v>367</v>
      </c>
      <c r="D811" s="8" t="s">
        <v>412</v>
      </c>
      <c r="E811" s="9" t="n">
        <v>-800</v>
      </c>
      <c r="F811" s="8" t="s">
        <v>14</v>
      </c>
    </row>
    <row r="812" customFormat="false" ht="15" hidden="false" customHeight="true" outlineLevel="0" collapsed="false">
      <c r="A812" s="34" t="n">
        <v>45887</v>
      </c>
      <c r="B812" s="8" t="s">
        <v>1144</v>
      </c>
      <c r="C812" s="8" t="s">
        <v>313</v>
      </c>
      <c r="D812" s="8" t="s">
        <v>1145</v>
      </c>
      <c r="E812" s="9" t="n">
        <v>-32.66</v>
      </c>
      <c r="F812" s="8" t="s">
        <v>19</v>
      </c>
    </row>
    <row r="813" customFormat="false" ht="15" hidden="false" customHeight="true" outlineLevel="0" collapsed="false">
      <c r="A813" s="34" t="n">
        <v>45887</v>
      </c>
      <c r="B813" s="8" t="s">
        <v>1146</v>
      </c>
      <c r="C813" s="8" t="s">
        <v>313</v>
      </c>
      <c r="D813" s="8" t="s">
        <v>1147</v>
      </c>
      <c r="E813" s="9" t="n">
        <v>-62.47</v>
      </c>
      <c r="F813" s="8" t="s">
        <v>19</v>
      </c>
    </row>
    <row r="814" customFormat="false" ht="15" hidden="false" customHeight="true" outlineLevel="0" collapsed="false">
      <c r="A814" s="34" t="n">
        <v>45887</v>
      </c>
      <c r="B814" s="8" t="s">
        <v>1144</v>
      </c>
      <c r="C814" s="8" t="s">
        <v>313</v>
      </c>
      <c r="D814" s="8" t="s">
        <v>1145</v>
      </c>
      <c r="E814" s="9" t="n">
        <v>-50</v>
      </c>
      <c r="F814" s="8" t="s">
        <v>19</v>
      </c>
    </row>
    <row r="815" customFormat="false" ht="15" hidden="false" customHeight="true" outlineLevel="0" collapsed="false">
      <c r="A815" s="34" t="n">
        <v>45887</v>
      </c>
      <c r="B815" s="8" t="s">
        <v>1144</v>
      </c>
      <c r="C815" s="8" t="s">
        <v>313</v>
      </c>
      <c r="D815" s="8" t="s">
        <v>1145</v>
      </c>
      <c r="E815" s="9" t="n">
        <v>-26.6</v>
      </c>
      <c r="F815" s="8" t="s">
        <v>19</v>
      </c>
    </row>
    <row r="816" customFormat="false" ht="15" hidden="false" customHeight="true" outlineLevel="0" collapsed="false">
      <c r="A816" s="34" t="n">
        <v>45887</v>
      </c>
      <c r="B816" s="8" t="s">
        <v>1148</v>
      </c>
      <c r="C816" s="8" t="s">
        <v>313</v>
      </c>
      <c r="D816" s="8" t="s">
        <v>1149</v>
      </c>
      <c r="E816" s="9" t="n">
        <v>-41.19</v>
      </c>
      <c r="F816" s="8" t="s">
        <v>18</v>
      </c>
    </row>
    <row r="817" customFormat="false" ht="15" hidden="false" customHeight="true" outlineLevel="0" collapsed="false">
      <c r="A817" s="34" t="n">
        <v>45887</v>
      </c>
      <c r="B817" s="8" t="s">
        <v>1150</v>
      </c>
      <c r="C817" s="8" t="s">
        <v>313</v>
      </c>
      <c r="D817" s="8" t="s">
        <v>466</v>
      </c>
      <c r="E817" s="9" t="n">
        <v>-42.8</v>
      </c>
      <c r="F817" s="8" t="s">
        <v>19</v>
      </c>
    </row>
    <row r="818" customFormat="false" ht="15" hidden="false" customHeight="true" outlineLevel="0" collapsed="false">
      <c r="A818" s="34" t="n">
        <v>45887</v>
      </c>
      <c r="B818" s="8" t="s">
        <v>1151</v>
      </c>
      <c r="C818" s="8" t="s">
        <v>313</v>
      </c>
      <c r="D818" s="8" t="s">
        <v>1152</v>
      </c>
      <c r="E818" s="9" t="n">
        <v>-13.7</v>
      </c>
      <c r="F818" s="8" t="s">
        <v>17</v>
      </c>
    </row>
    <row r="819" customFormat="false" ht="15" hidden="false" customHeight="true" outlineLevel="0" collapsed="false">
      <c r="A819" s="34" t="n">
        <v>45887</v>
      </c>
      <c r="B819" s="8" t="s">
        <v>1153</v>
      </c>
      <c r="C819" s="8" t="s">
        <v>313</v>
      </c>
      <c r="D819" s="8" t="s">
        <v>314</v>
      </c>
      <c r="E819" s="9" t="n">
        <v>-15.6</v>
      </c>
      <c r="F819" s="8" t="s">
        <v>19</v>
      </c>
    </row>
    <row r="820" customFormat="false" ht="15" hidden="false" customHeight="true" outlineLevel="0" collapsed="false">
      <c r="A820" s="34" t="n">
        <v>45888</v>
      </c>
      <c r="B820" s="8" t="s">
        <v>1154</v>
      </c>
      <c r="C820" s="8" t="s">
        <v>367</v>
      </c>
      <c r="D820" s="8" t="s">
        <v>412</v>
      </c>
      <c r="E820" s="9" t="n">
        <v>-556.37</v>
      </c>
      <c r="F820" s="8" t="s">
        <v>14</v>
      </c>
    </row>
    <row r="821" customFormat="false" ht="15" hidden="false" customHeight="true" outlineLevel="0" collapsed="false">
      <c r="A821" s="34" t="n">
        <v>45888</v>
      </c>
      <c r="B821" s="8" t="s">
        <v>1155</v>
      </c>
      <c r="C821" s="8" t="s">
        <v>367</v>
      </c>
      <c r="D821" s="8" t="s">
        <v>464</v>
      </c>
      <c r="E821" s="9" t="n">
        <v>-1273.69</v>
      </c>
      <c r="F821" s="8" t="s">
        <v>14</v>
      </c>
    </row>
    <row r="822" customFormat="false" ht="15" hidden="false" customHeight="true" outlineLevel="0" collapsed="false">
      <c r="A822" s="34" t="n">
        <v>45888</v>
      </c>
      <c r="B822" s="8" t="s">
        <v>1156</v>
      </c>
      <c r="C822" s="8" t="s">
        <v>367</v>
      </c>
      <c r="D822" s="8" t="s">
        <v>476</v>
      </c>
      <c r="E822" s="9" t="n">
        <v>-2481.8</v>
      </c>
      <c r="F822" s="8" t="s">
        <v>14</v>
      </c>
    </row>
    <row r="823" customFormat="false" ht="15" hidden="false" customHeight="true" outlineLevel="0" collapsed="false">
      <c r="A823" s="34" t="n">
        <v>45888</v>
      </c>
      <c r="B823" s="8" t="s">
        <v>1157</v>
      </c>
      <c r="C823" s="8" t="s">
        <v>911</v>
      </c>
      <c r="D823" s="8" t="s">
        <v>497</v>
      </c>
      <c r="E823" s="9" t="n">
        <v>38.48</v>
      </c>
      <c r="F823" s="8" t="s">
        <v>25</v>
      </c>
    </row>
    <row r="824" customFormat="false" ht="15" hidden="false" customHeight="true" outlineLevel="0" collapsed="false">
      <c r="A824" s="34" t="n">
        <v>45888</v>
      </c>
      <c r="B824" s="8" t="s">
        <v>1158</v>
      </c>
      <c r="C824" s="8" t="s">
        <v>313</v>
      </c>
      <c r="D824" s="8" t="s">
        <v>33</v>
      </c>
      <c r="E824" s="9" t="n">
        <v>-70.09</v>
      </c>
      <c r="F824" s="8" t="s">
        <v>19</v>
      </c>
    </row>
    <row r="825" customFormat="false" ht="15" hidden="false" customHeight="true" outlineLevel="0" collapsed="false">
      <c r="A825" s="34" t="n">
        <v>45888</v>
      </c>
      <c r="B825" s="8" t="s">
        <v>1159</v>
      </c>
      <c r="C825" s="8" t="s">
        <v>310</v>
      </c>
      <c r="D825" s="8" t="s">
        <v>390</v>
      </c>
      <c r="E825" s="9" t="n">
        <v>-2801</v>
      </c>
      <c r="F825" s="8" t="s">
        <v>15</v>
      </c>
    </row>
    <row r="826" customFormat="false" ht="15" hidden="false" customHeight="true" outlineLevel="0" collapsed="false">
      <c r="A826" s="34" t="n">
        <v>45889</v>
      </c>
      <c r="B826" s="8" t="s">
        <v>1160</v>
      </c>
      <c r="C826" s="8" t="s">
        <v>313</v>
      </c>
      <c r="D826" s="8" t="s">
        <v>33</v>
      </c>
      <c r="E826" s="9" t="n">
        <v>-60</v>
      </c>
      <c r="F826" s="8" t="s">
        <v>19</v>
      </c>
    </row>
    <row r="827" customFormat="false" ht="15" hidden="false" customHeight="true" outlineLevel="0" collapsed="false">
      <c r="A827" s="34" t="n">
        <v>45889</v>
      </c>
      <c r="B827" s="8" t="s">
        <v>1161</v>
      </c>
      <c r="C827" s="8" t="s">
        <v>313</v>
      </c>
      <c r="D827" s="8" t="s">
        <v>481</v>
      </c>
      <c r="E827" s="9" t="n">
        <v>-3.99</v>
      </c>
      <c r="F827" s="8" t="s">
        <v>20</v>
      </c>
    </row>
    <row r="828" customFormat="false" ht="15" hidden="false" customHeight="true" outlineLevel="0" collapsed="false">
      <c r="A828" s="34" t="n">
        <v>45890</v>
      </c>
      <c r="B828" s="8" t="s">
        <v>1162</v>
      </c>
      <c r="C828" s="8" t="s">
        <v>313</v>
      </c>
      <c r="D828" s="8" t="s">
        <v>337</v>
      </c>
      <c r="E828" s="9" t="n">
        <v>-70</v>
      </c>
      <c r="F828" s="8" t="s">
        <v>19</v>
      </c>
    </row>
    <row r="829" customFormat="false" ht="15" hidden="false" customHeight="true" outlineLevel="0" collapsed="false">
      <c r="A829" s="34" t="n">
        <v>45890</v>
      </c>
      <c r="B829" s="8" t="s">
        <v>1163</v>
      </c>
      <c r="C829" s="8" t="s">
        <v>313</v>
      </c>
      <c r="D829" s="8" t="s">
        <v>1164</v>
      </c>
      <c r="E829" s="9" t="n">
        <v>-60.64</v>
      </c>
      <c r="F829" s="8" t="s">
        <v>28</v>
      </c>
    </row>
    <row r="830" customFormat="false" ht="15" hidden="false" customHeight="true" outlineLevel="0" collapsed="false">
      <c r="A830" s="34" t="n">
        <v>45894</v>
      </c>
      <c r="B830" s="8" t="s">
        <v>1165</v>
      </c>
      <c r="C830" s="8" t="s">
        <v>310</v>
      </c>
      <c r="D830" s="8" t="s">
        <v>432</v>
      </c>
      <c r="E830" s="9" t="n">
        <v>-610.68</v>
      </c>
      <c r="F830" s="8" t="s">
        <v>15</v>
      </c>
    </row>
    <row r="831" customFormat="false" ht="15" hidden="false" customHeight="true" outlineLevel="0" collapsed="false">
      <c r="A831" s="34" t="n">
        <v>45894</v>
      </c>
      <c r="B831" s="8" t="s">
        <v>1166</v>
      </c>
      <c r="C831" s="8" t="s">
        <v>310</v>
      </c>
      <c r="D831" s="8" t="s">
        <v>400</v>
      </c>
      <c r="E831" s="9" t="n">
        <v>-355.92</v>
      </c>
      <c r="F831" s="8" t="s">
        <v>20</v>
      </c>
    </row>
    <row r="832" customFormat="false" ht="15" hidden="false" customHeight="true" outlineLevel="0" collapsed="false">
      <c r="A832" s="34" t="n">
        <v>45894</v>
      </c>
      <c r="B832" s="8" t="s">
        <v>1167</v>
      </c>
      <c r="C832" s="8" t="s">
        <v>313</v>
      </c>
      <c r="D832" s="8" t="s">
        <v>1168</v>
      </c>
      <c r="E832" s="9" t="n">
        <v>-47.79</v>
      </c>
      <c r="F832" s="8" t="s">
        <v>28</v>
      </c>
    </row>
    <row r="833" customFormat="false" ht="15" hidden="false" customHeight="true" outlineLevel="0" collapsed="false">
      <c r="A833" s="34" t="n">
        <v>45894</v>
      </c>
      <c r="B833" s="8" t="s">
        <v>1169</v>
      </c>
      <c r="C833" s="8" t="s">
        <v>313</v>
      </c>
      <c r="D833" s="8" t="s">
        <v>460</v>
      </c>
      <c r="E833" s="9" t="n">
        <v>-495.47</v>
      </c>
      <c r="F833" s="8" t="s">
        <v>18</v>
      </c>
    </row>
    <row r="834" customFormat="false" ht="15" hidden="false" customHeight="true" outlineLevel="0" collapsed="false">
      <c r="A834" s="34" t="n">
        <v>45895</v>
      </c>
      <c r="B834" s="8" t="s">
        <v>1170</v>
      </c>
      <c r="C834" s="8" t="s">
        <v>414</v>
      </c>
      <c r="D834" s="8" t="s">
        <v>415</v>
      </c>
      <c r="E834" s="9" t="n">
        <v>-190</v>
      </c>
      <c r="F834" s="8" t="s">
        <v>15</v>
      </c>
    </row>
    <row r="835" customFormat="false" ht="15" hidden="false" customHeight="true" outlineLevel="0" collapsed="false">
      <c r="A835" s="34" t="n">
        <v>45896</v>
      </c>
      <c r="B835" s="8" t="s">
        <v>1171</v>
      </c>
      <c r="C835" s="8" t="s">
        <v>310</v>
      </c>
      <c r="D835" s="8" t="s">
        <v>678</v>
      </c>
      <c r="E835" s="9" t="n">
        <v>-15.95</v>
      </c>
      <c r="F835" s="8" t="s">
        <v>19</v>
      </c>
    </row>
    <row r="836" customFormat="false" ht="15" hidden="false" customHeight="true" outlineLevel="0" collapsed="false">
      <c r="A836" s="34" t="n">
        <v>45896</v>
      </c>
      <c r="B836" s="8" t="s">
        <v>1172</v>
      </c>
      <c r="C836" s="8" t="s">
        <v>313</v>
      </c>
      <c r="D836" s="8" t="s">
        <v>481</v>
      </c>
      <c r="E836" s="9" t="n">
        <v>-3.99</v>
      </c>
      <c r="F836" s="8" t="s">
        <v>20</v>
      </c>
    </row>
    <row r="837" customFormat="false" ht="15" hidden="false" customHeight="true" outlineLevel="0" collapsed="false">
      <c r="A837" s="34" t="n">
        <v>45896</v>
      </c>
      <c r="B837" s="8" t="s">
        <v>1173</v>
      </c>
      <c r="C837" s="8" t="s">
        <v>313</v>
      </c>
      <c r="D837" s="8" t="s">
        <v>33</v>
      </c>
      <c r="E837" s="9" t="n">
        <v>-49.36</v>
      </c>
      <c r="F837" s="8" t="s">
        <v>19</v>
      </c>
    </row>
    <row r="838" customFormat="false" ht="15" hidden="false" customHeight="true" outlineLevel="0" collapsed="false">
      <c r="A838" s="34" t="n">
        <v>45897</v>
      </c>
      <c r="B838" s="8" t="s">
        <v>1174</v>
      </c>
      <c r="C838" s="8" t="s">
        <v>313</v>
      </c>
      <c r="D838" s="8" t="s">
        <v>683</v>
      </c>
      <c r="E838" s="9" t="n">
        <v>-13</v>
      </c>
      <c r="F838" s="8" t="s">
        <v>20</v>
      </c>
    </row>
    <row r="839" customFormat="false" ht="15" hidden="false" customHeight="true" outlineLevel="0" collapsed="false">
      <c r="A839" s="34" t="n">
        <v>45898</v>
      </c>
      <c r="B839" s="8" t="s">
        <v>1175</v>
      </c>
      <c r="C839" s="8" t="s">
        <v>310</v>
      </c>
      <c r="D839" s="8" t="s">
        <v>390</v>
      </c>
      <c r="E839" s="9" t="n">
        <v>-129</v>
      </c>
      <c r="F839" s="8" t="s">
        <v>15</v>
      </c>
    </row>
    <row r="840" customFormat="false" ht="15" hidden="false" customHeight="true" outlineLevel="0" collapsed="false">
      <c r="A840" s="34" t="n">
        <v>45898</v>
      </c>
      <c r="B840" s="8" t="s">
        <v>1176</v>
      </c>
      <c r="C840" s="8" t="s">
        <v>313</v>
      </c>
      <c r="D840" s="8" t="s">
        <v>450</v>
      </c>
      <c r="E840" s="9" t="n">
        <v>-55.84</v>
      </c>
      <c r="F840" s="8" t="s">
        <v>20</v>
      </c>
    </row>
    <row r="841" customFormat="false" ht="15" hidden="false" customHeight="true" outlineLevel="0" collapsed="false">
      <c r="A841" s="34" t="n">
        <v>45901</v>
      </c>
      <c r="B841" s="8" t="s">
        <v>1177</v>
      </c>
      <c r="C841" s="8" t="s">
        <v>310</v>
      </c>
      <c r="D841" s="8" t="s">
        <v>316</v>
      </c>
      <c r="E841" s="9" t="n">
        <v>-872.67</v>
      </c>
      <c r="F841" s="8" t="s">
        <v>19</v>
      </c>
    </row>
    <row r="842" customFormat="false" ht="15" hidden="false" customHeight="true" outlineLevel="0" collapsed="false">
      <c r="A842" s="34" t="n">
        <v>45901</v>
      </c>
      <c r="B842" s="8" t="s">
        <v>1178</v>
      </c>
      <c r="C842" s="8" t="s">
        <v>361</v>
      </c>
      <c r="D842" s="8" t="s">
        <v>1179</v>
      </c>
      <c r="E842" s="9" t="n">
        <v>22991</v>
      </c>
      <c r="F842" s="8" t="s">
        <v>335</v>
      </c>
    </row>
    <row r="843" customFormat="false" ht="15" hidden="false" customHeight="true" outlineLevel="0" collapsed="false">
      <c r="A843" s="34" t="n">
        <v>45901</v>
      </c>
      <c r="B843" s="8" t="s">
        <v>1180</v>
      </c>
      <c r="C843" s="8" t="s">
        <v>310</v>
      </c>
      <c r="D843" s="8" t="s">
        <v>317</v>
      </c>
      <c r="E843" s="9" t="n">
        <v>-114.81</v>
      </c>
      <c r="F843" s="8" t="s">
        <v>22</v>
      </c>
    </row>
    <row r="844" customFormat="false" ht="15" hidden="false" customHeight="true" outlineLevel="0" collapsed="false">
      <c r="A844" s="34" t="n">
        <v>45901</v>
      </c>
      <c r="B844" s="8" t="s">
        <v>1181</v>
      </c>
      <c r="C844" s="8" t="s">
        <v>333</v>
      </c>
      <c r="D844" s="8" t="s">
        <v>1182</v>
      </c>
      <c r="E844" s="9" t="n">
        <v>6254</v>
      </c>
      <c r="F844" s="8" t="s">
        <v>335</v>
      </c>
    </row>
    <row r="845" customFormat="false" ht="15" hidden="false" customHeight="true" outlineLevel="0" collapsed="false">
      <c r="A845" s="34" t="n">
        <v>45901</v>
      </c>
      <c r="B845" s="8" t="s">
        <v>1183</v>
      </c>
      <c r="C845" s="8" t="s">
        <v>367</v>
      </c>
      <c r="D845" s="8" t="s">
        <v>368</v>
      </c>
      <c r="E845" s="9" t="n">
        <v>-12593.08</v>
      </c>
      <c r="F845" s="8" t="s">
        <v>11</v>
      </c>
    </row>
    <row r="846" customFormat="false" ht="15" hidden="false" customHeight="true" outlineLevel="0" collapsed="false">
      <c r="A846" s="34" t="n">
        <v>45901</v>
      </c>
      <c r="B846" s="8" t="s">
        <v>1184</v>
      </c>
      <c r="C846" s="8" t="s">
        <v>367</v>
      </c>
      <c r="D846" s="8" t="s">
        <v>1185</v>
      </c>
      <c r="E846" s="9" t="n">
        <v>-6010</v>
      </c>
      <c r="F846" s="8" t="s">
        <v>10</v>
      </c>
    </row>
    <row r="847" customFormat="false" ht="15" hidden="false" customHeight="true" outlineLevel="0" collapsed="false">
      <c r="A847" s="34" t="n">
        <v>45901</v>
      </c>
      <c r="B847" s="8" t="s">
        <v>1186</v>
      </c>
      <c r="C847" s="8" t="s">
        <v>367</v>
      </c>
      <c r="D847" s="8" t="s">
        <v>1187</v>
      </c>
      <c r="E847" s="9" t="n">
        <v>-2840</v>
      </c>
      <c r="F847" s="8" t="s">
        <v>17</v>
      </c>
    </row>
    <row r="848" customFormat="false" ht="15" hidden="false" customHeight="true" outlineLevel="0" collapsed="false">
      <c r="A848" s="34" t="n">
        <v>45901</v>
      </c>
      <c r="B848" s="8" t="s">
        <v>1188</v>
      </c>
      <c r="C848" s="8" t="s">
        <v>367</v>
      </c>
      <c r="D848" s="8" t="s">
        <v>490</v>
      </c>
      <c r="E848" s="9" t="n">
        <v>-2330</v>
      </c>
      <c r="F848" s="8" t="s">
        <v>10</v>
      </c>
    </row>
    <row r="849" customFormat="false" ht="15" hidden="false" customHeight="true" outlineLevel="0" collapsed="false">
      <c r="A849" s="34" t="n">
        <v>45901</v>
      </c>
      <c r="B849" s="8" t="s">
        <v>1178</v>
      </c>
      <c r="C849" s="8" t="s">
        <v>631</v>
      </c>
      <c r="D849" s="8" t="s">
        <v>632</v>
      </c>
      <c r="E849" s="9" t="n">
        <v>-14.64</v>
      </c>
      <c r="F849" s="8" t="s">
        <v>25</v>
      </c>
    </row>
    <row r="850" customFormat="false" ht="15" hidden="false" customHeight="true" outlineLevel="0" collapsed="false">
      <c r="A850" s="34" t="n">
        <v>45901</v>
      </c>
      <c r="B850" s="8" t="s">
        <v>1178</v>
      </c>
      <c r="C850" s="8" t="s">
        <v>359</v>
      </c>
      <c r="D850" s="8" t="s">
        <v>360</v>
      </c>
      <c r="E850" s="9" t="n">
        <v>-1.2</v>
      </c>
      <c r="F850" s="8" t="s">
        <v>25</v>
      </c>
    </row>
    <row r="851" customFormat="false" ht="15" hidden="false" customHeight="true" outlineLevel="0" collapsed="false">
      <c r="A851" s="34" t="n">
        <v>45901</v>
      </c>
      <c r="B851" s="8" t="s">
        <v>1189</v>
      </c>
      <c r="C851" s="8" t="s">
        <v>367</v>
      </c>
      <c r="D851" s="8" t="s">
        <v>409</v>
      </c>
      <c r="E851" s="9" t="n">
        <v>-4670</v>
      </c>
      <c r="F851" s="8" t="s">
        <v>10</v>
      </c>
    </row>
    <row r="852" customFormat="false" ht="15" hidden="false" customHeight="true" outlineLevel="0" collapsed="false">
      <c r="A852" s="34" t="n">
        <v>45901</v>
      </c>
      <c r="B852" s="8" t="s">
        <v>1190</v>
      </c>
      <c r="C852" s="8" t="s">
        <v>367</v>
      </c>
      <c r="D852" s="8" t="s">
        <v>452</v>
      </c>
      <c r="E852" s="9" t="n">
        <v>-7440.2</v>
      </c>
      <c r="F852" s="8" t="s">
        <v>13</v>
      </c>
    </row>
    <row r="853" customFormat="false" ht="15" hidden="false" customHeight="true" outlineLevel="0" collapsed="false">
      <c r="A853" s="34" t="n">
        <v>45902</v>
      </c>
      <c r="B853" s="8" t="s">
        <v>1191</v>
      </c>
      <c r="C853" s="8" t="s">
        <v>367</v>
      </c>
      <c r="D853" s="8" t="s">
        <v>386</v>
      </c>
      <c r="E853" s="9" t="n">
        <v>-4000</v>
      </c>
      <c r="F853" s="8" t="s">
        <v>16</v>
      </c>
    </row>
    <row r="854" customFormat="false" ht="15" hidden="false" customHeight="true" outlineLevel="0" collapsed="false">
      <c r="A854" s="34" t="n">
        <v>45902</v>
      </c>
      <c r="B854" s="8" t="s">
        <v>323</v>
      </c>
      <c r="C854" s="8" t="s">
        <v>324</v>
      </c>
      <c r="D854" s="8" t="s">
        <v>325</v>
      </c>
      <c r="E854" s="9" t="n">
        <v>-42</v>
      </c>
      <c r="F854" s="8" t="s">
        <v>25</v>
      </c>
    </row>
    <row r="855" customFormat="false" ht="15" hidden="false" customHeight="true" outlineLevel="0" collapsed="false">
      <c r="A855" s="34" t="n">
        <v>45902</v>
      </c>
      <c r="B855" s="8" t="s">
        <v>1192</v>
      </c>
      <c r="C855" s="8" t="s">
        <v>313</v>
      </c>
      <c r="D855" s="8" t="s">
        <v>329</v>
      </c>
      <c r="E855" s="9" t="n">
        <v>-145.8</v>
      </c>
      <c r="F855" s="8" t="s">
        <v>20</v>
      </c>
    </row>
    <row r="856" customFormat="false" ht="15" hidden="false" customHeight="true" outlineLevel="0" collapsed="false">
      <c r="A856" s="34" t="n">
        <v>45902</v>
      </c>
      <c r="B856" s="8" t="s">
        <v>1193</v>
      </c>
      <c r="C856" s="8" t="s">
        <v>313</v>
      </c>
      <c r="D856" s="8" t="s">
        <v>440</v>
      </c>
      <c r="E856" s="9" t="n">
        <v>-32.21</v>
      </c>
      <c r="F856" s="8" t="s">
        <v>30</v>
      </c>
    </row>
    <row r="857" customFormat="false" ht="15" hidden="false" customHeight="true" outlineLevel="0" collapsed="false">
      <c r="A857" s="34" t="n">
        <v>45902</v>
      </c>
      <c r="B857" s="8" t="s">
        <v>1194</v>
      </c>
      <c r="C857" s="8" t="s">
        <v>411</v>
      </c>
      <c r="D857" s="8" t="s">
        <v>386</v>
      </c>
      <c r="E857" s="9" t="n">
        <v>-2000</v>
      </c>
      <c r="F857" s="8" t="s">
        <v>16</v>
      </c>
    </row>
    <row r="858" customFormat="false" ht="15" hidden="false" customHeight="true" outlineLevel="0" collapsed="false">
      <c r="A858" s="34" t="n">
        <v>45902</v>
      </c>
      <c r="B858" s="8" t="s">
        <v>1195</v>
      </c>
      <c r="C858" s="8" t="s">
        <v>313</v>
      </c>
      <c r="D858" s="8" t="s">
        <v>33</v>
      </c>
      <c r="E858" s="9" t="n">
        <v>-70</v>
      </c>
      <c r="F858" s="8" t="s">
        <v>19</v>
      </c>
    </row>
    <row r="859" customFormat="false" ht="15" hidden="false" customHeight="true" outlineLevel="0" collapsed="false">
      <c r="A859" s="34" t="n">
        <v>45903</v>
      </c>
      <c r="B859" s="8" t="s">
        <v>1196</v>
      </c>
      <c r="C859" s="8" t="s">
        <v>313</v>
      </c>
      <c r="D859" s="8" t="s">
        <v>1197</v>
      </c>
      <c r="E859" s="9" t="n">
        <v>-37.9</v>
      </c>
      <c r="F859" s="8" t="s">
        <v>28</v>
      </c>
    </row>
    <row r="860" customFormat="false" ht="15" hidden="false" customHeight="true" outlineLevel="0" collapsed="false">
      <c r="A860" s="34" t="n">
        <v>45903</v>
      </c>
      <c r="B860" s="8" t="s">
        <v>1198</v>
      </c>
      <c r="C860" s="8" t="s">
        <v>313</v>
      </c>
      <c r="D860" s="8" t="s">
        <v>481</v>
      </c>
      <c r="E860" s="9" t="n">
        <v>-3.99</v>
      </c>
      <c r="F860" s="8" t="s">
        <v>20</v>
      </c>
    </row>
    <row r="861" customFormat="false" ht="15" hidden="false" customHeight="true" outlineLevel="0" collapsed="false">
      <c r="A861" s="34" t="n">
        <v>45903</v>
      </c>
      <c r="B861" s="8" t="s">
        <v>1199</v>
      </c>
      <c r="C861" s="8" t="s">
        <v>367</v>
      </c>
      <c r="D861" s="8" t="s">
        <v>490</v>
      </c>
      <c r="E861" s="9" t="n">
        <v>-4180</v>
      </c>
      <c r="F861" s="8" t="s">
        <v>10</v>
      </c>
    </row>
    <row r="862" customFormat="false" ht="15" hidden="false" customHeight="true" outlineLevel="0" collapsed="false">
      <c r="A862" s="34" t="n">
        <v>45903</v>
      </c>
      <c r="B862" s="8" t="s">
        <v>1196</v>
      </c>
      <c r="C862" s="8" t="s">
        <v>313</v>
      </c>
      <c r="D862" s="8" t="s">
        <v>1197</v>
      </c>
      <c r="E862" s="9" t="n">
        <v>-48.88</v>
      </c>
      <c r="F862" s="8" t="s">
        <v>28</v>
      </c>
    </row>
    <row r="863" customFormat="false" ht="15" hidden="false" customHeight="true" outlineLevel="0" collapsed="false">
      <c r="A863" s="34" t="n">
        <v>45903</v>
      </c>
      <c r="B863" s="8" t="s">
        <v>1200</v>
      </c>
      <c r="C863" s="8" t="s">
        <v>313</v>
      </c>
      <c r="D863" s="8" t="s">
        <v>344</v>
      </c>
      <c r="E863" s="9" t="n">
        <v>-83.4</v>
      </c>
      <c r="F863" s="8" t="s">
        <v>13</v>
      </c>
    </row>
    <row r="864" customFormat="false" ht="15" hidden="false" customHeight="true" outlineLevel="0" collapsed="false">
      <c r="A864" s="34" t="n">
        <v>45903</v>
      </c>
      <c r="B864" s="8" t="s">
        <v>1201</v>
      </c>
      <c r="C864" s="8" t="s">
        <v>313</v>
      </c>
      <c r="D864" s="8" t="s">
        <v>562</v>
      </c>
      <c r="E864" s="9" t="n">
        <v>-50</v>
      </c>
      <c r="F864" s="8" t="s">
        <v>19</v>
      </c>
    </row>
    <row r="865" customFormat="false" ht="15" hidden="false" customHeight="true" outlineLevel="0" collapsed="false">
      <c r="A865" s="34" t="n">
        <v>45904</v>
      </c>
      <c r="B865" s="8" t="s">
        <v>1202</v>
      </c>
      <c r="C865" s="8" t="s">
        <v>310</v>
      </c>
      <c r="D865" s="8" t="s">
        <v>317</v>
      </c>
      <c r="E865" s="9" t="n">
        <v>-98.68</v>
      </c>
      <c r="F865" s="8" t="s">
        <v>22</v>
      </c>
    </row>
    <row r="866" customFormat="false" ht="15" hidden="false" customHeight="true" outlineLevel="0" collapsed="false">
      <c r="A866" s="34" t="n">
        <v>45904</v>
      </c>
      <c r="B866" s="8" t="s">
        <v>1203</v>
      </c>
      <c r="C866" s="8" t="s">
        <v>313</v>
      </c>
      <c r="D866" s="8" t="s">
        <v>33</v>
      </c>
      <c r="E866" s="9" t="n">
        <v>-74.02</v>
      </c>
      <c r="F866" s="8" t="s">
        <v>19</v>
      </c>
    </row>
    <row r="867" customFormat="false" ht="15" hidden="false" customHeight="true" outlineLevel="0" collapsed="false">
      <c r="A867" s="34" t="n">
        <v>45904</v>
      </c>
      <c r="B867" s="8" t="s">
        <v>1204</v>
      </c>
      <c r="C867" s="8" t="s">
        <v>313</v>
      </c>
      <c r="D867" s="8" t="s">
        <v>393</v>
      </c>
      <c r="E867" s="9" t="n">
        <v>-20.45</v>
      </c>
      <c r="F867" s="8" t="s">
        <v>19</v>
      </c>
    </row>
    <row r="868" customFormat="false" ht="15" hidden="false" customHeight="true" outlineLevel="0" collapsed="false">
      <c r="A868" s="34" t="n">
        <v>45904</v>
      </c>
      <c r="B868" s="8" t="s">
        <v>1205</v>
      </c>
      <c r="C868" s="8" t="s">
        <v>313</v>
      </c>
      <c r="D868" s="8" t="s">
        <v>331</v>
      </c>
      <c r="E868" s="9" t="n">
        <v>-28</v>
      </c>
      <c r="F868" s="8" t="s">
        <v>17</v>
      </c>
    </row>
    <row r="869" customFormat="false" ht="15" hidden="false" customHeight="true" outlineLevel="0" collapsed="false">
      <c r="A869" s="34" t="n">
        <v>45905</v>
      </c>
      <c r="B869" s="8" t="s">
        <v>1206</v>
      </c>
      <c r="C869" s="8" t="s">
        <v>313</v>
      </c>
      <c r="D869" s="8" t="s">
        <v>346</v>
      </c>
      <c r="E869" s="9" t="n">
        <v>-4.3</v>
      </c>
      <c r="F869" s="8" t="s">
        <v>19</v>
      </c>
    </row>
    <row r="870" customFormat="false" ht="15" hidden="false" customHeight="true" outlineLevel="0" collapsed="false">
      <c r="A870" s="34" t="n">
        <v>45905</v>
      </c>
      <c r="B870" s="8" t="s">
        <v>1207</v>
      </c>
      <c r="C870" s="8" t="s">
        <v>313</v>
      </c>
      <c r="D870" s="8" t="s">
        <v>341</v>
      </c>
      <c r="E870" s="9" t="n">
        <v>-10.7</v>
      </c>
      <c r="F870" s="8" t="s">
        <v>19</v>
      </c>
    </row>
    <row r="871" customFormat="false" ht="15" hidden="false" customHeight="true" outlineLevel="0" collapsed="false">
      <c r="A871" s="34" t="n">
        <v>45905</v>
      </c>
      <c r="B871" s="8" t="s">
        <v>1208</v>
      </c>
      <c r="C871" s="8" t="s">
        <v>310</v>
      </c>
      <c r="D871" s="8" t="s">
        <v>311</v>
      </c>
      <c r="E871" s="9" t="n">
        <v>-79</v>
      </c>
      <c r="F871" s="8" t="s">
        <v>26</v>
      </c>
    </row>
    <row r="872" customFormat="false" ht="15" hidden="false" customHeight="true" outlineLevel="0" collapsed="false">
      <c r="A872" s="34" t="n">
        <v>45905</v>
      </c>
      <c r="B872" s="8" t="s">
        <v>1209</v>
      </c>
      <c r="C872" s="8" t="s">
        <v>313</v>
      </c>
      <c r="D872" s="8" t="s">
        <v>346</v>
      </c>
      <c r="E872" s="9" t="n">
        <v>-10</v>
      </c>
      <c r="F872" s="8" t="s">
        <v>19</v>
      </c>
    </row>
    <row r="873" customFormat="false" ht="15" hidden="false" customHeight="true" outlineLevel="0" collapsed="false">
      <c r="A873" s="34" t="n">
        <v>45908</v>
      </c>
      <c r="B873" s="8" t="s">
        <v>1210</v>
      </c>
      <c r="C873" s="8" t="s">
        <v>359</v>
      </c>
      <c r="D873" s="8" t="s">
        <v>360</v>
      </c>
      <c r="E873" s="9" t="n">
        <v>-1.2</v>
      </c>
      <c r="F873" s="8" t="s">
        <v>25</v>
      </c>
    </row>
    <row r="874" customFormat="false" ht="15" hidden="false" customHeight="true" outlineLevel="0" collapsed="false">
      <c r="A874" s="34" t="n">
        <v>45908</v>
      </c>
      <c r="B874" s="8" t="s">
        <v>1210</v>
      </c>
      <c r="C874" s="8" t="s">
        <v>373</v>
      </c>
      <c r="D874" s="8"/>
      <c r="E874" s="9" t="n">
        <v>-17</v>
      </c>
      <c r="F874" s="8" t="s">
        <v>25</v>
      </c>
    </row>
    <row r="875" customFormat="false" ht="15" hidden="false" customHeight="true" outlineLevel="0" collapsed="false">
      <c r="A875" s="34" t="n">
        <v>45908</v>
      </c>
      <c r="B875" s="8" t="s">
        <v>1210</v>
      </c>
      <c r="C875" s="8" t="s">
        <v>380</v>
      </c>
      <c r="D875" s="8" t="s">
        <v>381</v>
      </c>
      <c r="E875" s="9" t="n">
        <v>-572.98</v>
      </c>
      <c r="F875" s="8" t="s">
        <v>12</v>
      </c>
    </row>
    <row r="876" customFormat="false" ht="15" hidden="false" customHeight="true" outlineLevel="0" collapsed="false">
      <c r="A876" s="34" t="n">
        <v>45908</v>
      </c>
      <c r="B876" s="8" t="s">
        <v>1210</v>
      </c>
      <c r="C876" s="8" t="s">
        <v>377</v>
      </c>
      <c r="D876" s="8" t="s">
        <v>378</v>
      </c>
      <c r="E876" s="9" t="n">
        <v>-28.2</v>
      </c>
      <c r="F876" s="8" t="s">
        <v>25</v>
      </c>
    </row>
    <row r="877" customFormat="false" ht="15" hidden="false" customHeight="true" outlineLevel="0" collapsed="false">
      <c r="A877" s="34" t="n">
        <v>45908</v>
      </c>
      <c r="B877" s="8" t="s">
        <v>1211</v>
      </c>
      <c r="C877" s="8" t="s">
        <v>313</v>
      </c>
      <c r="D877" s="8" t="s">
        <v>33</v>
      </c>
      <c r="E877" s="9" t="n">
        <v>-12.1</v>
      </c>
      <c r="F877" s="8" t="s">
        <v>19</v>
      </c>
    </row>
    <row r="878" customFormat="false" ht="15" hidden="false" customHeight="true" outlineLevel="0" collapsed="false">
      <c r="A878" s="34" t="n">
        <v>45908</v>
      </c>
      <c r="B878" s="8" t="s">
        <v>1212</v>
      </c>
      <c r="C878" s="8" t="s">
        <v>313</v>
      </c>
      <c r="D878" s="8" t="s">
        <v>33</v>
      </c>
      <c r="E878" s="9" t="n">
        <v>-74.93</v>
      </c>
      <c r="F878" s="8" t="s">
        <v>19</v>
      </c>
    </row>
    <row r="879" customFormat="false" ht="15" hidden="false" customHeight="true" outlineLevel="0" collapsed="false">
      <c r="A879" s="34" t="n">
        <v>45908</v>
      </c>
      <c r="B879" s="8" t="s">
        <v>1210</v>
      </c>
      <c r="C879" s="8" t="s">
        <v>382</v>
      </c>
      <c r="D879" s="8" t="s">
        <v>383</v>
      </c>
      <c r="E879" s="9" t="n">
        <v>-15.6</v>
      </c>
      <c r="F879" s="8" t="s">
        <v>25</v>
      </c>
    </row>
    <row r="880" customFormat="false" ht="15" hidden="false" customHeight="true" outlineLevel="0" collapsed="false">
      <c r="A880" s="34" t="n">
        <v>45908</v>
      </c>
      <c r="B880" s="8" t="s">
        <v>1213</v>
      </c>
      <c r="C880" s="8" t="s">
        <v>310</v>
      </c>
      <c r="D880" s="8" t="s">
        <v>497</v>
      </c>
      <c r="E880" s="9" t="n">
        <v>-38.48</v>
      </c>
      <c r="F880" s="8" t="s">
        <v>32</v>
      </c>
    </row>
    <row r="881" customFormat="false" ht="15" hidden="false" customHeight="true" outlineLevel="0" collapsed="false">
      <c r="A881" s="34" t="n">
        <v>45909</v>
      </c>
      <c r="B881" s="8" t="s">
        <v>1214</v>
      </c>
      <c r="C881" s="8" t="s">
        <v>313</v>
      </c>
      <c r="D881" s="8" t="s">
        <v>346</v>
      </c>
      <c r="E881" s="9" t="n">
        <v>-1.7</v>
      </c>
      <c r="F881" s="8" t="s">
        <v>19</v>
      </c>
    </row>
    <row r="882" customFormat="false" ht="15" hidden="false" customHeight="true" outlineLevel="0" collapsed="false">
      <c r="A882" s="34" t="n">
        <v>45909</v>
      </c>
      <c r="B882" s="8" t="s">
        <v>1215</v>
      </c>
      <c r="C882" s="8" t="s">
        <v>313</v>
      </c>
      <c r="D882" s="8" t="s">
        <v>341</v>
      </c>
      <c r="E882" s="9" t="n">
        <v>-10.7</v>
      </c>
      <c r="F882" s="8" t="s">
        <v>19</v>
      </c>
    </row>
    <row r="883" customFormat="false" ht="15" hidden="false" customHeight="true" outlineLevel="0" collapsed="false">
      <c r="A883" s="34" t="n">
        <v>45909</v>
      </c>
      <c r="B883" s="8" t="s">
        <v>1216</v>
      </c>
      <c r="C883" s="8" t="s">
        <v>313</v>
      </c>
      <c r="D883" s="8" t="s">
        <v>344</v>
      </c>
      <c r="E883" s="9" t="n">
        <v>-11.75</v>
      </c>
      <c r="F883" s="8" t="s">
        <v>13</v>
      </c>
    </row>
    <row r="884" customFormat="false" ht="15" hidden="false" customHeight="true" outlineLevel="0" collapsed="false">
      <c r="A884" s="34" t="n">
        <v>45909</v>
      </c>
      <c r="B884" s="8" t="s">
        <v>1217</v>
      </c>
      <c r="C884" s="8" t="s">
        <v>313</v>
      </c>
      <c r="D884" s="8" t="s">
        <v>455</v>
      </c>
      <c r="E884" s="9" t="n">
        <v>-4.62</v>
      </c>
      <c r="F884" s="8" t="s">
        <v>17</v>
      </c>
    </row>
    <row r="885" customFormat="false" ht="15" hidden="false" customHeight="true" outlineLevel="0" collapsed="false">
      <c r="A885" s="34" t="n">
        <v>45909</v>
      </c>
      <c r="B885" s="8" t="s">
        <v>1218</v>
      </c>
      <c r="C885" s="8" t="s">
        <v>313</v>
      </c>
      <c r="D885" s="8" t="s">
        <v>341</v>
      </c>
      <c r="E885" s="9" t="n">
        <v>-10.5</v>
      </c>
      <c r="F885" s="8" t="s">
        <v>19</v>
      </c>
    </row>
    <row r="886" customFormat="false" ht="15" hidden="false" customHeight="true" outlineLevel="0" collapsed="false">
      <c r="A886" s="34" t="n">
        <v>45910</v>
      </c>
      <c r="B886" s="8" t="s">
        <v>1219</v>
      </c>
      <c r="C886" s="8" t="s">
        <v>310</v>
      </c>
      <c r="D886" s="8" t="s">
        <v>311</v>
      </c>
      <c r="E886" s="9" t="n">
        <v>-125.16</v>
      </c>
      <c r="F886" s="8" t="s">
        <v>26</v>
      </c>
    </row>
    <row r="887" customFormat="false" ht="15" hidden="false" customHeight="true" outlineLevel="0" collapsed="false">
      <c r="A887" s="34" t="n">
        <v>45910</v>
      </c>
      <c r="B887" s="8" t="s">
        <v>1220</v>
      </c>
      <c r="C887" s="8" t="s">
        <v>310</v>
      </c>
      <c r="D887" s="8" t="s">
        <v>355</v>
      </c>
      <c r="E887" s="9" t="n">
        <v>-78.46</v>
      </c>
      <c r="F887" s="8" t="s">
        <v>31</v>
      </c>
    </row>
    <row r="888" customFormat="false" ht="15" hidden="false" customHeight="true" outlineLevel="0" collapsed="false">
      <c r="A888" s="34" t="n">
        <v>45910</v>
      </c>
      <c r="B888" s="8" t="s">
        <v>1221</v>
      </c>
      <c r="C888" s="8" t="s">
        <v>310</v>
      </c>
      <c r="D888" s="8" t="s">
        <v>352</v>
      </c>
      <c r="E888" s="9" t="n">
        <v>-504</v>
      </c>
      <c r="F888" s="8" t="s">
        <v>23</v>
      </c>
    </row>
    <row r="889" customFormat="false" ht="15" hidden="false" customHeight="true" outlineLevel="0" collapsed="false">
      <c r="A889" s="34" t="n">
        <v>45910</v>
      </c>
      <c r="B889" s="8" t="s">
        <v>1222</v>
      </c>
      <c r="C889" s="8" t="s">
        <v>313</v>
      </c>
      <c r="D889" s="8" t="s">
        <v>481</v>
      </c>
      <c r="E889" s="9" t="n">
        <v>-3.99</v>
      </c>
      <c r="F889" s="8" t="s">
        <v>20</v>
      </c>
    </row>
    <row r="890" customFormat="false" ht="15" hidden="false" customHeight="true" outlineLevel="0" collapsed="false">
      <c r="A890" s="34" t="n">
        <v>45910</v>
      </c>
      <c r="B890" s="8" t="s">
        <v>1219</v>
      </c>
      <c r="C890" s="8" t="s">
        <v>310</v>
      </c>
      <c r="D890" s="8" t="s">
        <v>348</v>
      </c>
      <c r="E890" s="9" t="n">
        <v>-130.67</v>
      </c>
      <c r="F890" s="8" t="s">
        <v>26</v>
      </c>
    </row>
    <row r="891" customFormat="false" ht="15" hidden="false" customHeight="true" outlineLevel="0" collapsed="false">
      <c r="A891" s="34" t="n">
        <v>45910</v>
      </c>
      <c r="B891" s="8" t="s">
        <v>1223</v>
      </c>
      <c r="C891" s="8" t="s">
        <v>313</v>
      </c>
      <c r="D891" s="8" t="s">
        <v>33</v>
      </c>
      <c r="E891" s="9" t="n">
        <v>-8.58</v>
      </c>
      <c r="F891" s="8" t="s">
        <v>19</v>
      </c>
    </row>
    <row r="892" customFormat="false" ht="15" hidden="false" customHeight="true" outlineLevel="0" collapsed="false">
      <c r="A892" s="34" t="n">
        <v>45910</v>
      </c>
      <c r="B892" s="8" t="s">
        <v>1224</v>
      </c>
      <c r="C892" s="8" t="s">
        <v>313</v>
      </c>
      <c r="D892" s="8" t="s">
        <v>1225</v>
      </c>
      <c r="E892" s="9" t="n">
        <v>-63.97</v>
      </c>
      <c r="F892" s="8" t="s">
        <v>19</v>
      </c>
    </row>
    <row r="893" customFormat="false" ht="15" hidden="false" customHeight="true" outlineLevel="0" collapsed="false">
      <c r="A893" s="34" t="n">
        <v>45911</v>
      </c>
      <c r="B893" s="8" t="s">
        <v>1226</v>
      </c>
      <c r="C893" s="8" t="s">
        <v>313</v>
      </c>
      <c r="D893" s="8" t="s">
        <v>337</v>
      </c>
      <c r="E893" s="9" t="n">
        <v>-31.18</v>
      </c>
      <c r="F893" s="8" t="s">
        <v>19</v>
      </c>
    </row>
    <row r="894" customFormat="false" ht="15" hidden="false" customHeight="true" outlineLevel="0" collapsed="false">
      <c r="A894" s="34" t="n">
        <v>45911</v>
      </c>
      <c r="B894" s="8" t="s">
        <v>1227</v>
      </c>
      <c r="C894" s="8" t="s">
        <v>313</v>
      </c>
      <c r="D894" s="8" t="s">
        <v>346</v>
      </c>
      <c r="E894" s="9" t="n">
        <v>-10.7</v>
      </c>
      <c r="F894" s="8" t="s">
        <v>19</v>
      </c>
    </row>
    <row r="895" customFormat="false" ht="15" hidden="false" customHeight="true" outlineLevel="0" collapsed="false">
      <c r="A895" s="34" t="n">
        <v>45911</v>
      </c>
      <c r="B895" s="8" t="s">
        <v>1228</v>
      </c>
      <c r="C895" s="8" t="s">
        <v>313</v>
      </c>
      <c r="D895" s="8" t="s">
        <v>723</v>
      </c>
      <c r="E895" s="9" t="n">
        <v>-821.82</v>
      </c>
      <c r="F895" s="8" t="s">
        <v>18</v>
      </c>
    </row>
    <row r="896" customFormat="false" ht="15" hidden="false" customHeight="true" outlineLevel="0" collapsed="false">
      <c r="A896" s="34" t="n">
        <v>45911</v>
      </c>
      <c r="B896" s="8" t="s">
        <v>918</v>
      </c>
      <c r="C896" s="8" t="s">
        <v>365</v>
      </c>
      <c r="D896" s="8" t="s">
        <v>364</v>
      </c>
      <c r="E896" s="9" t="n">
        <v>-0.61</v>
      </c>
      <c r="F896" s="8" t="s">
        <v>25</v>
      </c>
    </row>
    <row r="897" customFormat="false" ht="15" hidden="false" customHeight="true" outlineLevel="0" collapsed="false">
      <c r="A897" s="34" t="n">
        <v>45911</v>
      </c>
      <c r="B897" s="8" t="s">
        <v>1229</v>
      </c>
      <c r="C897" s="8" t="s">
        <v>313</v>
      </c>
      <c r="D897" s="8" t="s">
        <v>400</v>
      </c>
      <c r="E897" s="9" t="n">
        <v>-838.98</v>
      </c>
      <c r="F897" s="8" t="s">
        <v>20</v>
      </c>
    </row>
    <row r="898" customFormat="false" ht="15" hidden="false" customHeight="true" outlineLevel="0" collapsed="false">
      <c r="A898" s="34" t="n">
        <v>45911</v>
      </c>
      <c r="B898" s="8" t="s">
        <v>1230</v>
      </c>
      <c r="C898" s="8" t="s">
        <v>911</v>
      </c>
      <c r="D898" s="8" t="s">
        <v>497</v>
      </c>
      <c r="E898" s="9" t="n">
        <v>38.48</v>
      </c>
      <c r="F898" s="8" t="s">
        <v>25</v>
      </c>
    </row>
    <row r="899" customFormat="false" ht="15" hidden="false" customHeight="true" outlineLevel="0" collapsed="false">
      <c r="A899" s="34" t="n">
        <v>45911</v>
      </c>
      <c r="B899" s="8" t="s">
        <v>1231</v>
      </c>
      <c r="C899" s="8" t="s">
        <v>333</v>
      </c>
      <c r="D899" s="8" t="s">
        <v>334</v>
      </c>
      <c r="E899" s="9" t="n">
        <v>126.61</v>
      </c>
      <c r="F899" s="8" t="s">
        <v>335</v>
      </c>
    </row>
    <row r="900" customFormat="false" ht="15" hidden="false" customHeight="true" outlineLevel="0" collapsed="false">
      <c r="A900" s="34" t="n">
        <v>45911</v>
      </c>
      <c r="B900" s="8" t="s">
        <v>918</v>
      </c>
      <c r="C900" s="8" t="s">
        <v>313</v>
      </c>
      <c r="D900" s="8" t="s">
        <v>364</v>
      </c>
      <c r="E900" s="9" t="n">
        <v>-41.25</v>
      </c>
      <c r="F900" s="8" t="s">
        <v>20</v>
      </c>
    </row>
    <row r="901" customFormat="false" ht="15" hidden="false" customHeight="true" outlineLevel="0" collapsed="false">
      <c r="A901" s="34" t="n">
        <v>45911</v>
      </c>
      <c r="B901" s="8" t="s">
        <v>1232</v>
      </c>
      <c r="C901" s="8" t="s">
        <v>313</v>
      </c>
      <c r="D901" s="8" t="s">
        <v>346</v>
      </c>
      <c r="E901" s="9" t="n">
        <v>-10.7</v>
      </c>
      <c r="F901" s="8" t="s">
        <v>19</v>
      </c>
    </row>
    <row r="902" customFormat="false" ht="15" hidden="false" customHeight="true" outlineLevel="0" collapsed="false">
      <c r="A902" s="34" t="n">
        <v>45912</v>
      </c>
      <c r="B902" s="8" t="s">
        <v>1233</v>
      </c>
      <c r="C902" s="8" t="s">
        <v>361</v>
      </c>
      <c r="D902" s="8" t="s">
        <v>1234</v>
      </c>
      <c r="E902" s="9" t="n">
        <v>22381.75</v>
      </c>
      <c r="F902" s="8" t="s">
        <v>335</v>
      </c>
    </row>
    <row r="903" customFormat="false" ht="15" hidden="false" customHeight="true" outlineLevel="0" collapsed="false">
      <c r="A903" s="34" t="n">
        <v>45912</v>
      </c>
      <c r="B903" s="8" t="s">
        <v>1235</v>
      </c>
      <c r="C903" s="8" t="s">
        <v>313</v>
      </c>
      <c r="D903" s="8" t="s">
        <v>33</v>
      </c>
      <c r="E903" s="9" t="n">
        <v>-73.29</v>
      </c>
      <c r="F903" s="8" t="s">
        <v>19</v>
      </c>
    </row>
    <row r="904" customFormat="false" ht="15" hidden="false" customHeight="true" outlineLevel="0" collapsed="false">
      <c r="A904" s="34" t="n">
        <v>45912</v>
      </c>
      <c r="B904" s="8" t="s">
        <v>1233</v>
      </c>
      <c r="C904" s="8" t="s">
        <v>359</v>
      </c>
      <c r="D904" s="8" t="s">
        <v>360</v>
      </c>
      <c r="E904" s="9" t="n">
        <v>-1.2</v>
      </c>
      <c r="F904" s="8" t="s">
        <v>25</v>
      </c>
    </row>
    <row r="905" customFormat="false" ht="15" hidden="false" customHeight="true" outlineLevel="0" collapsed="false">
      <c r="A905" s="34" t="n">
        <v>45915</v>
      </c>
      <c r="B905" s="8" t="s">
        <v>1236</v>
      </c>
      <c r="C905" s="8" t="s">
        <v>375</v>
      </c>
      <c r="D905" s="8" t="s">
        <v>376</v>
      </c>
      <c r="E905" s="9" t="n">
        <v>-24.03</v>
      </c>
      <c r="F905" s="8" t="s">
        <v>25</v>
      </c>
    </row>
    <row r="906" customFormat="false" ht="15" hidden="false" customHeight="true" outlineLevel="0" collapsed="false">
      <c r="A906" s="34" t="n">
        <v>45915</v>
      </c>
      <c r="B906" s="8" t="s">
        <v>1237</v>
      </c>
      <c r="C906" s="8" t="s">
        <v>313</v>
      </c>
      <c r="D906" s="8" t="s">
        <v>33</v>
      </c>
      <c r="E906" s="9" t="n">
        <v>-84.1</v>
      </c>
      <c r="F906" s="8" t="s">
        <v>19</v>
      </c>
    </row>
    <row r="907" customFormat="false" ht="15" hidden="false" customHeight="true" outlineLevel="0" collapsed="false">
      <c r="A907" s="34" t="n">
        <v>45915</v>
      </c>
      <c r="B907" s="8" t="s">
        <v>1238</v>
      </c>
      <c r="C907" s="8" t="s">
        <v>313</v>
      </c>
      <c r="D907" s="8" t="s">
        <v>331</v>
      </c>
      <c r="E907" s="9" t="n">
        <v>-43</v>
      </c>
      <c r="F907" s="8" t="s">
        <v>17</v>
      </c>
    </row>
    <row r="908" customFormat="false" ht="15" hidden="false" customHeight="true" outlineLevel="0" collapsed="false">
      <c r="A908" s="34" t="n">
        <v>45915</v>
      </c>
      <c r="B908" s="8" t="s">
        <v>1239</v>
      </c>
      <c r="C908" s="8" t="s">
        <v>310</v>
      </c>
      <c r="D908" s="8" t="s">
        <v>400</v>
      </c>
      <c r="E908" s="9" t="n">
        <v>-90.67</v>
      </c>
      <c r="F908" s="8" t="s">
        <v>20</v>
      </c>
    </row>
    <row r="909" customFormat="false" ht="15" hidden="false" customHeight="true" outlineLevel="0" collapsed="false">
      <c r="A909" s="34" t="n">
        <v>45915</v>
      </c>
      <c r="B909" s="8" t="s">
        <v>1240</v>
      </c>
      <c r="C909" s="8" t="s">
        <v>367</v>
      </c>
      <c r="D909" s="8" t="s">
        <v>412</v>
      </c>
      <c r="E909" s="9" t="n">
        <v>-800</v>
      </c>
      <c r="F909" s="8" t="s">
        <v>14</v>
      </c>
    </row>
    <row r="910" customFormat="false" ht="15" hidden="false" customHeight="true" outlineLevel="0" collapsed="false">
      <c r="A910" s="34" t="n">
        <v>45915</v>
      </c>
      <c r="B910" s="8" t="s">
        <v>356</v>
      </c>
      <c r="C910" s="8" t="s">
        <v>384</v>
      </c>
      <c r="D910" s="8"/>
      <c r="E910" s="9" t="n">
        <v>-7.69</v>
      </c>
      <c r="F910" s="8" t="s">
        <v>25</v>
      </c>
    </row>
    <row r="911" customFormat="false" ht="15" hidden="false" customHeight="true" outlineLevel="0" collapsed="false">
      <c r="A911" s="34" t="n">
        <v>45915</v>
      </c>
      <c r="B911" s="8" t="s">
        <v>1241</v>
      </c>
      <c r="C911" s="8" t="s">
        <v>313</v>
      </c>
      <c r="D911" s="8" t="s">
        <v>1242</v>
      </c>
      <c r="E911" s="9" t="n">
        <v>-1556.34</v>
      </c>
      <c r="F911" s="8" t="s">
        <v>12</v>
      </c>
    </row>
    <row r="912" customFormat="false" ht="15" hidden="false" customHeight="true" outlineLevel="0" collapsed="false">
      <c r="A912" s="34" t="n">
        <v>45915</v>
      </c>
      <c r="B912" s="8" t="s">
        <v>1241</v>
      </c>
      <c r="C912" s="8" t="s">
        <v>365</v>
      </c>
      <c r="D912" s="8" t="s">
        <v>1242</v>
      </c>
      <c r="E912" s="9" t="n">
        <v>-45.13</v>
      </c>
      <c r="F912" s="8" t="s">
        <v>25</v>
      </c>
    </row>
    <row r="913" customFormat="false" ht="15" hidden="false" customHeight="true" outlineLevel="0" collapsed="false">
      <c r="A913" s="34" t="n">
        <v>45915</v>
      </c>
      <c r="B913" s="8" t="s">
        <v>1243</v>
      </c>
      <c r="C913" s="8" t="s">
        <v>313</v>
      </c>
      <c r="D913" s="8" t="s">
        <v>777</v>
      </c>
      <c r="E913" s="9" t="n">
        <v>-84.05</v>
      </c>
      <c r="F913" s="8" t="s">
        <v>28</v>
      </c>
    </row>
    <row r="914" customFormat="false" ht="15" hidden="false" customHeight="true" outlineLevel="0" collapsed="false">
      <c r="A914" s="34" t="n">
        <v>45916</v>
      </c>
      <c r="B914" s="8" t="s">
        <v>1244</v>
      </c>
      <c r="C914" s="8" t="s">
        <v>359</v>
      </c>
      <c r="D914" s="8" t="s">
        <v>360</v>
      </c>
      <c r="E914" s="9" t="n">
        <v>-1.2</v>
      </c>
      <c r="F914" s="8" t="s">
        <v>25</v>
      </c>
    </row>
    <row r="915" customFormat="false" ht="15" hidden="false" customHeight="true" outlineLevel="0" collapsed="false">
      <c r="A915" s="34" t="n">
        <v>45916</v>
      </c>
      <c r="B915" s="8" t="s">
        <v>1244</v>
      </c>
      <c r="C915" s="8" t="s">
        <v>382</v>
      </c>
      <c r="D915" s="8" t="s">
        <v>658</v>
      </c>
      <c r="E915" s="9" t="n">
        <v>-21.6</v>
      </c>
      <c r="F915" s="8" t="s">
        <v>25</v>
      </c>
    </row>
    <row r="916" customFormat="false" ht="15" hidden="false" customHeight="true" outlineLevel="0" collapsed="false">
      <c r="A916" s="34" t="n">
        <v>45916</v>
      </c>
      <c r="B916" s="8" t="s">
        <v>1244</v>
      </c>
      <c r="C916" s="8" t="s">
        <v>380</v>
      </c>
      <c r="D916" s="8" t="s">
        <v>1245</v>
      </c>
      <c r="E916" s="9" t="n">
        <v>-813</v>
      </c>
      <c r="F916" s="8" t="s">
        <v>18</v>
      </c>
    </row>
    <row r="917" customFormat="false" ht="15" hidden="false" customHeight="true" outlineLevel="0" collapsed="false">
      <c r="A917" s="34" t="n">
        <v>45916</v>
      </c>
      <c r="B917" s="8" t="s">
        <v>1246</v>
      </c>
      <c r="C917" s="8" t="s">
        <v>313</v>
      </c>
      <c r="D917" s="8" t="s">
        <v>777</v>
      </c>
      <c r="E917" s="9" t="n">
        <v>-43.99</v>
      </c>
      <c r="F917" s="8" t="s">
        <v>28</v>
      </c>
    </row>
    <row r="918" customFormat="false" ht="15" hidden="false" customHeight="true" outlineLevel="0" collapsed="false">
      <c r="A918" s="34" t="n">
        <v>45916</v>
      </c>
      <c r="B918" s="8" t="s">
        <v>1244</v>
      </c>
      <c r="C918" s="8" t="s">
        <v>377</v>
      </c>
      <c r="D918" s="8" t="s">
        <v>378</v>
      </c>
      <c r="E918" s="9" t="n">
        <v>-28.2</v>
      </c>
      <c r="F918" s="8" t="s">
        <v>25</v>
      </c>
    </row>
    <row r="919" customFormat="false" ht="15" hidden="false" customHeight="true" outlineLevel="0" collapsed="false">
      <c r="A919" s="34" t="n">
        <v>45916</v>
      </c>
      <c r="B919" s="8" t="s">
        <v>1247</v>
      </c>
      <c r="C919" s="8" t="s">
        <v>310</v>
      </c>
      <c r="D919" s="8" t="s">
        <v>390</v>
      </c>
      <c r="E919" s="9" t="n">
        <v>-2886</v>
      </c>
      <c r="F919" s="8" t="s">
        <v>15</v>
      </c>
    </row>
    <row r="920" customFormat="false" ht="15" hidden="false" customHeight="true" outlineLevel="0" collapsed="false">
      <c r="A920" s="34" t="n">
        <v>45917</v>
      </c>
      <c r="B920" s="8" t="s">
        <v>1248</v>
      </c>
      <c r="C920" s="8" t="s">
        <v>367</v>
      </c>
      <c r="D920" s="8" t="s">
        <v>423</v>
      </c>
      <c r="E920" s="9" t="n">
        <v>-3705.92</v>
      </c>
      <c r="F920" s="8" t="s">
        <v>10</v>
      </c>
    </row>
    <row r="921" customFormat="false" ht="15" hidden="false" customHeight="true" outlineLevel="0" collapsed="false">
      <c r="A921" s="34" t="n">
        <v>45917</v>
      </c>
      <c r="B921" s="8" t="s">
        <v>1249</v>
      </c>
      <c r="C921" s="8" t="s">
        <v>313</v>
      </c>
      <c r="D921" s="8" t="s">
        <v>481</v>
      </c>
      <c r="E921" s="9" t="n">
        <v>-3.99</v>
      </c>
      <c r="F921" s="8" t="s">
        <v>20</v>
      </c>
    </row>
    <row r="922" customFormat="false" ht="15" hidden="false" customHeight="true" outlineLevel="0" collapsed="false">
      <c r="A922" s="34" t="n">
        <v>45918</v>
      </c>
      <c r="B922" s="8" t="s">
        <v>1250</v>
      </c>
      <c r="C922" s="8" t="s">
        <v>1011</v>
      </c>
      <c r="D922" s="8" t="s">
        <v>1012</v>
      </c>
      <c r="E922" s="9" t="n">
        <v>-3.98</v>
      </c>
      <c r="F922" s="8" t="s">
        <v>25</v>
      </c>
    </row>
    <row r="923" customFormat="false" ht="15" hidden="false" customHeight="true" outlineLevel="0" collapsed="false">
      <c r="A923" s="34" t="n">
        <v>45918</v>
      </c>
      <c r="B923" s="8" t="s">
        <v>1250</v>
      </c>
      <c r="C923" s="8" t="s">
        <v>359</v>
      </c>
      <c r="D923" s="8" t="s">
        <v>360</v>
      </c>
      <c r="E923" s="9" t="n">
        <v>-1.2</v>
      </c>
      <c r="F923" s="8" t="s">
        <v>25</v>
      </c>
    </row>
    <row r="924" customFormat="false" ht="15" hidden="false" customHeight="true" outlineLevel="0" collapsed="false">
      <c r="A924" s="34" t="n">
        <v>45918</v>
      </c>
      <c r="B924" s="8" t="s">
        <v>1250</v>
      </c>
      <c r="C924" s="8" t="s">
        <v>1004</v>
      </c>
      <c r="D924" s="8" t="s">
        <v>1251</v>
      </c>
      <c r="E924" s="9" t="n">
        <v>-9359.1</v>
      </c>
      <c r="F924" s="8" t="s">
        <v>21</v>
      </c>
    </row>
    <row r="925" customFormat="false" ht="15" hidden="false" customHeight="true" outlineLevel="0" collapsed="false">
      <c r="A925" s="34" t="n">
        <v>45918</v>
      </c>
      <c r="B925" s="8" t="s">
        <v>1252</v>
      </c>
      <c r="C925" s="8" t="s">
        <v>313</v>
      </c>
      <c r="D925" s="8" t="s">
        <v>33</v>
      </c>
      <c r="E925" s="9" t="n">
        <v>-56.9</v>
      </c>
      <c r="F925" s="8" t="s">
        <v>19</v>
      </c>
    </row>
    <row r="926" customFormat="false" ht="15" hidden="false" customHeight="true" outlineLevel="0" collapsed="false">
      <c r="A926" s="34" t="n">
        <v>45919</v>
      </c>
      <c r="B926" s="8" t="s">
        <v>1253</v>
      </c>
      <c r="C926" s="8" t="s">
        <v>333</v>
      </c>
      <c r="D926" s="8" t="s">
        <v>334</v>
      </c>
      <c r="E926" s="9" t="n">
        <v>163.76</v>
      </c>
      <c r="F926" s="8" t="s">
        <v>335</v>
      </c>
    </row>
    <row r="927" customFormat="false" ht="15" hidden="false" customHeight="true" outlineLevel="0" collapsed="false">
      <c r="A927" s="34" t="n">
        <v>45923</v>
      </c>
      <c r="B927" s="8" t="s">
        <v>1254</v>
      </c>
      <c r="C927" s="8" t="s">
        <v>414</v>
      </c>
      <c r="D927" s="8" t="s">
        <v>415</v>
      </c>
      <c r="E927" s="9" t="n">
        <v>-192</v>
      </c>
      <c r="F927" s="8" t="s">
        <v>15</v>
      </c>
    </row>
    <row r="928" customFormat="false" ht="15" hidden="false" customHeight="true" outlineLevel="0" collapsed="false">
      <c r="A928" s="34" t="n">
        <v>45923</v>
      </c>
      <c r="B928" s="8" t="s">
        <v>1255</v>
      </c>
      <c r="C928" s="8" t="s">
        <v>313</v>
      </c>
      <c r="D928" s="8" t="s">
        <v>1256</v>
      </c>
      <c r="E928" s="9" t="n">
        <v>-6.3</v>
      </c>
      <c r="F928" s="8" t="s">
        <v>30</v>
      </c>
    </row>
    <row r="929" customFormat="false" ht="15" hidden="false" customHeight="true" outlineLevel="0" collapsed="false">
      <c r="A929" s="34" t="n">
        <v>45923</v>
      </c>
      <c r="B929" s="8" t="s">
        <v>1257</v>
      </c>
      <c r="C929" s="8" t="s">
        <v>313</v>
      </c>
      <c r="D929" s="8" t="s">
        <v>393</v>
      </c>
      <c r="E929" s="9" t="n">
        <v>-6.5</v>
      </c>
      <c r="F929" s="8" t="s">
        <v>19</v>
      </c>
    </row>
    <row r="930" customFormat="false" ht="15" hidden="false" customHeight="true" outlineLevel="0" collapsed="false">
      <c r="A930" s="34" t="n">
        <v>45923</v>
      </c>
      <c r="B930" s="8" t="s">
        <v>1258</v>
      </c>
      <c r="C930" s="8" t="s">
        <v>310</v>
      </c>
      <c r="D930" s="8" t="s">
        <v>390</v>
      </c>
      <c r="E930" s="9" t="n">
        <v>-129</v>
      </c>
      <c r="F930" s="8" t="s">
        <v>15</v>
      </c>
    </row>
    <row r="931" customFormat="false" ht="15" hidden="false" customHeight="true" outlineLevel="0" collapsed="false">
      <c r="A931" s="34" t="n">
        <v>45923</v>
      </c>
      <c r="B931" s="8" t="s">
        <v>1259</v>
      </c>
      <c r="C931" s="8" t="s">
        <v>333</v>
      </c>
      <c r="D931" s="8" t="s">
        <v>334</v>
      </c>
      <c r="E931" s="9" t="n">
        <v>138.19</v>
      </c>
      <c r="F931" s="8" t="s">
        <v>335</v>
      </c>
    </row>
    <row r="932" customFormat="false" ht="15" hidden="false" customHeight="true" outlineLevel="0" collapsed="false">
      <c r="A932" s="34" t="n">
        <v>45923</v>
      </c>
      <c r="B932" s="8" t="s">
        <v>1257</v>
      </c>
      <c r="C932" s="8" t="s">
        <v>313</v>
      </c>
      <c r="D932" s="8" t="s">
        <v>393</v>
      </c>
      <c r="E932" s="9" t="n">
        <v>-9.45</v>
      </c>
      <c r="F932" s="8" t="s">
        <v>19</v>
      </c>
    </row>
    <row r="933" customFormat="false" ht="15" hidden="false" customHeight="true" outlineLevel="0" collapsed="false">
      <c r="A933" s="34" t="n">
        <v>45924</v>
      </c>
      <c r="B933" s="8" t="s">
        <v>1260</v>
      </c>
      <c r="C933" s="8" t="s">
        <v>313</v>
      </c>
      <c r="D933" s="8" t="s">
        <v>341</v>
      </c>
      <c r="E933" s="9" t="n">
        <v>-10.7</v>
      </c>
      <c r="F933" s="8" t="s">
        <v>19</v>
      </c>
    </row>
    <row r="934" customFormat="false" ht="15" hidden="false" customHeight="true" outlineLevel="0" collapsed="false">
      <c r="A934" s="34" t="n">
        <v>45924</v>
      </c>
      <c r="B934" s="8" t="s">
        <v>1261</v>
      </c>
      <c r="C934" s="8" t="s">
        <v>365</v>
      </c>
      <c r="D934" s="8" t="s">
        <v>1262</v>
      </c>
      <c r="E934" s="9" t="n">
        <v>-0.41</v>
      </c>
      <c r="F934" s="8" t="s">
        <v>25</v>
      </c>
    </row>
    <row r="935" customFormat="false" ht="15" hidden="false" customHeight="true" outlineLevel="0" collapsed="false">
      <c r="A935" s="34" t="n">
        <v>45924</v>
      </c>
      <c r="B935" s="8" t="s">
        <v>1261</v>
      </c>
      <c r="C935" s="8" t="s">
        <v>313</v>
      </c>
      <c r="D935" s="8" t="s">
        <v>1262</v>
      </c>
      <c r="E935" s="9" t="n">
        <v>-14.28</v>
      </c>
      <c r="F935" s="8" t="s">
        <v>18</v>
      </c>
    </row>
    <row r="936" customFormat="false" ht="15" hidden="false" customHeight="true" outlineLevel="0" collapsed="false">
      <c r="A936" s="34" t="n">
        <v>45924</v>
      </c>
      <c r="B936" s="8" t="s">
        <v>1263</v>
      </c>
      <c r="C936" s="8" t="s">
        <v>313</v>
      </c>
      <c r="D936" s="8" t="s">
        <v>346</v>
      </c>
      <c r="E936" s="9" t="n">
        <v>-10.7</v>
      </c>
      <c r="F936" s="8" t="s">
        <v>19</v>
      </c>
    </row>
    <row r="937" customFormat="false" ht="15" hidden="false" customHeight="true" outlineLevel="0" collapsed="false">
      <c r="A937" s="34" t="n">
        <v>45924</v>
      </c>
      <c r="B937" s="8" t="s">
        <v>1264</v>
      </c>
      <c r="C937" s="8" t="s">
        <v>373</v>
      </c>
      <c r="D937" s="8"/>
      <c r="E937" s="9" t="n">
        <v>-21.5</v>
      </c>
      <c r="F937" s="8" t="s">
        <v>25</v>
      </c>
    </row>
    <row r="938" customFormat="false" ht="15" hidden="false" customHeight="true" outlineLevel="0" collapsed="false">
      <c r="A938" s="34" t="n">
        <v>45924</v>
      </c>
      <c r="B938" s="8" t="s">
        <v>1265</v>
      </c>
      <c r="C938" s="8" t="s">
        <v>367</v>
      </c>
      <c r="D938" s="8" t="s">
        <v>1266</v>
      </c>
      <c r="E938" s="9" t="n">
        <v>-1441.6</v>
      </c>
      <c r="F938" s="8" t="s">
        <v>17</v>
      </c>
    </row>
    <row r="939" customFormat="false" ht="15" hidden="false" customHeight="true" outlineLevel="0" collapsed="false">
      <c r="A939" s="34" t="n">
        <v>45924</v>
      </c>
      <c r="B939" s="8" t="s">
        <v>1267</v>
      </c>
      <c r="C939" s="8" t="s">
        <v>313</v>
      </c>
      <c r="D939" s="8" t="s">
        <v>723</v>
      </c>
      <c r="E939" s="9" t="n">
        <v>-1469.78</v>
      </c>
      <c r="F939" s="8" t="s">
        <v>18</v>
      </c>
    </row>
    <row r="940" customFormat="false" ht="15" hidden="false" customHeight="true" outlineLevel="0" collapsed="false">
      <c r="A940" s="34" t="n">
        <v>45924</v>
      </c>
      <c r="B940" s="8" t="s">
        <v>1268</v>
      </c>
      <c r="C940" s="8" t="s">
        <v>313</v>
      </c>
      <c r="D940" s="8" t="s">
        <v>481</v>
      </c>
      <c r="E940" s="9" t="n">
        <v>-3.99</v>
      </c>
      <c r="F940" s="8" t="s">
        <v>20</v>
      </c>
    </row>
    <row r="941" customFormat="false" ht="15" hidden="false" customHeight="true" outlineLevel="0" collapsed="false">
      <c r="A941" s="34" t="n">
        <v>45924</v>
      </c>
      <c r="B941" s="8" t="s">
        <v>1264</v>
      </c>
      <c r="C941" s="8" t="s">
        <v>359</v>
      </c>
      <c r="D941" s="8" t="s">
        <v>360</v>
      </c>
      <c r="E941" s="9" t="n">
        <v>-1.2</v>
      </c>
      <c r="F941" s="8" t="s">
        <v>25</v>
      </c>
    </row>
    <row r="942" customFormat="false" ht="15" hidden="false" customHeight="true" outlineLevel="0" collapsed="false">
      <c r="A942" s="34" t="n">
        <v>45924</v>
      </c>
      <c r="B942" s="8" t="s">
        <v>1264</v>
      </c>
      <c r="C942" s="8" t="s">
        <v>377</v>
      </c>
      <c r="D942" s="8" t="s">
        <v>378</v>
      </c>
      <c r="E942" s="9" t="n">
        <v>-28.2</v>
      </c>
      <c r="F942" s="8" t="s">
        <v>25</v>
      </c>
    </row>
    <row r="943" customFormat="false" ht="15" hidden="false" customHeight="true" outlineLevel="0" collapsed="false">
      <c r="A943" s="34" t="n">
        <v>45924</v>
      </c>
      <c r="B943" s="8" t="s">
        <v>1269</v>
      </c>
      <c r="C943" s="8" t="s">
        <v>313</v>
      </c>
      <c r="D943" s="8" t="s">
        <v>1021</v>
      </c>
      <c r="E943" s="9" t="n">
        <v>-126.49</v>
      </c>
      <c r="F943" s="8" t="s">
        <v>18</v>
      </c>
    </row>
    <row r="944" customFormat="false" ht="15" hidden="false" customHeight="true" outlineLevel="0" collapsed="false">
      <c r="A944" s="34" t="n">
        <v>45924</v>
      </c>
      <c r="B944" s="8" t="s">
        <v>1264</v>
      </c>
      <c r="C944" s="8" t="s">
        <v>380</v>
      </c>
      <c r="D944" s="8" t="s">
        <v>381</v>
      </c>
      <c r="E944" s="9" t="n">
        <v>-225.8</v>
      </c>
      <c r="F944" s="8" t="s">
        <v>12</v>
      </c>
    </row>
    <row r="945" customFormat="false" ht="15" hidden="false" customHeight="true" outlineLevel="0" collapsed="false">
      <c r="A945" s="34" t="n">
        <v>45924</v>
      </c>
      <c r="B945" s="8" t="s">
        <v>1270</v>
      </c>
      <c r="C945" s="8" t="s">
        <v>313</v>
      </c>
      <c r="D945" s="8" t="s">
        <v>344</v>
      </c>
      <c r="E945" s="9" t="n">
        <v>-21.45</v>
      </c>
      <c r="F945" s="8" t="s">
        <v>13</v>
      </c>
    </row>
    <row r="946" customFormat="false" ht="15" hidden="false" customHeight="true" outlineLevel="0" collapsed="false">
      <c r="A946" s="34" t="n">
        <v>45924</v>
      </c>
      <c r="B946" s="8" t="s">
        <v>1271</v>
      </c>
      <c r="C946" s="8" t="s">
        <v>313</v>
      </c>
      <c r="D946" s="8" t="s">
        <v>723</v>
      </c>
      <c r="E946" s="9" t="n">
        <v>-842.66</v>
      </c>
      <c r="F946" s="8" t="s">
        <v>18</v>
      </c>
    </row>
    <row r="947" customFormat="false" ht="15" hidden="false" customHeight="true" outlineLevel="0" collapsed="false">
      <c r="A947" s="34" t="n">
        <v>45924</v>
      </c>
      <c r="B947" s="8" t="s">
        <v>1267</v>
      </c>
      <c r="C947" s="8" t="s">
        <v>365</v>
      </c>
      <c r="D947" s="8" t="s">
        <v>723</v>
      </c>
      <c r="E947" s="9" t="n">
        <v>-42.62</v>
      </c>
      <c r="F947" s="8" t="s">
        <v>25</v>
      </c>
    </row>
    <row r="948" customFormat="false" ht="15" hidden="false" customHeight="true" outlineLevel="0" collapsed="false">
      <c r="A948" s="34" t="n">
        <v>45924</v>
      </c>
      <c r="B948" s="8" t="s">
        <v>1272</v>
      </c>
      <c r="C948" s="8" t="s">
        <v>313</v>
      </c>
      <c r="D948" s="8" t="s">
        <v>1273</v>
      </c>
      <c r="E948" s="9" t="n">
        <v>-14.9</v>
      </c>
      <c r="F948" s="8" t="s">
        <v>29</v>
      </c>
    </row>
    <row r="949" customFormat="false" ht="15" hidden="false" customHeight="true" outlineLevel="0" collapsed="false">
      <c r="A949" s="34" t="n">
        <v>45924</v>
      </c>
      <c r="B949" s="8" t="s">
        <v>1264</v>
      </c>
      <c r="C949" s="8" t="s">
        <v>382</v>
      </c>
      <c r="D949" s="8" t="s">
        <v>658</v>
      </c>
      <c r="E949" s="9" t="n">
        <v>-21.6</v>
      </c>
      <c r="F949" s="8" t="s">
        <v>25</v>
      </c>
    </row>
    <row r="950" customFormat="false" ht="15" hidden="false" customHeight="true" outlineLevel="0" collapsed="false">
      <c r="A950" s="34" t="n">
        <v>45925</v>
      </c>
      <c r="B950" s="8" t="s">
        <v>1274</v>
      </c>
      <c r="C950" s="8" t="s">
        <v>313</v>
      </c>
      <c r="D950" s="8" t="s">
        <v>1019</v>
      </c>
      <c r="E950" s="9" t="n">
        <v>-25.77</v>
      </c>
      <c r="F950" s="8" t="s">
        <v>29</v>
      </c>
    </row>
    <row r="951" customFormat="false" ht="15" hidden="false" customHeight="true" outlineLevel="0" collapsed="false">
      <c r="A951" s="34" t="n">
        <v>45925</v>
      </c>
      <c r="B951" s="8" t="s">
        <v>1275</v>
      </c>
      <c r="C951" s="8" t="s">
        <v>310</v>
      </c>
      <c r="D951" s="8" t="s">
        <v>400</v>
      </c>
      <c r="E951" s="9" t="n">
        <v>-389.17</v>
      </c>
      <c r="F951" s="8" t="s">
        <v>20</v>
      </c>
    </row>
    <row r="952" customFormat="false" ht="15" hidden="false" customHeight="true" outlineLevel="0" collapsed="false">
      <c r="A952" s="34" t="n">
        <v>45925</v>
      </c>
      <c r="B952" s="8" t="s">
        <v>1276</v>
      </c>
      <c r="C952" s="8" t="s">
        <v>310</v>
      </c>
      <c r="D952" s="8" t="s">
        <v>432</v>
      </c>
      <c r="E952" s="9" t="n">
        <v>-631.06</v>
      </c>
      <c r="F952" s="8" t="s">
        <v>15</v>
      </c>
    </row>
    <row r="953" customFormat="false" ht="15" hidden="false" customHeight="true" outlineLevel="0" collapsed="false">
      <c r="A953" s="34" t="n">
        <v>45925</v>
      </c>
      <c r="B953" s="8" t="s">
        <v>1277</v>
      </c>
      <c r="C953" s="8" t="s">
        <v>313</v>
      </c>
      <c r="D953" s="8" t="s">
        <v>1278</v>
      </c>
      <c r="E953" s="9" t="n">
        <v>-104.97</v>
      </c>
      <c r="F953" s="8" t="s">
        <v>20</v>
      </c>
    </row>
    <row r="954" customFormat="false" ht="15" hidden="false" customHeight="true" outlineLevel="0" collapsed="false">
      <c r="A954" s="34" t="n">
        <v>45925</v>
      </c>
      <c r="B954" s="8" t="s">
        <v>1279</v>
      </c>
      <c r="C954" s="8" t="s">
        <v>313</v>
      </c>
      <c r="D954" s="8" t="s">
        <v>623</v>
      </c>
      <c r="E954" s="9" t="n">
        <v>-2</v>
      </c>
      <c r="F954" s="8" t="s">
        <v>19</v>
      </c>
    </row>
    <row r="955" customFormat="false" ht="15" hidden="false" customHeight="true" outlineLevel="0" collapsed="false">
      <c r="A955" s="34" t="n">
        <v>45925</v>
      </c>
      <c r="B955" s="8" t="s">
        <v>1280</v>
      </c>
      <c r="C955" s="8" t="s">
        <v>313</v>
      </c>
      <c r="D955" s="8" t="s">
        <v>988</v>
      </c>
      <c r="E955" s="9" t="n">
        <v>-16.21</v>
      </c>
      <c r="F955" s="8" t="s">
        <v>18</v>
      </c>
    </row>
    <row r="956" customFormat="false" ht="15" hidden="false" customHeight="true" outlineLevel="0" collapsed="false">
      <c r="A956" s="34" t="n">
        <v>45925</v>
      </c>
      <c r="B956" s="8" t="s">
        <v>1277</v>
      </c>
      <c r="C956" s="8" t="s">
        <v>313</v>
      </c>
      <c r="D956" s="8" t="s">
        <v>1278</v>
      </c>
      <c r="E956" s="9" t="n">
        <v>-539</v>
      </c>
      <c r="F956" s="8" t="s">
        <v>20</v>
      </c>
    </row>
    <row r="957" customFormat="false" ht="15" hidden="false" customHeight="true" outlineLevel="0" collapsed="false">
      <c r="A957" s="34" t="n">
        <v>45925</v>
      </c>
      <c r="B957" s="8" t="s">
        <v>1274</v>
      </c>
      <c r="C957" s="8" t="s">
        <v>365</v>
      </c>
      <c r="D957" s="8" t="s">
        <v>1019</v>
      </c>
      <c r="E957" s="9" t="n">
        <v>-0.74</v>
      </c>
      <c r="F957" s="8" t="s">
        <v>25</v>
      </c>
    </row>
    <row r="958" customFormat="false" ht="15" hidden="false" customHeight="true" outlineLevel="0" collapsed="false">
      <c r="A958" s="34" t="n">
        <v>45925</v>
      </c>
      <c r="B958" s="8" t="s">
        <v>1277</v>
      </c>
      <c r="C958" s="8" t="s">
        <v>313</v>
      </c>
      <c r="D958" s="8" t="s">
        <v>1278</v>
      </c>
      <c r="E958" s="9" t="n">
        <v>-476.99</v>
      </c>
      <c r="F958" s="8" t="s">
        <v>20</v>
      </c>
    </row>
    <row r="959" customFormat="false" ht="15" hidden="false" customHeight="true" outlineLevel="0" collapsed="false">
      <c r="A959" s="34" t="n">
        <v>45925</v>
      </c>
      <c r="B959" s="8" t="s">
        <v>1280</v>
      </c>
      <c r="C959" s="8" t="s">
        <v>365</v>
      </c>
      <c r="D959" s="8" t="s">
        <v>988</v>
      </c>
      <c r="E959" s="9" t="n">
        <v>-0.24</v>
      </c>
      <c r="F959" s="8" t="s">
        <v>25</v>
      </c>
    </row>
    <row r="960" customFormat="false" ht="15" hidden="false" customHeight="true" outlineLevel="0" collapsed="false">
      <c r="A960" s="34" t="n">
        <v>45926</v>
      </c>
      <c r="B960" s="8" t="s">
        <v>1281</v>
      </c>
      <c r="C960" s="8" t="s">
        <v>313</v>
      </c>
      <c r="D960" s="8" t="s">
        <v>1282</v>
      </c>
      <c r="E960" s="9" t="n">
        <v>-1.5</v>
      </c>
      <c r="F960" s="8" t="s">
        <v>20</v>
      </c>
    </row>
    <row r="961" customFormat="false" ht="15" hidden="false" customHeight="true" outlineLevel="0" collapsed="false">
      <c r="A961" s="34" t="n">
        <v>45926</v>
      </c>
      <c r="B961" s="8" t="s">
        <v>1283</v>
      </c>
      <c r="C961" s="8" t="s">
        <v>313</v>
      </c>
      <c r="D961" s="8" t="s">
        <v>1273</v>
      </c>
      <c r="E961" s="9" t="n">
        <v>-17.4</v>
      </c>
      <c r="F961" s="8" t="s">
        <v>29</v>
      </c>
    </row>
    <row r="962" customFormat="false" ht="15" hidden="false" customHeight="true" outlineLevel="0" collapsed="false">
      <c r="A962" s="34" t="n">
        <v>45926</v>
      </c>
      <c r="B962" s="8" t="s">
        <v>1284</v>
      </c>
      <c r="C962" s="8" t="s">
        <v>313</v>
      </c>
      <c r="D962" s="8" t="s">
        <v>344</v>
      </c>
      <c r="E962" s="9" t="n">
        <v>-19.7</v>
      </c>
      <c r="F962" s="8" t="s">
        <v>13</v>
      </c>
    </row>
    <row r="963" customFormat="false" ht="15" hidden="false" customHeight="true" outlineLevel="0" collapsed="false">
      <c r="A963" s="34" t="n">
        <v>45926</v>
      </c>
      <c r="B963" s="8" t="s">
        <v>1285</v>
      </c>
      <c r="C963" s="8" t="s">
        <v>313</v>
      </c>
      <c r="D963" s="8" t="s">
        <v>1282</v>
      </c>
      <c r="E963" s="9" t="n">
        <v>-1.7</v>
      </c>
      <c r="F963" s="8" t="s">
        <v>20</v>
      </c>
    </row>
    <row r="964" customFormat="false" ht="15" hidden="false" customHeight="true" outlineLevel="0" collapsed="false">
      <c r="A964" s="34" t="n">
        <v>45926</v>
      </c>
      <c r="B964" s="8" t="s">
        <v>1286</v>
      </c>
      <c r="C964" s="8" t="s">
        <v>313</v>
      </c>
      <c r="D964" s="8" t="s">
        <v>1282</v>
      </c>
      <c r="E964" s="9" t="n">
        <v>-2.1</v>
      </c>
      <c r="F964" s="8" t="s">
        <v>20</v>
      </c>
    </row>
    <row r="965" customFormat="false" ht="15" hidden="false" customHeight="true" outlineLevel="0" collapsed="false">
      <c r="A965" s="34" t="n">
        <v>45929</v>
      </c>
      <c r="B965" s="8" t="s">
        <v>1287</v>
      </c>
      <c r="C965" s="8" t="s">
        <v>313</v>
      </c>
      <c r="D965" s="8" t="s">
        <v>1019</v>
      </c>
      <c r="E965" s="9" t="n">
        <v>-60.1</v>
      </c>
      <c r="F965" s="8" t="s">
        <v>29</v>
      </c>
    </row>
    <row r="966" customFormat="false" ht="15" hidden="false" customHeight="true" outlineLevel="0" collapsed="false">
      <c r="A966" s="34" t="n">
        <v>45929</v>
      </c>
      <c r="B966" s="8" t="s">
        <v>1288</v>
      </c>
      <c r="C966" s="8" t="s">
        <v>310</v>
      </c>
      <c r="D966" s="8" t="s">
        <v>678</v>
      </c>
      <c r="E966" s="9" t="n">
        <v>-15.95</v>
      </c>
      <c r="F966" s="8" t="s">
        <v>19</v>
      </c>
    </row>
    <row r="967" customFormat="false" ht="15" hidden="false" customHeight="true" outlineLevel="0" collapsed="false">
      <c r="A967" s="34" t="n">
        <v>45929</v>
      </c>
      <c r="B967" s="8" t="s">
        <v>1289</v>
      </c>
      <c r="C967" s="8" t="s">
        <v>313</v>
      </c>
      <c r="D967" s="8" t="s">
        <v>683</v>
      </c>
      <c r="E967" s="9" t="n">
        <v>-13</v>
      </c>
      <c r="F967" s="8" t="s">
        <v>20</v>
      </c>
    </row>
    <row r="968" customFormat="false" ht="15" hidden="false" customHeight="true" outlineLevel="0" collapsed="false">
      <c r="A968" s="34" t="n">
        <v>45929</v>
      </c>
      <c r="B968" s="8" t="s">
        <v>1290</v>
      </c>
      <c r="C968" s="8" t="s">
        <v>313</v>
      </c>
      <c r="D968" s="8" t="s">
        <v>988</v>
      </c>
      <c r="E968" s="9" t="n">
        <v>-18.23</v>
      </c>
      <c r="F968" s="8" t="s">
        <v>18</v>
      </c>
    </row>
    <row r="969" customFormat="false" ht="15" hidden="false" customHeight="true" outlineLevel="0" collapsed="false">
      <c r="A969" s="34" t="n">
        <v>45929</v>
      </c>
      <c r="B969" s="8" t="s">
        <v>1291</v>
      </c>
      <c r="C969" s="8" t="s">
        <v>313</v>
      </c>
      <c r="D969" s="8" t="s">
        <v>1021</v>
      </c>
      <c r="E969" s="9" t="n">
        <v>-107.63</v>
      </c>
      <c r="F969" s="8" t="s">
        <v>18</v>
      </c>
    </row>
    <row r="970" customFormat="false" ht="15" hidden="false" customHeight="true" outlineLevel="0" collapsed="false">
      <c r="A970" s="34" t="n">
        <v>45929</v>
      </c>
      <c r="B970" s="8" t="s">
        <v>1292</v>
      </c>
      <c r="C970" s="8" t="s">
        <v>313</v>
      </c>
      <c r="D970" s="8" t="s">
        <v>988</v>
      </c>
      <c r="E970" s="9" t="n">
        <v>-57.54</v>
      </c>
      <c r="F970" s="8" t="s">
        <v>18</v>
      </c>
    </row>
    <row r="971" customFormat="false" ht="15" hidden="false" customHeight="true" outlineLevel="0" collapsed="false">
      <c r="A971" s="34" t="n">
        <v>45929</v>
      </c>
      <c r="B971" s="8" t="s">
        <v>1293</v>
      </c>
      <c r="C971" s="8" t="s">
        <v>313</v>
      </c>
      <c r="D971" s="8" t="s">
        <v>331</v>
      </c>
      <c r="E971" s="9" t="n">
        <v>-43</v>
      </c>
      <c r="F971" s="8" t="s">
        <v>17</v>
      </c>
    </row>
    <row r="972" customFormat="false" ht="15" hidden="false" customHeight="true" outlineLevel="0" collapsed="false">
      <c r="A972" s="34" t="n">
        <v>45929</v>
      </c>
      <c r="B972" s="8" t="s">
        <v>1287</v>
      </c>
      <c r="C972" s="8" t="s">
        <v>365</v>
      </c>
      <c r="D972" s="8" t="s">
        <v>1019</v>
      </c>
      <c r="E972" s="9" t="n">
        <v>-1.74</v>
      </c>
      <c r="F972" s="8" t="s">
        <v>25</v>
      </c>
    </row>
    <row r="973" customFormat="false" ht="15" hidden="false" customHeight="true" outlineLevel="0" collapsed="false">
      <c r="A973" s="34" t="n">
        <v>45929</v>
      </c>
      <c r="B973" s="8" t="s">
        <v>1294</v>
      </c>
      <c r="C973" s="8" t="s">
        <v>313</v>
      </c>
      <c r="D973" s="8" t="s">
        <v>1262</v>
      </c>
      <c r="E973" s="9" t="n">
        <v>-17.31</v>
      </c>
      <c r="F973" s="8" t="s">
        <v>18</v>
      </c>
    </row>
    <row r="974" customFormat="false" ht="15" hidden="false" customHeight="true" outlineLevel="0" collapsed="false">
      <c r="A974" s="34" t="n">
        <v>45929</v>
      </c>
      <c r="B974" s="8" t="s">
        <v>1290</v>
      </c>
      <c r="C974" s="8" t="s">
        <v>365</v>
      </c>
      <c r="D974" s="8" t="s">
        <v>988</v>
      </c>
      <c r="E974" s="9" t="n">
        <v>-0.27</v>
      </c>
      <c r="F974" s="8" t="s">
        <v>25</v>
      </c>
    </row>
    <row r="975" customFormat="false" ht="15" hidden="false" customHeight="true" outlineLevel="0" collapsed="false">
      <c r="A975" s="34" t="n">
        <v>45929</v>
      </c>
      <c r="B975" s="8" t="s">
        <v>1295</v>
      </c>
      <c r="C975" s="8" t="s">
        <v>313</v>
      </c>
      <c r="D975" s="8" t="s">
        <v>450</v>
      </c>
      <c r="E975" s="9" t="n">
        <v>-55.84</v>
      </c>
      <c r="F975" s="8" t="s">
        <v>20</v>
      </c>
    </row>
    <row r="976" customFormat="false" ht="15" hidden="false" customHeight="true" outlineLevel="0" collapsed="false">
      <c r="A976" s="34" t="n">
        <v>45929</v>
      </c>
      <c r="B976" s="8" t="s">
        <v>1296</v>
      </c>
      <c r="C976" s="8" t="s">
        <v>313</v>
      </c>
      <c r="D976" s="8" t="s">
        <v>33</v>
      </c>
      <c r="E976" s="9" t="n">
        <v>-71.5</v>
      </c>
      <c r="F976" s="8" t="s">
        <v>19</v>
      </c>
    </row>
    <row r="977" customFormat="false" ht="15" hidden="false" customHeight="true" outlineLevel="0" collapsed="false">
      <c r="A977" s="34" t="n">
        <v>45929</v>
      </c>
      <c r="B977" s="8" t="s">
        <v>1294</v>
      </c>
      <c r="C977" s="8" t="s">
        <v>365</v>
      </c>
      <c r="D977" s="8" t="s">
        <v>1262</v>
      </c>
      <c r="E977" s="9" t="n">
        <v>-0.5</v>
      </c>
      <c r="F977" s="8" t="s">
        <v>25</v>
      </c>
    </row>
    <row r="978" customFormat="false" ht="15" hidden="false" customHeight="true" outlineLevel="0" collapsed="false">
      <c r="A978" s="34" t="n">
        <v>45930</v>
      </c>
      <c r="B978" s="8" t="s">
        <v>1297</v>
      </c>
      <c r="C978" s="8" t="s">
        <v>313</v>
      </c>
      <c r="D978" s="8" t="s">
        <v>393</v>
      </c>
      <c r="E978" s="9" t="n">
        <v>-17.55</v>
      </c>
      <c r="F978" s="8" t="s">
        <v>19</v>
      </c>
    </row>
    <row r="979" customFormat="false" ht="15" hidden="false" customHeight="true" outlineLevel="0" collapsed="false">
      <c r="A979" s="34" t="n">
        <v>45930</v>
      </c>
      <c r="B979" s="8" t="s">
        <v>1298</v>
      </c>
      <c r="C979" s="8" t="s">
        <v>367</v>
      </c>
      <c r="D979" s="8" t="s">
        <v>476</v>
      </c>
      <c r="E979" s="9" t="n">
        <v>-2481.8</v>
      </c>
      <c r="F979" s="8" t="s">
        <v>14</v>
      </c>
    </row>
    <row r="980" customFormat="false" ht="15" hidden="false" customHeight="true" outlineLevel="0" collapsed="false">
      <c r="A980" s="34" t="n">
        <v>45930</v>
      </c>
      <c r="B980" s="8" t="s">
        <v>1299</v>
      </c>
      <c r="C980" s="8" t="s">
        <v>367</v>
      </c>
      <c r="D980" s="8" t="s">
        <v>464</v>
      </c>
      <c r="E980" s="9" t="n">
        <v>-1218.1</v>
      </c>
      <c r="F980" s="8" t="s">
        <v>14</v>
      </c>
    </row>
    <row r="981" customFormat="false" ht="15" hidden="false" customHeight="true" outlineLevel="0" collapsed="false">
      <c r="A981" s="34" t="n">
        <v>45930</v>
      </c>
      <c r="B981" s="8" t="s">
        <v>356</v>
      </c>
      <c r="C981" s="8" t="s">
        <v>688</v>
      </c>
      <c r="D981" s="8" t="s">
        <v>689</v>
      </c>
      <c r="E981" s="9" t="n">
        <v>-72</v>
      </c>
      <c r="F981" s="8" t="s">
        <v>25</v>
      </c>
    </row>
    <row r="982" customFormat="false" ht="15" hidden="false" customHeight="true" outlineLevel="0" collapsed="false">
      <c r="A982" s="34" t="n">
        <v>45930</v>
      </c>
      <c r="B982" s="8" t="s">
        <v>1300</v>
      </c>
      <c r="C982" s="8" t="s">
        <v>310</v>
      </c>
      <c r="D982" s="8" t="s">
        <v>319</v>
      </c>
      <c r="E982" s="9" t="n">
        <v>-205.51</v>
      </c>
      <c r="F982" s="8" t="s">
        <v>13</v>
      </c>
    </row>
    <row r="983" customFormat="false" ht="15" hidden="false" customHeight="true" outlineLevel="0" collapsed="false">
      <c r="A983" s="34" t="n">
        <v>45931</v>
      </c>
      <c r="B983" s="8" t="s">
        <v>1301</v>
      </c>
      <c r="C983" s="8" t="s">
        <v>310</v>
      </c>
      <c r="D983" s="8" t="s">
        <v>316</v>
      </c>
      <c r="E983" s="9" t="n">
        <v>-872.67</v>
      </c>
      <c r="F983" s="8" t="s">
        <v>19</v>
      </c>
    </row>
    <row r="984" customFormat="false" ht="15" hidden="false" customHeight="true" outlineLevel="0" collapsed="false">
      <c r="A984" s="34" t="n">
        <v>45931</v>
      </c>
      <c r="B984" s="8" t="s">
        <v>1302</v>
      </c>
      <c r="C984" s="8" t="s">
        <v>411</v>
      </c>
      <c r="D984" s="8" t="s">
        <v>412</v>
      </c>
      <c r="E984" s="9" t="n">
        <v>-1010.89</v>
      </c>
      <c r="F984" s="8" t="s">
        <v>14</v>
      </c>
    </row>
    <row r="985" customFormat="false" ht="15" hidden="false" customHeight="true" outlineLevel="0" collapsed="false">
      <c r="A985" s="34" t="n">
        <v>45931</v>
      </c>
      <c r="B985" s="8" t="s">
        <v>1303</v>
      </c>
      <c r="C985" s="8" t="s">
        <v>313</v>
      </c>
      <c r="D985" s="8" t="s">
        <v>346</v>
      </c>
      <c r="E985" s="9" t="n">
        <v>-10.7</v>
      </c>
      <c r="F985" s="8" t="s">
        <v>19</v>
      </c>
    </row>
    <row r="986" customFormat="false" ht="15" hidden="false" customHeight="true" outlineLevel="0" collapsed="false">
      <c r="A986" s="34" t="n">
        <v>45931</v>
      </c>
      <c r="B986" s="8" t="s">
        <v>1304</v>
      </c>
      <c r="C986" s="8" t="s">
        <v>310</v>
      </c>
      <c r="D986" s="8" t="s">
        <v>317</v>
      </c>
      <c r="E986" s="9" t="n">
        <v>-127.79</v>
      </c>
      <c r="F986" s="8" t="s">
        <v>22</v>
      </c>
    </row>
    <row r="987" customFormat="false" ht="15" hidden="false" customHeight="true" outlineLevel="0" collapsed="false">
      <c r="A987" s="34" t="n">
        <v>45931</v>
      </c>
      <c r="B987" s="8" t="s">
        <v>1305</v>
      </c>
      <c r="C987" s="8" t="s">
        <v>313</v>
      </c>
      <c r="D987" s="8" t="s">
        <v>481</v>
      </c>
      <c r="E987" s="9" t="n">
        <v>-3.99</v>
      </c>
      <c r="F987" s="8" t="s">
        <v>20</v>
      </c>
    </row>
    <row r="988" customFormat="false" ht="15" hidden="false" customHeight="true" outlineLevel="0" collapsed="false">
      <c r="A988" s="34" t="n">
        <v>45931</v>
      </c>
      <c r="B988" s="8" t="s">
        <v>1306</v>
      </c>
      <c r="C988" s="8" t="s">
        <v>333</v>
      </c>
      <c r="D988" s="8" t="s">
        <v>334</v>
      </c>
      <c r="E988" s="9" t="n">
        <v>126.61</v>
      </c>
      <c r="F988" s="8" t="s">
        <v>335</v>
      </c>
    </row>
    <row r="989" customFormat="false" ht="15" hidden="false" customHeight="true" outlineLevel="0" collapsed="false">
      <c r="A989" s="34" t="n">
        <v>45931</v>
      </c>
      <c r="B989" s="8" t="s">
        <v>1307</v>
      </c>
      <c r="C989" s="8" t="s">
        <v>313</v>
      </c>
      <c r="D989" s="8" t="s">
        <v>346</v>
      </c>
      <c r="E989" s="9" t="n">
        <v>-10.7</v>
      </c>
      <c r="F989" s="8" t="s">
        <v>19</v>
      </c>
    </row>
    <row r="990" customFormat="false" ht="15" hidden="false" customHeight="true" outlineLevel="0" collapsed="false">
      <c r="A990" s="34" t="n">
        <v>45932</v>
      </c>
      <c r="B990" s="8" t="s">
        <v>1308</v>
      </c>
      <c r="C990" s="8" t="s">
        <v>361</v>
      </c>
      <c r="D990" s="8" t="s">
        <v>1179</v>
      </c>
      <c r="E990" s="9" t="n">
        <v>22204.4</v>
      </c>
      <c r="F990" s="8" t="s">
        <v>335</v>
      </c>
    </row>
    <row r="991" customFormat="false" ht="15" hidden="false" customHeight="true" outlineLevel="0" collapsed="false">
      <c r="A991" s="34" t="n">
        <v>45932</v>
      </c>
      <c r="B991" s="8" t="s">
        <v>1308</v>
      </c>
      <c r="C991" s="8" t="s">
        <v>631</v>
      </c>
      <c r="D991" s="8" t="s">
        <v>632</v>
      </c>
      <c r="E991" s="9" t="n">
        <v>-14.64</v>
      </c>
      <c r="F991" s="8" t="s">
        <v>25</v>
      </c>
    </row>
    <row r="992" customFormat="false" ht="15" hidden="false" customHeight="true" outlineLevel="0" collapsed="false">
      <c r="A992" s="34" t="n">
        <v>45932</v>
      </c>
      <c r="B992" s="8" t="s">
        <v>1309</v>
      </c>
      <c r="C992" s="8" t="s">
        <v>313</v>
      </c>
      <c r="D992" s="8" t="s">
        <v>329</v>
      </c>
      <c r="E992" s="9" t="n">
        <v>-145.8</v>
      </c>
      <c r="F992" s="8" t="s">
        <v>20</v>
      </c>
    </row>
    <row r="993" customFormat="false" ht="15" hidden="false" customHeight="true" outlineLevel="0" collapsed="false">
      <c r="A993" s="34" t="n">
        <v>45932</v>
      </c>
      <c r="B993" s="8" t="s">
        <v>1308</v>
      </c>
      <c r="C993" s="8" t="s">
        <v>359</v>
      </c>
      <c r="D993" s="8" t="s">
        <v>360</v>
      </c>
      <c r="E993" s="9" t="n">
        <v>-1.2</v>
      </c>
      <c r="F993" s="8" t="s">
        <v>25</v>
      </c>
    </row>
    <row r="994" customFormat="false" ht="15" hidden="false" customHeight="true" outlineLevel="0" collapsed="false">
      <c r="A994" s="34" t="n">
        <v>45933</v>
      </c>
      <c r="B994" s="8" t="s">
        <v>1310</v>
      </c>
      <c r="C994" s="8" t="s">
        <v>367</v>
      </c>
      <c r="D994" s="8" t="s">
        <v>368</v>
      </c>
      <c r="E994" s="9" t="n">
        <v>-23375.09</v>
      </c>
      <c r="F994" s="8" t="s">
        <v>11</v>
      </c>
    </row>
    <row r="995" customFormat="false" ht="15" hidden="false" customHeight="true" outlineLevel="0" collapsed="false">
      <c r="A995" s="34" t="n">
        <v>45933</v>
      </c>
      <c r="B995" s="8" t="s">
        <v>1311</v>
      </c>
      <c r="C995" s="8" t="s">
        <v>367</v>
      </c>
      <c r="D995" s="8" t="s">
        <v>932</v>
      </c>
      <c r="E995" s="9" t="n">
        <v>-21.2</v>
      </c>
      <c r="F995" s="8" t="s">
        <v>13</v>
      </c>
    </row>
    <row r="996" customFormat="false" ht="15" hidden="false" customHeight="true" outlineLevel="0" collapsed="false">
      <c r="A996" s="34" t="n">
        <v>45933</v>
      </c>
      <c r="B996" s="8" t="s">
        <v>1312</v>
      </c>
      <c r="C996" s="8" t="s">
        <v>313</v>
      </c>
      <c r="D996" s="8" t="s">
        <v>337</v>
      </c>
      <c r="E996" s="9" t="n">
        <v>-50</v>
      </c>
      <c r="F996" s="8" t="s">
        <v>19</v>
      </c>
    </row>
    <row r="997" customFormat="false" ht="15" hidden="false" customHeight="true" outlineLevel="0" collapsed="false">
      <c r="A997" s="34" t="n">
        <v>45933</v>
      </c>
      <c r="B997" s="8" t="s">
        <v>1313</v>
      </c>
      <c r="C997" s="8" t="s">
        <v>313</v>
      </c>
      <c r="D997" s="8" t="s">
        <v>344</v>
      </c>
      <c r="E997" s="9" t="n">
        <v>-11.75</v>
      </c>
      <c r="F997" s="8" t="s">
        <v>13</v>
      </c>
    </row>
    <row r="998" customFormat="false" ht="15" hidden="false" customHeight="true" outlineLevel="0" collapsed="false">
      <c r="A998" s="34" t="n">
        <v>45933</v>
      </c>
      <c r="B998" s="8" t="s">
        <v>1314</v>
      </c>
      <c r="C998" s="8" t="s">
        <v>367</v>
      </c>
      <c r="D998" s="8" t="s">
        <v>452</v>
      </c>
      <c r="E998" s="9" t="n">
        <v>-6665.01</v>
      </c>
      <c r="F998" s="8" t="s">
        <v>13</v>
      </c>
    </row>
    <row r="999" customFormat="false" ht="15" hidden="false" customHeight="true" outlineLevel="0" collapsed="false">
      <c r="A999" s="34" t="n">
        <v>45936</v>
      </c>
      <c r="B999" s="8" t="s">
        <v>1315</v>
      </c>
      <c r="C999" s="8" t="s">
        <v>310</v>
      </c>
      <c r="D999" s="8" t="s">
        <v>311</v>
      </c>
      <c r="E999" s="9" t="n">
        <v>-79</v>
      </c>
      <c r="F999" s="8" t="s">
        <v>26</v>
      </c>
    </row>
    <row r="1000" customFormat="false" ht="15" hidden="false" customHeight="true" outlineLevel="0" collapsed="false">
      <c r="A1000" s="34" t="n">
        <v>45936</v>
      </c>
      <c r="B1000" s="8" t="s">
        <v>1316</v>
      </c>
      <c r="C1000" s="8" t="s">
        <v>313</v>
      </c>
      <c r="D1000" s="8" t="s">
        <v>33</v>
      </c>
      <c r="E1000" s="9" t="n">
        <v>-12.1</v>
      </c>
      <c r="F1000" s="8" t="s">
        <v>19</v>
      </c>
    </row>
    <row r="1001" customFormat="false" ht="15" hidden="false" customHeight="true" outlineLevel="0" collapsed="false">
      <c r="A1001" s="34" t="n">
        <v>45936</v>
      </c>
      <c r="B1001" s="8" t="s">
        <v>1317</v>
      </c>
      <c r="C1001" s="8" t="s">
        <v>313</v>
      </c>
      <c r="D1001" s="8" t="s">
        <v>33</v>
      </c>
      <c r="E1001" s="9" t="n">
        <v>-78.73</v>
      </c>
      <c r="F1001" s="8" t="s">
        <v>19</v>
      </c>
    </row>
    <row r="1002" customFormat="false" ht="15" hidden="false" customHeight="true" outlineLevel="0" collapsed="false">
      <c r="A1002" s="34" t="n">
        <v>45936</v>
      </c>
      <c r="B1002" s="8" t="s">
        <v>1318</v>
      </c>
      <c r="C1002" s="8" t="s">
        <v>310</v>
      </c>
      <c r="D1002" s="8" t="s">
        <v>317</v>
      </c>
      <c r="E1002" s="9" t="n">
        <v>-112.25</v>
      </c>
      <c r="F1002" s="8" t="s">
        <v>22</v>
      </c>
    </row>
    <row r="1003" customFormat="false" ht="15" hidden="false" customHeight="true" outlineLevel="0" collapsed="false">
      <c r="A1003" s="34" t="n">
        <v>45937</v>
      </c>
      <c r="B1003" s="8" t="s">
        <v>1319</v>
      </c>
      <c r="C1003" s="8" t="s">
        <v>313</v>
      </c>
      <c r="D1003" s="8" t="s">
        <v>33</v>
      </c>
      <c r="E1003" s="9" t="n">
        <v>-12.8</v>
      </c>
      <c r="F1003" s="8" t="s">
        <v>19</v>
      </c>
    </row>
    <row r="1004" customFormat="false" ht="15" hidden="false" customHeight="true" outlineLevel="0" collapsed="false">
      <c r="A1004" s="34" t="n">
        <v>45937</v>
      </c>
      <c r="B1004" s="8" t="s">
        <v>1320</v>
      </c>
      <c r="C1004" s="8" t="s">
        <v>313</v>
      </c>
      <c r="D1004" s="8" t="s">
        <v>33</v>
      </c>
      <c r="E1004" s="9" t="n">
        <v>-60.08</v>
      </c>
      <c r="F1004" s="8" t="s">
        <v>19</v>
      </c>
    </row>
    <row r="1005" customFormat="false" ht="15" hidden="false" customHeight="true" outlineLevel="0" collapsed="false">
      <c r="A1005" s="34" t="n">
        <v>45937</v>
      </c>
      <c r="B1005" s="8" t="s">
        <v>1321</v>
      </c>
      <c r="C1005" s="8" t="s">
        <v>313</v>
      </c>
      <c r="D1005" s="8" t="s">
        <v>341</v>
      </c>
      <c r="E1005" s="9" t="n">
        <v>-10.7</v>
      </c>
      <c r="F1005" s="8" t="s">
        <v>19</v>
      </c>
    </row>
    <row r="1006" customFormat="false" ht="15" hidden="false" customHeight="true" outlineLevel="0" collapsed="false">
      <c r="A1006" s="34" t="n">
        <v>45937</v>
      </c>
      <c r="B1006" s="8" t="s">
        <v>1322</v>
      </c>
      <c r="C1006" s="8" t="s">
        <v>313</v>
      </c>
      <c r="D1006" s="8" t="s">
        <v>344</v>
      </c>
      <c r="E1006" s="9" t="n">
        <v>-88.4</v>
      </c>
      <c r="F1006" s="8" t="s">
        <v>13</v>
      </c>
    </row>
    <row r="1007" customFormat="false" ht="15" hidden="false" customHeight="true" outlineLevel="0" collapsed="false">
      <c r="A1007" s="34" t="n">
        <v>45937</v>
      </c>
      <c r="B1007" s="8" t="s">
        <v>1323</v>
      </c>
      <c r="C1007" s="8" t="s">
        <v>313</v>
      </c>
      <c r="D1007" s="8" t="s">
        <v>346</v>
      </c>
      <c r="E1007" s="9" t="n">
        <v>-10.7</v>
      </c>
      <c r="F1007" s="8" t="s">
        <v>19</v>
      </c>
    </row>
    <row r="1008" customFormat="false" ht="15" hidden="false" customHeight="true" outlineLevel="0" collapsed="false">
      <c r="A1008" s="34" t="n">
        <v>45937</v>
      </c>
      <c r="B1008" s="8" t="s">
        <v>1324</v>
      </c>
      <c r="C1008" s="8" t="s">
        <v>1325</v>
      </c>
      <c r="D1008" s="8" t="s">
        <v>1326</v>
      </c>
      <c r="E1008" s="9" t="n">
        <v>-40</v>
      </c>
      <c r="F1008" s="8" t="s">
        <v>17</v>
      </c>
    </row>
    <row r="1009" customFormat="false" ht="15" hidden="false" customHeight="true" outlineLevel="0" collapsed="false">
      <c r="A1009" s="34" t="n">
        <v>45938</v>
      </c>
      <c r="B1009" s="8" t="s">
        <v>1327</v>
      </c>
      <c r="C1009" s="8" t="s">
        <v>313</v>
      </c>
      <c r="D1009" s="8" t="s">
        <v>723</v>
      </c>
      <c r="E1009" s="9" t="n">
        <v>-1224.8</v>
      </c>
      <c r="F1009" s="8" t="s">
        <v>18</v>
      </c>
    </row>
    <row r="1010" customFormat="false" ht="15" hidden="false" customHeight="true" outlineLevel="0" collapsed="false">
      <c r="A1010" s="34" t="n">
        <v>45938</v>
      </c>
      <c r="B1010" s="8" t="s">
        <v>1328</v>
      </c>
      <c r="C1010" s="8" t="s">
        <v>313</v>
      </c>
      <c r="D1010" s="8" t="s">
        <v>346</v>
      </c>
      <c r="E1010" s="9" t="n">
        <v>-10.7</v>
      </c>
      <c r="F1010" s="8" t="s">
        <v>19</v>
      </c>
    </row>
    <row r="1011" customFormat="false" ht="15" hidden="false" customHeight="true" outlineLevel="0" collapsed="false">
      <c r="A1011" s="34" t="n">
        <v>45938</v>
      </c>
      <c r="B1011" s="8" t="s">
        <v>1329</v>
      </c>
      <c r="C1011" s="8" t="s">
        <v>361</v>
      </c>
      <c r="D1011" s="8" t="s">
        <v>379</v>
      </c>
      <c r="E1011" s="9" t="n">
        <v>20279.3</v>
      </c>
      <c r="F1011" s="8" t="s">
        <v>335</v>
      </c>
    </row>
    <row r="1012" customFormat="false" ht="15" hidden="false" customHeight="true" outlineLevel="0" collapsed="false">
      <c r="A1012" s="34" t="n">
        <v>45938</v>
      </c>
      <c r="B1012" s="8" t="s">
        <v>1329</v>
      </c>
      <c r="C1012" s="8" t="s">
        <v>359</v>
      </c>
      <c r="D1012" s="8" t="s">
        <v>360</v>
      </c>
      <c r="E1012" s="9" t="n">
        <v>-1.2</v>
      </c>
      <c r="F1012" s="8" t="s">
        <v>25</v>
      </c>
    </row>
    <row r="1013" customFormat="false" ht="15" hidden="false" customHeight="true" outlineLevel="0" collapsed="false">
      <c r="A1013" s="34" t="n">
        <v>45938</v>
      </c>
      <c r="B1013" s="8" t="s">
        <v>1330</v>
      </c>
      <c r="C1013" s="8" t="s">
        <v>313</v>
      </c>
      <c r="D1013" s="8" t="s">
        <v>341</v>
      </c>
      <c r="E1013" s="9" t="n">
        <v>-10.7</v>
      </c>
      <c r="F1013" s="8" t="s">
        <v>19</v>
      </c>
    </row>
    <row r="1014" customFormat="false" ht="15" hidden="false" customHeight="true" outlineLevel="0" collapsed="false">
      <c r="A1014" s="34" t="n">
        <v>45938</v>
      </c>
      <c r="B1014" s="8" t="s">
        <v>1331</v>
      </c>
      <c r="C1014" s="8" t="s">
        <v>313</v>
      </c>
      <c r="D1014" s="8" t="s">
        <v>481</v>
      </c>
      <c r="E1014" s="9" t="n">
        <v>-3.99</v>
      </c>
      <c r="F1014" s="8" t="s">
        <v>20</v>
      </c>
    </row>
    <row r="1015" customFormat="false" ht="15" hidden="false" customHeight="true" outlineLevel="0" collapsed="false">
      <c r="A1015" s="34" t="n">
        <v>45939</v>
      </c>
      <c r="B1015" s="8" t="s">
        <v>1332</v>
      </c>
      <c r="C1015" s="8" t="s">
        <v>313</v>
      </c>
      <c r="D1015" s="8" t="s">
        <v>331</v>
      </c>
      <c r="E1015" s="9" t="n">
        <v>-43</v>
      </c>
      <c r="F1015" s="8" t="s">
        <v>17</v>
      </c>
    </row>
    <row r="1016" customFormat="false" ht="15" hidden="false" customHeight="true" outlineLevel="0" collapsed="false">
      <c r="A1016" s="34" t="n">
        <v>45939</v>
      </c>
      <c r="B1016" s="8" t="s">
        <v>1333</v>
      </c>
      <c r="C1016" s="8" t="s">
        <v>313</v>
      </c>
      <c r="D1016" s="8" t="s">
        <v>339</v>
      </c>
      <c r="E1016" s="9" t="n">
        <v>-15.9</v>
      </c>
      <c r="F1016" s="8" t="s">
        <v>19</v>
      </c>
    </row>
    <row r="1017" customFormat="false" ht="15" hidden="false" customHeight="true" outlineLevel="0" collapsed="false">
      <c r="A1017" s="34" t="n">
        <v>45940</v>
      </c>
      <c r="B1017" s="8" t="s">
        <v>1334</v>
      </c>
      <c r="C1017" s="8" t="s">
        <v>310</v>
      </c>
      <c r="D1017" s="8" t="s">
        <v>355</v>
      </c>
      <c r="E1017" s="9" t="n">
        <v>-78.46</v>
      </c>
      <c r="F1017" s="8" t="s">
        <v>31</v>
      </c>
    </row>
    <row r="1018" customFormat="false" ht="15" hidden="false" customHeight="true" outlineLevel="0" collapsed="false">
      <c r="A1018" s="34" t="n">
        <v>45940</v>
      </c>
      <c r="B1018" s="8" t="s">
        <v>356</v>
      </c>
      <c r="C1018" s="8" t="s">
        <v>357</v>
      </c>
      <c r="D1018" s="8"/>
      <c r="E1018" s="9" t="n">
        <v>-539.08</v>
      </c>
      <c r="F1018" s="8" t="s">
        <v>25</v>
      </c>
    </row>
    <row r="1019" customFormat="false" ht="15" hidden="false" customHeight="true" outlineLevel="0" collapsed="false">
      <c r="A1019" s="34" t="n">
        <v>45940</v>
      </c>
      <c r="B1019" s="8" t="s">
        <v>1335</v>
      </c>
      <c r="C1019" s="8" t="s">
        <v>310</v>
      </c>
      <c r="D1019" s="8" t="s">
        <v>311</v>
      </c>
      <c r="E1019" s="9" t="n">
        <v>-125.16</v>
      </c>
      <c r="F1019" s="8" t="s">
        <v>26</v>
      </c>
    </row>
    <row r="1020" customFormat="false" ht="15" hidden="false" customHeight="true" outlineLevel="0" collapsed="false">
      <c r="A1020" s="34" t="n">
        <v>45940</v>
      </c>
      <c r="B1020" s="8" t="s">
        <v>1336</v>
      </c>
      <c r="C1020" s="8" t="s">
        <v>310</v>
      </c>
      <c r="D1020" s="8" t="s">
        <v>348</v>
      </c>
      <c r="E1020" s="9" t="n">
        <v>-130.67</v>
      </c>
      <c r="F1020" s="8" t="s">
        <v>26</v>
      </c>
    </row>
    <row r="1021" customFormat="false" ht="15" hidden="false" customHeight="true" outlineLevel="0" collapsed="false">
      <c r="A1021" s="34" t="n">
        <v>45943</v>
      </c>
      <c r="B1021" s="8" t="s">
        <v>1337</v>
      </c>
      <c r="C1021" s="8" t="s">
        <v>361</v>
      </c>
      <c r="D1021" s="8" t="s">
        <v>379</v>
      </c>
      <c r="E1021" s="9" t="n">
        <v>56000</v>
      </c>
      <c r="F1021" s="8" t="s">
        <v>335</v>
      </c>
    </row>
    <row r="1022" customFormat="false" ht="15" hidden="false" customHeight="true" outlineLevel="0" collapsed="false">
      <c r="A1022" s="34" t="n">
        <v>45943</v>
      </c>
      <c r="B1022" s="8" t="s">
        <v>1338</v>
      </c>
      <c r="C1022" s="8" t="s">
        <v>313</v>
      </c>
      <c r="D1022" s="8" t="s">
        <v>364</v>
      </c>
      <c r="E1022" s="9" t="n">
        <v>-39.31</v>
      </c>
      <c r="F1022" s="8" t="s">
        <v>20</v>
      </c>
    </row>
    <row r="1023" customFormat="false" ht="15" hidden="false" customHeight="true" outlineLevel="0" collapsed="false">
      <c r="A1023" s="34" t="n">
        <v>45943</v>
      </c>
      <c r="B1023" s="8" t="s">
        <v>1339</v>
      </c>
      <c r="C1023" s="8" t="s">
        <v>359</v>
      </c>
      <c r="D1023" s="8" t="s">
        <v>360</v>
      </c>
      <c r="E1023" s="9" t="n">
        <v>-1.2</v>
      </c>
      <c r="F1023" s="8" t="s">
        <v>25</v>
      </c>
    </row>
    <row r="1024" customFormat="false" ht="15" hidden="false" customHeight="true" outlineLevel="0" collapsed="false">
      <c r="A1024" s="34" t="n">
        <v>45943</v>
      </c>
      <c r="B1024" s="8" t="s">
        <v>1339</v>
      </c>
      <c r="C1024" s="8" t="s">
        <v>380</v>
      </c>
      <c r="D1024" s="8" t="s">
        <v>1340</v>
      </c>
      <c r="E1024" s="9" t="n">
        <v>-10499.69</v>
      </c>
      <c r="F1024" s="8" t="s">
        <v>12</v>
      </c>
    </row>
    <row r="1025" customFormat="false" ht="15" hidden="false" customHeight="true" outlineLevel="0" collapsed="false">
      <c r="A1025" s="34" t="n">
        <v>45943</v>
      </c>
      <c r="B1025" s="8" t="s">
        <v>1341</v>
      </c>
      <c r="C1025" s="8" t="s">
        <v>382</v>
      </c>
      <c r="D1025" s="8" t="s">
        <v>658</v>
      </c>
      <c r="E1025" s="9" t="n">
        <v>-21.6</v>
      </c>
      <c r="F1025" s="8" t="s">
        <v>25</v>
      </c>
    </row>
    <row r="1026" customFormat="false" ht="15" hidden="false" customHeight="true" outlineLevel="0" collapsed="false">
      <c r="A1026" s="34" t="n">
        <v>45943</v>
      </c>
      <c r="B1026" s="8" t="s">
        <v>1341</v>
      </c>
      <c r="C1026" s="8" t="s">
        <v>380</v>
      </c>
      <c r="D1026" s="8" t="s">
        <v>1340</v>
      </c>
      <c r="E1026" s="9" t="n">
        <v>-2651.09</v>
      </c>
      <c r="F1026" s="8" t="s">
        <v>12</v>
      </c>
    </row>
    <row r="1027" customFormat="false" ht="15" hidden="false" customHeight="true" outlineLevel="0" collapsed="false">
      <c r="A1027" s="34" t="n">
        <v>45943</v>
      </c>
      <c r="B1027" s="8" t="s">
        <v>1341</v>
      </c>
      <c r="C1027" s="8" t="s">
        <v>373</v>
      </c>
      <c r="D1027" s="8"/>
      <c r="E1027" s="9" t="n">
        <v>-21.5</v>
      </c>
      <c r="F1027" s="8" t="s">
        <v>25</v>
      </c>
    </row>
    <row r="1028" customFormat="false" ht="15" hidden="false" customHeight="true" outlineLevel="0" collapsed="false">
      <c r="A1028" s="34" t="n">
        <v>45943</v>
      </c>
      <c r="B1028" s="8" t="s">
        <v>1342</v>
      </c>
      <c r="C1028" s="8" t="s">
        <v>313</v>
      </c>
      <c r="D1028" s="8" t="s">
        <v>1343</v>
      </c>
      <c r="E1028" s="9" t="n">
        <v>-265.9</v>
      </c>
      <c r="F1028" s="8" t="s">
        <v>17</v>
      </c>
    </row>
    <row r="1029" customFormat="false" ht="15" hidden="false" customHeight="true" outlineLevel="0" collapsed="false">
      <c r="A1029" s="34" t="n">
        <v>45943</v>
      </c>
      <c r="B1029" s="8" t="s">
        <v>1341</v>
      </c>
      <c r="C1029" s="8" t="s">
        <v>359</v>
      </c>
      <c r="D1029" s="8" t="s">
        <v>360</v>
      </c>
      <c r="E1029" s="9" t="n">
        <v>-1.2</v>
      </c>
      <c r="F1029" s="8" t="s">
        <v>25</v>
      </c>
    </row>
    <row r="1030" customFormat="false" ht="15" hidden="false" customHeight="true" outlineLevel="0" collapsed="false">
      <c r="A1030" s="34" t="n">
        <v>45943</v>
      </c>
      <c r="B1030" s="8" t="s">
        <v>1339</v>
      </c>
      <c r="C1030" s="8" t="s">
        <v>382</v>
      </c>
      <c r="D1030" s="8" t="s">
        <v>658</v>
      </c>
      <c r="E1030" s="9" t="n">
        <v>-21.6</v>
      </c>
      <c r="F1030" s="8" t="s">
        <v>25</v>
      </c>
    </row>
    <row r="1031" customFormat="false" ht="15" hidden="false" customHeight="true" outlineLevel="0" collapsed="false">
      <c r="A1031" s="34" t="n">
        <v>45943</v>
      </c>
      <c r="B1031" s="8" t="s">
        <v>1338</v>
      </c>
      <c r="C1031" s="8" t="s">
        <v>365</v>
      </c>
      <c r="D1031" s="8" t="s">
        <v>364</v>
      </c>
      <c r="E1031" s="9" t="n">
        <v>-0.58</v>
      </c>
      <c r="F1031" s="8" t="s">
        <v>25</v>
      </c>
    </row>
    <row r="1032" customFormat="false" ht="15" hidden="false" customHeight="true" outlineLevel="0" collapsed="false">
      <c r="A1032" s="34" t="n">
        <v>45943</v>
      </c>
      <c r="B1032" s="8" t="s">
        <v>1337</v>
      </c>
      <c r="C1032" s="8" t="s">
        <v>359</v>
      </c>
      <c r="D1032" s="8" t="s">
        <v>360</v>
      </c>
      <c r="E1032" s="9" t="n">
        <v>-1.2</v>
      </c>
      <c r="F1032" s="8" t="s">
        <v>25</v>
      </c>
    </row>
    <row r="1033" customFormat="false" ht="15" hidden="false" customHeight="true" outlineLevel="0" collapsed="false">
      <c r="A1033" s="34" t="n">
        <v>45943</v>
      </c>
      <c r="B1033" s="8" t="s">
        <v>1341</v>
      </c>
      <c r="C1033" s="8" t="s">
        <v>377</v>
      </c>
      <c r="D1033" s="8" t="s">
        <v>378</v>
      </c>
      <c r="E1033" s="9" t="n">
        <v>-28.2</v>
      </c>
      <c r="F1033" s="8" t="s">
        <v>25</v>
      </c>
    </row>
    <row r="1034" customFormat="false" ht="15" hidden="false" customHeight="true" outlineLevel="0" collapsed="false">
      <c r="A1034" s="34" t="n">
        <v>45943</v>
      </c>
      <c r="B1034" s="8" t="s">
        <v>1339</v>
      </c>
      <c r="C1034" s="8" t="s">
        <v>373</v>
      </c>
      <c r="D1034" s="8"/>
      <c r="E1034" s="9" t="n">
        <v>-21.5</v>
      </c>
      <c r="F1034" s="8" t="s">
        <v>25</v>
      </c>
    </row>
    <row r="1035" customFormat="false" ht="15" hidden="false" customHeight="true" outlineLevel="0" collapsed="false">
      <c r="A1035" s="34" t="n">
        <v>45944</v>
      </c>
      <c r="B1035" s="8" t="s">
        <v>1344</v>
      </c>
      <c r="C1035" s="8" t="s">
        <v>373</v>
      </c>
      <c r="D1035" s="8"/>
      <c r="E1035" s="9" t="n">
        <v>-21.5</v>
      </c>
      <c r="F1035" s="8" t="s">
        <v>25</v>
      </c>
    </row>
    <row r="1036" customFormat="false" ht="15" hidden="false" customHeight="true" outlineLevel="0" collapsed="false">
      <c r="A1036" s="34" t="n">
        <v>45944</v>
      </c>
      <c r="B1036" s="8" t="s">
        <v>1344</v>
      </c>
      <c r="C1036" s="8" t="s">
        <v>380</v>
      </c>
      <c r="D1036" s="8" t="s">
        <v>381</v>
      </c>
      <c r="E1036" s="9" t="n">
        <v>-1163.15</v>
      </c>
      <c r="F1036" s="8" t="s">
        <v>12</v>
      </c>
    </row>
    <row r="1037" customFormat="false" ht="15" hidden="false" customHeight="true" outlineLevel="0" collapsed="false">
      <c r="A1037" s="34" t="n">
        <v>45944</v>
      </c>
      <c r="B1037" s="8" t="s">
        <v>1345</v>
      </c>
      <c r="C1037" s="8" t="s">
        <v>367</v>
      </c>
      <c r="D1037" s="8" t="s">
        <v>368</v>
      </c>
      <c r="E1037" s="9" t="n">
        <v>-4077.56</v>
      </c>
      <c r="F1037" s="8" t="s">
        <v>11</v>
      </c>
    </row>
    <row r="1038" customFormat="false" ht="15" hidden="false" customHeight="true" outlineLevel="0" collapsed="false">
      <c r="A1038" s="34" t="n">
        <v>45944</v>
      </c>
      <c r="B1038" s="8" t="s">
        <v>1344</v>
      </c>
      <c r="C1038" s="8" t="s">
        <v>359</v>
      </c>
      <c r="D1038" s="8" t="s">
        <v>360</v>
      </c>
      <c r="E1038" s="9" t="n">
        <v>-1.2</v>
      </c>
      <c r="F1038" s="8" t="s">
        <v>25</v>
      </c>
    </row>
    <row r="1039" customFormat="false" ht="15" hidden="false" customHeight="true" outlineLevel="0" collapsed="false">
      <c r="A1039" s="34" t="n">
        <v>45944</v>
      </c>
      <c r="B1039" s="8" t="s">
        <v>1346</v>
      </c>
      <c r="C1039" s="8" t="s">
        <v>375</v>
      </c>
      <c r="D1039" s="8" t="s">
        <v>376</v>
      </c>
      <c r="E1039" s="9" t="n">
        <v>-49.35</v>
      </c>
      <c r="F1039" s="8" t="s">
        <v>25</v>
      </c>
    </row>
    <row r="1040" customFormat="false" ht="15" hidden="false" customHeight="true" outlineLevel="0" collapsed="false">
      <c r="A1040" s="34" t="n">
        <v>45944</v>
      </c>
      <c r="B1040" s="8" t="s">
        <v>1347</v>
      </c>
      <c r="C1040" s="8" t="s">
        <v>367</v>
      </c>
      <c r="D1040" s="8" t="s">
        <v>452</v>
      </c>
      <c r="E1040" s="9" t="n">
        <v>-19693.8</v>
      </c>
      <c r="F1040" s="8" t="s">
        <v>13</v>
      </c>
    </row>
    <row r="1041" customFormat="false" ht="15" hidden="false" customHeight="true" outlineLevel="0" collapsed="false">
      <c r="A1041" s="34" t="n">
        <v>45944</v>
      </c>
      <c r="B1041" s="8" t="s">
        <v>1348</v>
      </c>
      <c r="C1041" s="8" t="s">
        <v>367</v>
      </c>
      <c r="D1041" s="8" t="s">
        <v>409</v>
      </c>
      <c r="E1041" s="9" t="n">
        <v>-10720</v>
      </c>
      <c r="F1041" s="8" t="s">
        <v>10</v>
      </c>
    </row>
    <row r="1042" customFormat="false" ht="15" hidden="false" customHeight="true" outlineLevel="0" collapsed="false">
      <c r="A1042" s="34" t="n">
        <v>45944</v>
      </c>
      <c r="B1042" s="8" t="s">
        <v>1349</v>
      </c>
      <c r="C1042" s="8" t="s">
        <v>310</v>
      </c>
      <c r="D1042" s="8" t="s">
        <v>352</v>
      </c>
      <c r="E1042" s="9" t="n">
        <v>-504</v>
      </c>
      <c r="F1042" s="8" t="s">
        <v>23</v>
      </c>
    </row>
    <row r="1043" customFormat="false" ht="15" hidden="false" customHeight="true" outlineLevel="0" collapsed="false">
      <c r="A1043" s="34" t="n">
        <v>45944</v>
      </c>
      <c r="B1043" s="8" t="s">
        <v>1344</v>
      </c>
      <c r="C1043" s="8" t="s">
        <v>382</v>
      </c>
      <c r="D1043" s="8" t="s">
        <v>658</v>
      </c>
      <c r="E1043" s="9" t="n">
        <v>-21.6</v>
      </c>
      <c r="F1043" s="8" t="s">
        <v>25</v>
      </c>
    </row>
    <row r="1044" customFormat="false" ht="15" hidden="false" customHeight="true" outlineLevel="0" collapsed="false">
      <c r="A1044" s="34" t="n">
        <v>45944</v>
      </c>
      <c r="B1044" s="8" t="s">
        <v>1344</v>
      </c>
      <c r="C1044" s="8" t="s">
        <v>377</v>
      </c>
      <c r="D1044" s="8" t="s">
        <v>378</v>
      </c>
      <c r="E1044" s="9" t="n">
        <v>-28.2</v>
      </c>
      <c r="F1044" s="8" t="s">
        <v>25</v>
      </c>
    </row>
    <row r="1045" customFormat="false" ht="15" hidden="false" customHeight="true" outlineLevel="0" collapsed="false">
      <c r="A1045" s="34" t="n">
        <v>45944</v>
      </c>
      <c r="B1045" s="8" t="s">
        <v>1350</v>
      </c>
      <c r="C1045" s="8" t="s">
        <v>367</v>
      </c>
      <c r="D1045" s="8" t="s">
        <v>443</v>
      </c>
      <c r="E1045" s="9" t="n">
        <v>-530</v>
      </c>
      <c r="F1045" s="8" t="s">
        <v>17</v>
      </c>
    </row>
    <row r="1046" customFormat="false" ht="15" hidden="false" customHeight="true" outlineLevel="0" collapsed="false">
      <c r="A1046" s="34" t="n">
        <v>45944</v>
      </c>
      <c r="B1046" s="8" t="s">
        <v>1351</v>
      </c>
      <c r="C1046" s="8" t="s">
        <v>313</v>
      </c>
      <c r="D1046" s="8" t="s">
        <v>562</v>
      </c>
      <c r="E1046" s="9" t="n">
        <v>-57.2</v>
      </c>
      <c r="F1046" s="8" t="s">
        <v>19</v>
      </c>
    </row>
    <row r="1047" customFormat="false" ht="15" hidden="false" customHeight="true" outlineLevel="0" collapsed="false">
      <c r="A1047" s="34" t="n">
        <v>45945</v>
      </c>
      <c r="B1047" s="8" t="s">
        <v>1352</v>
      </c>
      <c r="C1047" s="8" t="s">
        <v>367</v>
      </c>
      <c r="D1047" s="8" t="s">
        <v>1005</v>
      </c>
      <c r="E1047" s="9" t="n">
        <v>-585</v>
      </c>
      <c r="F1047" s="8" t="s">
        <v>10</v>
      </c>
    </row>
    <row r="1048" customFormat="false" ht="15" hidden="false" customHeight="true" outlineLevel="0" collapsed="false">
      <c r="A1048" s="34" t="n">
        <v>45945</v>
      </c>
      <c r="B1048" s="8" t="s">
        <v>1353</v>
      </c>
      <c r="C1048" s="8" t="s">
        <v>313</v>
      </c>
      <c r="D1048" s="8" t="s">
        <v>481</v>
      </c>
      <c r="E1048" s="9" t="n">
        <v>-3.99</v>
      </c>
      <c r="F1048" s="8" t="s">
        <v>20</v>
      </c>
    </row>
    <row r="1049" customFormat="false" ht="15" hidden="false" customHeight="true" outlineLevel="0" collapsed="false">
      <c r="A1049" s="34" t="n">
        <v>45945</v>
      </c>
      <c r="B1049" s="8" t="s">
        <v>1354</v>
      </c>
      <c r="C1049" s="8" t="s">
        <v>367</v>
      </c>
      <c r="D1049" s="8" t="s">
        <v>1005</v>
      </c>
      <c r="E1049" s="9" t="n">
        <v>-585</v>
      </c>
      <c r="F1049" s="8" t="s">
        <v>10</v>
      </c>
    </row>
    <row r="1050" customFormat="false" ht="15" hidden="false" customHeight="true" outlineLevel="0" collapsed="false">
      <c r="A1050" s="34" t="n">
        <v>45945</v>
      </c>
      <c r="B1050" s="8" t="s">
        <v>1355</v>
      </c>
      <c r="C1050" s="8" t="s">
        <v>367</v>
      </c>
      <c r="D1050" s="8" t="s">
        <v>1005</v>
      </c>
      <c r="E1050" s="9" t="n">
        <v>-585</v>
      </c>
      <c r="F1050" s="8" t="s">
        <v>10</v>
      </c>
    </row>
    <row r="1051" customFormat="false" ht="15" hidden="false" customHeight="true" outlineLevel="0" collapsed="false">
      <c r="A1051" s="34" t="n">
        <v>45945</v>
      </c>
      <c r="B1051" s="8" t="s">
        <v>1356</v>
      </c>
      <c r="C1051" s="8" t="s">
        <v>367</v>
      </c>
      <c r="D1051" s="8" t="s">
        <v>1005</v>
      </c>
      <c r="E1051" s="9" t="n">
        <v>-585</v>
      </c>
      <c r="F1051" s="8" t="s">
        <v>10</v>
      </c>
    </row>
    <row r="1052" customFormat="false" ht="15" hidden="false" customHeight="true" outlineLevel="0" collapsed="false">
      <c r="A1052" s="34" t="n">
        <v>45945</v>
      </c>
      <c r="B1052" s="8" t="s">
        <v>1357</v>
      </c>
      <c r="C1052" s="8" t="s">
        <v>367</v>
      </c>
      <c r="D1052" s="8" t="s">
        <v>1005</v>
      </c>
      <c r="E1052" s="9" t="n">
        <v>-585</v>
      </c>
      <c r="F1052" s="8" t="s">
        <v>10</v>
      </c>
    </row>
    <row r="1053" customFormat="false" ht="15" hidden="false" customHeight="true" outlineLevel="0" collapsed="false">
      <c r="A1053" s="34" t="n">
        <v>45945</v>
      </c>
      <c r="B1053" s="8" t="s">
        <v>356</v>
      </c>
      <c r="C1053" s="8" t="s">
        <v>384</v>
      </c>
      <c r="D1053" s="8"/>
      <c r="E1053" s="9" t="n">
        <v>-7.69</v>
      </c>
      <c r="F1053" s="8" t="s">
        <v>25</v>
      </c>
    </row>
    <row r="1054" customFormat="false" ht="15" hidden="false" customHeight="true" outlineLevel="0" collapsed="false">
      <c r="A1054" s="34" t="n">
        <v>45945</v>
      </c>
      <c r="B1054" s="8" t="s">
        <v>1358</v>
      </c>
      <c r="C1054" s="8" t="s">
        <v>367</v>
      </c>
      <c r="D1054" s="8" t="s">
        <v>1005</v>
      </c>
      <c r="E1054" s="9" t="n">
        <v>-585</v>
      </c>
      <c r="F1054" s="8" t="s">
        <v>10</v>
      </c>
    </row>
    <row r="1055" customFormat="false" ht="15" hidden="false" customHeight="true" outlineLevel="0" collapsed="false">
      <c r="A1055" s="34" t="n">
        <v>45945</v>
      </c>
      <c r="B1055" s="8" t="s">
        <v>1359</v>
      </c>
      <c r="C1055" s="8" t="s">
        <v>313</v>
      </c>
      <c r="D1055" s="8" t="s">
        <v>1225</v>
      </c>
      <c r="E1055" s="9" t="n">
        <v>-50</v>
      </c>
      <c r="F1055" s="8" t="s">
        <v>19</v>
      </c>
    </row>
    <row r="1056" customFormat="false" ht="15" hidden="false" customHeight="true" outlineLevel="0" collapsed="false">
      <c r="A1056" s="34" t="n">
        <v>45946</v>
      </c>
      <c r="B1056" s="8" t="s">
        <v>1360</v>
      </c>
      <c r="C1056" s="8" t="s">
        <v>313</v>
      </c>
      <c r="D1056" s="8" t="s">
        <v>331</v>
      </c>
      <c r="E1056" s="9" t="n">
        <v>-103</v>
      </c>
      <c r="F1056" s="8" t="s">
        <v>17</v>
      </c>
    </row>
    <row r="1057" customFormat="false" ht="15" hidden="false" customHeight="true" outlineLevel="0" collapsed="false">
      <c r="A1057" s="34" t="n">
        <v>45946</v>
      </c>
      <c r="B1057" s="8" t="s">
        <v>1361</v>
      </c>
      <c r="C1057" s="8" t="s">
        <v>310</v>
      </c>
      <c r="D1057" s="8" t="s">
        <v>400</v>
      </c>
      <c r="E1057" s="9" t="n">
        <v>-189.15</v>
      </c>
      <c r="F1057" s="8" t="s">
        <v>20</v>
      </c>
    </row>
    <row r="1058" customFormat="false" ht="15" hidden="false" customHeight="true" outlineLevel="0" collapsed="false">
      <c r="A1058" s="34" t="n">
        <v>45946</v>
      </c>
      <c r="B1058" s="8" t="s">
        <v>1362</v>
      </c>
      <c r="C1058" s="8" t="s">
        <v>310</v>
      </c>
      <c r="D1058" s="8" t="s">
        <v>390</v>
      </c>
      <c r="E1058" s="9" t="n">
        <v>-2798</v>
      </c>
      <c r="F1058" s="8" t="s">
        <v>15</v>
      </c>
    </row>
    <row r="1059" customFormat="false" ht="15" hidden="false" customHeight="true" outlineLevel="0" collapsed="false">
      <c r="A1059" s="34" t="n">
        <v>45946</v>
      </c>
      <c r="B1059" s="8" t="s">
        <v>1363</v>
      </c>
      <c r="C1059" s="8" t="s">
        <v>333</v>
      </c>
      <c r="D1059" s="8" t="s">
        <v>334</v>
      </c>
      <c r="E1059" s="9" t="n">
        <v>259.99</v>
      </c>
      <c r="F1059" s="8" t="s">
        <v>335</v>
      </c>
    </row>
    <row r="1060" customFormat="false" ht="15" hidden="false" customHeight="true" outlineLevel="0" collapsed="false">
      <c r="A1060" s="34" t="n">
        <v>45946</v>
      </c>
      <c r="B1060" s="8" t="s">
        <v>1364</v>
      </c>
      <c r="C1060" s="8" t="s">
        <v>367</v>
      </c>
      <c r="D1060" s="8" t="s">
        <v>368</v>
      </c>
      <c r="E1060" s="9" t="n">
        <v>-5673.06</v>
      </c>
      <c r="F1060" s="8" t="s">
        <v>11</v>
      </c>
    </row>
    <row r="1061" customFormat="false" ht="15" hidden="false" customHeight="true" outlineLevel="0" collapsed="false">
      <c r="A1061" s="34" t="n">
        <v>45947</v>
      </c>
      <c r="B1061" s="8" t="s">
        <v>1365</v>
      </c>
      <c r="C1061" s="8" t="s">
        <v>313</v>
      </c>
      <c r="D1061" s="8" t="s">
        <v>33</v>
      </c>
      <c r="E1061" s="9" t="n">
        <v>-60</v>
      </c>
      <c r="F1061" s="8" t="s">
        <v>19</v>
      </c>
    </row>
    <row r="1062" customFormat="false" ht="15" hidden="false" customHeight="true" outlineLevel="0" collapsed="false">
      <c r="A1062" s="34" t="n">
        <v>45947</v>
      </c>
      <c r="B1062" s="8" t="s">
        <v>1366</v>
      </c>
      <c r="C1062" s="8" t="s">
        <v>313</v>
      </c>
      <c r="D1062" s="8" t="s">
        <v>1367</v>
      </c>
      <c r="E1062" s="9" t="n">
        <v>-77.77</v>
      </c>
      <c r="F1062" s="8" t="s">
        <v>19</v>
      </c>
    </row>
    <row r="1063" customFormat="false" ht="15" hidden="false" customHeight="true" outlineLevel="0" collapsed="false">
      <c r="A1063" s="34" t="n">
        <v>45947</v>
      </c>
      <c r="B1063" s="8" t="s">
        <v>1368</v>
      </c>
      <c r="C1063" s="8" t="s">
        <v>361</v>
      </c>
      <c r="D1063" s="8" t="s">
        <v>750</v>
      </c>
      <c r="E1063" s="9" t="n">
        <v>132807.4</v>
      </c>
      <c r="F1063" s="8" t="s">
        <v>335</v>
      </c>
    </row>
    <row r="1064" customFormat="false" ht="15" hidden="false" customHeight="true" outlineLevel="0" collapsed="false">
      <c r="A1064" s="34" t="n">
        <v>45947</v>
      </c>
      <c r="B1064" s="8" t="s">
        <v>1369</v>
      </c>
      <c r="C1064" s="8" t="s">
        <v>313</v>
      </c>
      <c r="D1064" s="8" t="s">
        <v>1370</v>
      </c>
      <c r="E1064" s="9" t="n">
        <v>-12.8</v>
      </c>
      <c r="F1064" s="8" t="s">
        <v>19</v>
      </c>
    </row>
    <row r="1065" customFormat="false" ht="15" hidden="false" customHeight="true" outlineLevel="0" collapsed="false">
      <c r="A1065" s="34" t="n">
        <v>45950</v>
      </c>
      <c r="B1065" s="8" t="s">
        <v>1371</v>
      </c>
      <c r="C1065" s="8" t="s">
        <v>313</v>
      </c>
      <c r="D1065" s="8" t="s">
        <v>570</v>
      </c>
      <c r="E1065" s="9" t="n">
        <v>-4.5</v>
      </c>
      <c r="F1065" s="8" t="s">
        <v>19</v>
      </c>
    </row>
    <row r="1066" customFormat="false" ht="15" hidden="false" customHeight="true" outlineLevel="0" collapsed="false">
      <c r="A1066" s="34" t="n">
        <v>45950</v>
      </c>
      <c r="B1066" s="8" t="s">
        <v>1372</v>
      </c>
      <c r="C1066" s="8" t="s">
        <v>367</v>
      </c>
      <c r="D1066" s="8" t="s">
        <v>386</v>
      </c>
      <c r="E1066" s="9" t="n">
        <v>-5000</v>
      </c>
      <c r="F1066" s="8" t="s">
        <v>16</v>
      </c>
    </row>
    <row r="1067" customFormat="false" ht="15" hidden="false" customHeight="true" outlineLevel="0" collapsed="false">
      <c r="A1067" s="34" t="n">
        <v>45950</v>
      </c>
      <c r="B1067" s="8" t="s">
        <v>1373</v>
      </c>
      <c r="C1067" s="8" t="s">
        <v>313</v>
      </c>
      <c r="D1067" s="8" t="s">
        <v>723</v>
      </c>
      <c r="E1067" s="9" t="n">
        <v>-100</v>
      </c>
      <c r="F1067" s="8" t="s">
        <v>18</v>
      </c>
    </row>
    <row r="1068" customFormat="false" ht="15" hidden="false" customHeight="true" outlineLevel="0" collapsed="false">
      <c r="A1068" s="34" t="n">
        <v>45950</v>
      </c>
      <c r="B1068" s="8" t="s">
        <v>1374</v>
      </c>
      <c r="C1068" s="8" t="s">
        <v>367</v>
      </c>
      <c r="D1068" s="8" t="s">
        <v>409</v>
      </c>
      <c r="E1068" s="9" t="n">
        <v>-15698</v>
      </c>
      <c r="F1068" s="8" t="s">
        <v>10</v>
      </c>
    </row>
    <row r="1069" customFormat="false" ht="15" hidden="false" customHeight="true" outlineLevel="0" collapsed="false">
      <c r="A1069" s="34" t="n">
        <v>45950</v>
      </c>
      <c r="B1069" s="8" t="s">
        <v>1375</v>
      </c>
      <c r="C1069" s="8" t="s">
        <v>313</v>
      </c>
      <c r="D1069" s="8" t="s">
        <v>440</v>
      </c>
      <c r="E1069" s="9" t="n">
        <v>-76.3</v>
      </c>
      <c r="F1069" s="8" t="s">
        <v>30</v>
      </c>
    </row>
    <row r="1070" customFormat="false" ht="15" hidden="false" customHeight="true" outlineLevel="0" collapsed="false">
      <c r="A1070" s="34" t="n">
        <v>45950</v>
      </c>
      <c r="B1070" s="8" t="s">
        <v>1376</v>
      </c>
      <c r="C1070" s="8" t="s">
        <v>313</v>
      </c>
      <c r="D1070" s="8" t="s">
        <v>570</v>
      </c>
      <c r="E1070" s="9" t="n">
        <v>-4.5</v>
      </c>
      <c r="F1070" s="8" t="s">
        <v>19</v>
      </c>
    </row>
    <row r="1071" customFormat="false" ht="15" hidden="false" customHeight="true" outlineLevel="0" collapsed="false">
      <c r="A1071" s="34" t="n">
        <v>45951</v>
      </c>
      <c r="B1071" s="8" t="s">
        <v>1377</v>
      </c>
      <c r="C1071" s="8" t="s">
        <v>313</v>
      </c>
      <c r="D1071" s="8" t="s">
        <v>562</v>
      </c>
      <c r="E1071" s="9" t="n">
        <v>-50.03</v>
      </c>
      <c r="F1071" s="8" t="s">
        <v>19</v>
      </c>
    </row>
    <row r="1072" customFormat="false" ht="15" hidden="false" customHeight="true" outlineLevel="0" collapsed="false">
      <c r="A1072" s="34" t="n">
        <v>45951</v>
      </c>
      <c r="B1072" s="8" t="s">
        <v>1093</v>
      </c>
      <c r="C1072" s="8" t="s">
        <v>367</v>
      </c>
      <c r="D1072" s="8" t="s">
        <v>368</v>
      </c>
      <c r="E1072" s="9" t="n">
        <v>-40055.61</v>
      </c>
      <c r="F1072" s="8" t="s">
        <v>11</v>
      </c>
    </row>
    <row r="1073" customFormat="false" ht="15" hidden="false" customHeight="true" outlineLevel="0" collapsed="false">
      <c r="A1073" s="34" t="n">
        <v>45952</v>
      </c>
      <c r="B1073" s="8" t="s">
        <v>1378</v>
      </c>
      <c r="C1073" s="8" t="s">
        <v>313</v>
      </c>
      <c r="D1073" s="8" t="s">
        <v>341</v>
      </c>
      <c r="E1073" s="9" t="n">
        <v>-16.2</v>
      </c>
      <c r="F1073" s="8" t="s">
        <v>19</v>
      </c>
    </row>
    <row r="1074" customFormat="false" ht="15" hidden="false" customHeight="true" outlineLevel="0" collapsed="false">
      <c r="A1074" s="34" t="n">
        <v>45952</v>
      </c>
      <c r="B1074" s="8" t="s">
        <v>1379</v>
      </c>
      <c r="C1074" s="8" t="s">
        <v>313</v>
      </c>
      <c r="D1074" s="8" t="s">
        <v>33</v>
      </c>
      <c r="E1074" s="9" t="n">
        <v>-72.25</v>
      </c>
      <c r="F1074" s="8" t="s">
        <v>19</v>
      </c>
    </row>
    <row r="1075" customFormat="false" ht="15" hidden="false" customHeight="true" outlineLevel="0" collapsed="false">
      <c r="A1075" s="34" t="n">
        <v>45952</v>
      </c>
      <c r="B1075" s="8" t="s">
        <v>1380</v>
      </c>
      <c r="C1075" s="8" t="s">
        <v>313</v>
      </c>
      <c r="D1075" s="8" t="s">
        <v>341</v>
      </c>
      <c r="E1075" s="9" t="n">
        <v>-10.7</v>
      </c>
      <c r="F1075" s="8" t="s">
        <v>19</v>
      </c>
    </row>
    <row r="1076" customFormat="false" ht="15" hidden="false" customHeight="true" outlineLevel="0" collapsed="false">
      <c r="A1076" s="34" t="n">
        <v>45952</v>
      </c>
      <c r="B1076" s="8" t="s">
        <v>1381</v>
      </c>
      <c r="C1076" s="8" t="s">
        <v>411</v>
      </c>
      <c r="D1076" s="8" t="s">
        <v>502</v>
      </c>
      <c r="E1076" s="9" t="n">
        <v>-828</v>
      </c>
      <c r="F1076" s="8" t="s">
        <v>17</v>
      </c>
    </row>
    <row r="1077" customFormat="false" ht="15" hidden="false" customHeight="true" outlineLevel="0" collapsed="false">
      <c r="A1077" s="34" t="n">
        <v>45952</v>
      </c>
      <c r="B1077" s="8" t="s">
        <v>1382</v>
      </c>
      <c r="C1077" s="8" t="s">
        <v>414</v>
      </c>
      <c r="D1077" s="8" t="s">
        <v>415</v>
      </c>
      <c r="E1077" s="9" t="n">
        <v>-191</v>
      </c>
      <c r="F1077" s="8" t="s">
        <v>15</v>
      </c>
    </row>
    <row r="1078" customFormat="false" ht="15" hidden="false" customHeight="true" outlineLevel="0" collapsed="false">
      <c r="A1078" s="34" t="n">
        <v>45952</v>
      </c>
      <c r="B1078" s="8" t="s">
        <v>1383</v>
      </c>
      <c r="C1078" s="8" t="s">
        <v>313</v>
      </c>
      <c r="D1078" s="8" t="s">
        <v>346</v>
      </c>
      <c r="E1078" s="9" t="n">
        <v>-10.7</v>
      </c>
      <c r="F1078" s="8" t="s">
        <v>19</v>
      </c>
    </row>
    <row r="1079" customFormat="false" ht="15" hidden="false" customHeight="true" outlineLevel="0" collapsed="false">
      <c r="A1079" s="34" t="n">
        <v>45952</v>
      </c>
      <c r="B1079" s="8" t="s">
        <v>1384</v>
      </c>
      <c r="C1079" s="8" t="s">
        <v>313</v>
      </c>
      <c r="D1079" s="8" t="s">
        <v>481</v>
      </c>
      <c r="E1079" s="9" t="n">
        <v>-3.99</v>
      </c>
      <c r="F1079" s="8" t="s">
        <v>20</v>
      </c>
    </row>
    <row r="1080" customFormat="false" ht="15" hidden="false" customHeight="true" outlineLevel="0" collapsed="false">
      <c r="A1080" s="34" t="n">
        <v>45952</v>
      </c>
      <c r="B1080" s="8" t="s">
        <v>1385</v>
      </c>
      <c r="C1080" s="8" t="s">
        <v>313</v>
      </c>
      <c r="D1080" s="8" t="s">
        <v>346</v>
      </c>
      <c r="E1080" s="9" t="n">
        <v>-16.2</v>
      </c>
      <c r="F1080" s="8" t="s">
        <v>19</v>
      </c>
    </row>
    <row r="1081" customFormat="false" ht="15" hidden="false" customHeight="true" outlineLevel="0" collapsed="false">
      <c r="A1081" s="34" t="n">
        <v>45953</v>
      </c>
      <c r="B1081" s="8" t="s">
        <v>1386</v>
      </c>
      <c r="C1081" s="8" t="s">
        <v>310</v>
      </c>
      <c r="D1081" s="8" t="s">
        <v>390</v>
      </c>
      <c r="E1081" s="9" t="n">
        <v>-129</v>
      </c>
      <c r="F1081" s="8" t="s">
        <v>15</v>
      </c>
    </row>
    <row r="1082" customFormat="false" ht="15" hidden="false" customHeight="true" outlineLevel="0" collapsed="false">
      <c r="A1082" s="34" t="n">
        <v>45953</v>
      </c>
      <c r="B1082" s="8" t="s">
        <v>1387</v>
      </c>
      <c r="C1082" s="8" t="s">
        <v>313</v>
      </c>
      <c r="D1082" s="8" t="s">
        <v>1388</v>
      </c>
      <c r="E1082" s="9" t="n">
        <v>-9.39</v>
      </c>
      <c r="F1082" s="8" t="s">
        <v>19</v>
      </c>
    </row>
    <row r="1083" customFormat="false" ht="15" hidden="false" customHeight="true" outlineLevel="0" collapsed="false">
      <c r="A1083" s="34" t="n">
        <v>45953</v>
      </c>
      <c r="B1083" s="8" t="s">
        <v>1389</v>
      </c>
      <c r="C1083" s="8" t="s">
        <v>313</v>
      </c>
      <c r="D1083" s="8" t="s">
        <v>1390</v>
      </c>
      <c r="E1083" s="9" t="n">
        <v>-31.5</v>
      </c>
      <c r="F1083" s="8" t="s">
        <v>29</v>
      </c>
    </row>
    <row r="1084" customFormat="false" ht="15" hidden="false" customHeight="true" outlineLevel="0" collapsed="false">
      <c r="A1084" s="34" t="n">
        <v>45953</v>
      </c>
      <c r="B1084" s="8" t="s">
        <v>1391</v>
      </c>
      <c r="C1084" s="8" t="s">
        <v>377</v>
      </c>
      <c r="D1084" s="8" t="s">
        <v>378</v>
      </c>
      <c r="E1084" s="9" t="n">
        <v>-28.2</v>
      </c>
      <c r="F1084" s="8" t="s">
        <v>25</v>
      </c>
    </row>
    <row r="1085" customFormat="false" ht="15" hidden="false" customHeight="true" outlineLevel="0" collapsed="false">
      <c r="A1085" s="34" t="n">
        <v>45953</v>
      </c>
      <c r="B1085" s="8" t="s">
        <v>1387</v>
      </c>
      <c r="C1085" s="8" t="s">
        <v>365</v>
      </c>
      <c r="D1085" s="8" t="s">
        <v>1388</v>
      </c>
      <c r="E1085" s="9" t="n">
        <v>-0.27</v>
      </c>
      <c r="F1085" s="8" t="s">
        <v>25</v>
      </c>
    </row>
    <row r="1086" customFormat="false" ht="15" hidden="false" customHeight="true" outlineLevel="0" collapsed="false">
      <c r="A1086" s="34" t="n">
        <v>45953</v>
      </c>
      <c r="B1086" s="8" t="s">
        <v>1392</v>
      </c>
      <c r="C1086" s="8" t="s">
        <v>310</v>
      </c>
      <c r="D1086" s="8" t="s">
        <v>418</v>
      </c>
      <c r="E1086" s="9" t="n">
        <v>-43.38</v>
      </c>
      <c r="F1086" s="8" t="s">
        <v>26</v>
      </c>
    </row>
    <row r="1087" customFormat="false" ht="15" hidden="false" customHeight="true" outlineLevel="0" collapsed="false">
      <c r="A1087" s="34" t="n">
        <v>45953</v>
      </c>
      <c r="B1087" s="8" t="s">
        <v>1393</v>
      </c>
      <c r="C1087" s="8" t="s">
        <v>313</v>
      </c>
      <c r="D1087" s="8" t="s">
        <v>1394</v>
      </c>
      <c r="E1087" s="9" t="n">
        <v>-12.1</v>
      </c>
      <c r="F1087" s="8" t="s">
        <v>19</v>
      </c>
    </row>
    <row r="1088" customFormat="false" ht="15" hidden="false" customHeight="true" outlineLevel="0" collapsed="false">
      <c r="A1088" s="34" t="n">
        <v>45953</v>
      </c>
      <c r="B1088" s="8" t="s">
        <v>1395</v>
      </c>
      <c r="C1088" s="8" t="s">
        <v>365</v>
      </c>
      <c r="D1088" s="8" t="s">
        <v>1396</v>
      </c>
      <c r="E1088" s="9" t="n">
        <v>-0.42</v>
      </c>
      <c r="F1088" s="8" t="s">
        <v>25</v>
      </c>
    </row>
    <row r="1089" customFormat="false" ht="15" hidden="false" customHeight="true" outlineLevel="0" collapsed="false">
      <c r="A1089" s="34" t="n">
        <v>45953</v>
      </c>
      <c r="B1089" s="8" t="s">
        <v>1392</v>
      </c>
      <c r="C1089" s="8" t="s">
        <v>310</v>
      </c>
      <c r="D1089" s="8" t="s">
        <v>418</v>
      </c>
      <c r="E1089" s="9" t="n">
        <v>-41.11</v>
      </c>
      <c r="F1089" s="8" t="s">
        <v>26</v>
      </c>
    </row>
    <row r="1090" customFormat="false" ht="15" hidden="false" customHeight="true" outlineLevel="0" collapsed="false">
      <c r="A1090" s="34" t="n">
        <v>45953</v>
      </c>
      <c r="B1090" s="8" t="s">
        <v>1391</v>
      </c>
      <c r="C1090" s="8" t="s">
        <v>382</v>
      </c>
      <c r="D1090" s="8" t="s">
        <v>658</v>
      </c>
      <c r="E1090" s="9" t="n">
        <v>-21.6</v>
      </c>
      <c r="F1090" s="8" t="s">
        <v>25</v>
      </c>
    </row>
    <row r="1091" customFormat="false" ht="15" hidden="false" customHeight="true" outlineLevel="0" collapsed="false">
      <c r="A1091" s="34" t="n">
        <v>45953</v>
      </c>
      <c r="B1091" s="8" t="s">
        <v>1395</v>
      </c>
      <c r="C1091" s="8" t="s">
        <v>313</v>
      </c>
      <c r="D1091" s="8" t="s">
        <v>1396</v>
      </c>
      <c r="E1091" s="9" t="n">
        <v>-14.65</v>
      </c>
      <c r="F1091" s="8" t="s">
        <v>18</v>
      </c>
    </row>
    <row r="1092" customFormat="false" ht="15" hidden="false" customHeight="true" outlineLevel="0" collapsed="false">
      <c r="A1092" s="34" t="n">
        <v>45953</v>
      </c>
      <c r="B1092" s="8" t="s">
        <v>1391</v>
      </c>
      <c r="C1092" s="8" t="s">
        <v>380</v>
      </c>
      <c r="D1092" s="8" t="s">
        <v>381</v>
      </c>
      <c r="E1092" s="9" t="n">
        <v>-1705.47</v>
      </c>
      <c r="F1092" s="8" t="s">
        <v>12</v>
      </c>
    </row>
    <row r="1093" customFormat="false" ht="15" hidden="false" customHeight="true" outlineLevel="0" collapsed="false">
      <c r="A1093" s="34" t="n">
        <v>45953</v>
      </c>
      <c r="B1093" s="8" t="s">
        <v>1392</v>
      </c>
      <c r="C1093" s="8" t="s">
        <v>310</v>
      </c>
      <c r="D1093" s="8" t="s">
        <v>418</v>
      </c>
      <c r="E1093" s="9" t="n">
        <v>-142.04</v>
      </c>
      <c r="F1093" s="8" t="s">
        <v>26</v>
      </c>
    </row>
    <row r="1094" customFormat="false" ht="15" hidden="false" customHeight="true" outlineLevel="0" collapsed="false">
      <c r="A1094" s="34" t="n">
        <v>45953</v>
      </c>
      <c r="B1094" s="8" t="s">
        <v>1391</v>
      </c>
      <c r="C1094" s="8" t="s">
        <v>359</v>
      </c>
      <c r="D1094" s="8" t="s">
        <v>360</v>
      </c>
      <c r="E1094" s="9" t="n">
        <v>-1.2</v>
      </c>
      <c r="F1094" s="8" t="s">
        <v>25</v>
      </c>
    </row>
    <row r="1095" customFormat="false" ht="15" hidden="false" customHeight="true" outlineLevel="0" collapsed="false">
      <c r="A1095" s="34" t="n">
        <v>45953</v>
      </c>
      <c r="B1095" s="8" t="s">
        <v>1391</v>
      </c>
      <c r="C1095" s="8" t="s">
        <v>373</v>
      </c>
      <c r="D1095" s="8"/>
      <c r="E1095" s="9" t="n">
        <v>-21.5</v>
      </c>
      <c r="F1095" s="8" t="s">
        <v>25</v>
      </c>
    </row>
    <row r="1096" customFormat="false" ht="15" hidden="false" customHeight="true" outlineLevel="0" collapsed="false">
      <c r="A1096" s="34" t="n">
        <v>45953</v>
      </c>
      <c r="B1096" s="8" t="s">
        <v>1397</v>
      </c>
      <c r="C1096" s="8" t="s">
        <v>367</v>
      </c>
      <c r="D1096" s="8" t="s">
        <v>601</v>
      </c>
      <c r="E1096" s="9" t="n">
        <v>-5916</v>
      </c>
      <c r="F1096" s="8" t="s">
        <v>10</v>
      </c>
    </row>
    <row r="1097" customFormat="false" ht="15" hidden="false" customHeight="true" outlineLevel="0" collapsed="false">
      <c r="A1097" s="34" t="n">
        <v>45954</v>
      </c>
      <c r="B1097" s="8" t="s">
        <v>1398</v>
      </c>
      <c r="C1097" s="8" t="s">
        <v>313</v>
      </c>
      <c r="D1097" s="8" t="s">
        <v>457</v>
      </c>
      <c r="E1097" s="9" t="n">
        <v>-11.61</v>
      </c>
      <c r="F1097" s="8" t="s">
        <v>29</v>
      </c>
    </row>
    <row r="1098" customFormat="false" ht="15" hidden="false" customHeight="true" outlineLevel="0" collapsed="false">
      <c r="A1098" s="34" t="n">
        <v>45954</v>
      </c>
      <c r="B1098" s="8" t="s">
        <v>1399</v>
      </c>
      <c r="C1098" s="8" t="s">
        <v>365</v>
      </c>
      <c r="D1098" s="8" t="s">
        <v>1400</v>
      </c>
      <c r="E1098" s="9" t="n">
        <v>-1.52</v>
      </c>
      <c r="F1098" s="8" t="s">
        <v>25</v>
      </c>
    </row>
    <row r="1099" customFormat="false" ht="15" hidden="false" customHeight="true" outlineLevel="0" collapsed="false">
      <c r="A1099" s="34" t="n">
        <v>45954</v>
      </c>
      <c r="B1099" s="8" t="s">
        <v>1401</v>
      </c>
      <c r="C1099" s="8" t="s">
        <v>365</v>
      </c>
      <c r="D1099" s="8" t="s">
        <v>1402</v>
      </c>
      <c r="E1099" s="9" t="n">
        <v>-0.97</v>
      </c>
      <c r="F1099" s="8" t="s">
        <v>25</v>
      </c>
    </row>
    <row r="1100" customFormat="false" ht="15" hidden="false" customHeight="true" outlineLevel="0" collapsed="false">
      <c r="A1100" s="34" t="n">
        <v>45954</v>
      </c>
      <c r="B1100" s="8" t="s">
        <v>1403</v>
      </c>
      <c r="C1100" s="8" t="s">
        <v>365</v>
      </c>
      <c r="D1100" s="8" t="s">
        <v>1404</v>
      </c>
      <c r="E1100" s="9" t="n">
        <v>-1.5</v>
      </c>
      <c r="F1100" s="8" t="s">
        <v>25</v>
      </c>
    </row>
    <row r="1101" customFormat="false" ht="15" hidden="false" customHeight="true" outlineLevel="0" collapsed="false">
      <c r="A1101" s="34" t="n">
        <v>45954</v>
      </c>
      <c r="B1101" s="8" t="s">
        <v>1405</v>
      </c>
      <c r="C1101" s="8" t="s">
        <v>313</v>
      </c>
      <c r="D1101" s="8" t="s">
        <v>1406</v>
      </c>
      <c r="E1101" s="9" t="n">
        <v>-450</v>
      </c>
      <c r="F1101" s="8" t="s">
        <v>27</v>
      </c>
    </row>
    <row r="1102" customFormat="false" ht="15" hidden="false" customHeight="true" outlineLevel="0" collapsed="false">
      <c r="A1102" s="34" t="n">
        <v>45954</v>
      </c>
      <c r="B1102" s="8" t="s">
        <v>1398</v>
      </c>
      <c r="C1102" s="8" t="s">
        <v>365</v>
      </c>
      <c r="D1102" s="8" t="s">
        <v>457</v>
      </c>
      <c r="E1102" s="9" t="n">
        <v>-0.33</v>
      </c>
      <c r="F1102" s="8" t="s">
        <v>25</v>
      </c>
    </row>
    <row r="1103" customFormat="false" ht="15" hidden="false" customHeight="true" outlineLevel="0" collapsed="false">
      <c r="A1103" s="34" t="n">
        <v>45954</v>
      </c>
      <c r="B1103" s="8" t="s">
        <v>1399</v>
      </c>
      <c r="C1103" s="8" t="s">
        <v>313</v>
      </c>
      <c r="D1103" s="8" t="s">
        <v>1400</v>
      </c>
      <c r="E1103" s="9" t="n">
        <v>-52.75</v>
      </c>
      <c r="F1103" s="8" t="s">
        <v>20</v>
      </c>
    </row>
    <row r="1104" customFormat="false" ht="15" hidden="false" customHeight="true" outlineLevel="0" collapsed="false">
      <c r="A1104" s="34" t="n">
        <v>45954</v>
      </c>
      <c r="B1104" s="8" t="s">
        <v>1399</v>
      </c>
      <c r="C1104" s="8" t="s">
        <v>365</v>
      </c>
      <c r="D1104" s="8" t="s">
        <v>1400</v>
      </c>
      <c r="E1104" s="9" t="n">
        <v>-1.42</v>
      </c>
      <c r="F1104" s="8" t="s">
        <v>25</v>
      </c>
    </row>
    <row r="1105" customFormat="false" ht="15" hidden="false" customHeight="true" outlineLevel="0" collapsed="false">
      <c r="A1105" s="34" t="n">
        <v>45954</v>
      </c>
      <c r="B1105" s="8" t="s">
        <v>1403</v>
      </c>
      <c r="C1105" s="8" t="s">
        <v>313</v>
      </c>
      <c r="D1105" s="8" t="s">
        <v>1404</v>
      </c>
      <c r="E1105" s="9" t="n">
        <v>-51.75</v>
      </c>
      <c r="F1105" s="8" t="s">
        <v>17</v>
      </c>
    </row>
    <row r="1106" customFormat="false" ht="15" hidden="false" customHeight="true" outlineLevel="0" collapsed="false">
      <c r="A1106" s="34" t="n">
        <v>45954</v>
      </c>
      <c r="B1106" s="8" t="s">
        <v>1399</v>
      </c>
      <c r="C1106" s="8" t="s">
        <v>313</v>
      </c>
      <c r="D1106" s="8" t="s">
        <v>1400</v>
      </c>
      <c r="E1106" s="9" t="n">
        <v>-49.07</v>
      </c>
      <c r="F1106" s="8" t="s">
        <v>20</v>
      </c>
    </row>
    <row r="1107" customFormat="false" ht="15" hidden="false" customHeight="true" outlineLevel="0" collapsed="false">
      <c r="A1107" s="34" t="n">
        <v>45954</v>
      </c>
      <c r="B1107" s="8" t="s">
        <v>1401</v>
      </c>
      <c r="C1107" s="8" t="s">
        <v>313</v>
      </c>
      <c r="D1107" s="8" t="s">
        <v>1402</v>
      </c>
      <c r="E1107" s="9" t="n">
        <v>-33.63</v>
      </c>
      <c r="F1107" s="8" t="s">
        <v>30</v>
      </c>
    </row>
    <row r="1108" customFormat="false" ht="15" hidden="false" customHeight="true" outlineLevel="0" collapsed="false">
      <c r="A1108" s="34" t="n">
        <v>45957</v>
      </c>
      <c r="B1108" s="8" t="s">
        <v>1407</v>
      </c>
      <c r="C1108" s="8" t="s">
        <v>313</v>
      </c>
      <c r="D1108" s="8" t="s">
        <v>1408</v>
      </c>
      <c r="E1108" s="9" t="n">
        <v>-52.57</v>
      </c>
      <c r="F1108" s="8" t="s">
        <v>17</v>
      </c>
    </row>
    <row r="1109" customFormat="false" ht="15" hidden="false" customHeight="true" outlineLevel="0" collapsed="false">
      <c r="A1109" s="34" t="n">
        <v>45957</v>
      </c>
      <c r="B1109" s="8" t="s">
        <v>1409</v>
      </c>
      <c r="C1109" s="8" t="s">
        <v>313</v>
      </c>
      <c r="D1109" s="8" t="s">
        <v>457</v>
      </c>
      <c r="E1109" s="9" t="n">
        <v>-20.68</v>
      </c>
      <c r="F1109" s="8" t="s">
        <v>29</v>
      </c>
    </row>
    <row r="1110" customFormat="false" ht="15" hidden="false" customHeight="true" outlineLevel="0" collapsed="false">
      <c r="A1110" s="34" t="n">
        <v>45957</v>
      </c>
      <c r="B1110" s="8" t="s">
        <v>1410</v>
      </c>
      <c r="C1110" s="8" t="s">
        <v>365</v>
      </c>
      <c r="D1110" s="8" t="s">
        <v>530</v>
      </c>
      <c r="E1110" s="9" t="n">
        <v>-0.6</v>
      </c>
      <c r="F1110" s="8" t="s">
        <v>25</v>
      </c>
    </row>
    <row r="1111" customFormat="false" ht="15" hidden="false" customHeight="true" outlineLevel="0" collapsed="false">
      <c r="A1111" s="34" t="n">
        <v>45957</v>
      </c>
      <c r="B1111" s="8" t="s">
        <v>1411</v>
      </c>
      <c r="C1111" s="8" t="s">
        <v>310</v>
      </c>
      <c r="D1111" s="8" t="s">
        <v>432</v>
      </c>
      <c r="E1111" s="9" t="n">
        <v>-610.48</v>
      </c>
      <c r="F1111" s="8" t="s">
        <v>15</v>
      </c>
    </row>
    <row r="1112" customFormat="false" ht="15" hidden="false" customHeight="true" outlineLevel="0" collapsed="false">
      <c r="A1112" s="34" t="n">
        <v>45957</v>
      </c>
      <c r="B1112" s="8" t="s">
        <v>1412</v>
      </c>
      <c r="C1112" s="8" t="s">
        <v>313</v>
      </c>
      <c r="D1112" s="8" t="s">
        <v>1413</v>
      </c>
      <c r="E1112" s="9" t="n">
        <v>-16.2</v>
      </c>
      <c r="F1112" s="8" t="s">
        <v>20</v>
      </c>
    </row>
    <row r="1113" customFormat="false" ht="15" hidden="false" customHeight="true" outlineLevel="0" collapsed="false">
      <c r="A1113" s="34" t="n">
        <v>45957</v>
      </c>
      <c r="B1113" s="8" t="s">
        <v>1409</v>
      </c>
      <c r="C1113" s="8" t="s">
        <v>365</v>
      </c>
      <c r="D1113" s="8" t="s">
        <v>457</v>
      </c>
      <c r="E1113" s="9" t="n">
        <v>-0.59</v>
      </c>
      <c r="F1113" s="8" t="s">
        <v>25</v>
      </c>
    </row>
    <row r="1114" customFormat="false" ht="15" hidden="false" customHeight="true" outlineLevel="0" collapsed="false">
      <c r="A1114" s="34" t="n">
        <v>45957</v>
      </c>
      <c r="B1114" s="8" t="s">
        <v>1414</v>
      </c>
      <c r="C1114" s="8" t="s">
        <v>365</v>
      </c>
      <c r="D1114" s="8" t="s">
        <v>530</v>
      </c>
      <c r="E1114" s="9" t="n">
        <v>-1.96</v>
      </c>
      <c r="F1114" s="8" t="s">
        <v>25</v>
      </c>
    </row>
    <row r="1115" customFormat="false" ht="15" hidden="false" customHeight="true" outlineLevel="0" collapsed="false">
      <c r="A1115" s="34" t="n">
        <v>45957</v>
      </c>
      <c r="B1115" s="8" t="s">
        <v>1415</v>
      </c>
      <c r="C1115" s="8" t="s">
        <v>365</v>
      </c>
      <c r="D1115" s="8" t="s">
        <v>1416</v>
      </c>
      <c r="E1115" s="9" t="n">
        <v>-0.81</v>
      </c>
      <c r="F1115" s="8" t="s">
        <v>25</v>
      </c>
    </row>
    <row r="1116" customFormat="false" ht="15" hidden="false" customHeight="true" outlineLevel="0" collapsed="false">
      <c r="A1116" s="34" t="n">
        <v>45957</v>
      </c>
      <c r="B1116" s="8" t="s">
        <v>1417</v>
      </c>
      <c r="C1116" s="8" t="s">
        <v>313</v>
      </c>
      <c r="D1116" s="8" t="s">
        <v>1418</v>
      </c>
      <c r="E1116" s="9" t="n">
        <v>-18.15</v>
      </c>
      <c r="F1116" s="8" t="s">
        <v>19</v>
      </c>
    </row>
    <row r="1117" customFormat="false" ht="15" hidden="false" customHeight="true" outlineLevel="0" collapsed="false">
      <c r="A1117" s="34" t="n">
        <v>45957</v>
      </c>
      <c r="B1117" s="8" t="s">
        <v>1419</v>
      </c>
      <c r="C1117" s="8" t="s">
        <v>313</v>
      </c>
      <c r="D1117" s="8" t="s">
        <v>1420</v>
      </c>
      <c r="E1117" s="9" t="n">
        <v>-6.28</v>
      </c>
      <c r="F1117" s="8" t="s">
        <v>30</v>
      </c>
    </row>
    <row r="1118" customFormat="false" ht="15" hidden="false" customHeight="true" outlineLevel="0" collapsed="false">
      <c r="A1118" s="34" t="n">
        <v>45957</v>
      </c>
      <c r="B1118" s="8" t="s">
        <v>1421</v>
      </c>
      <c r="C1118" s="8" t="s">
        <v>313</v>
      </c>
      <c r="D1118" s="8" t="s">
        <v>1422</v>
      </c>
      <c r="E1118" s="9" t="n">
        <v>-7.04</v>
      </c>
      <c r="F1118" s="8" t="s">
        <v>19</v>
      </c>
    </row>
    <row r="1119" customFormat="false" ht="15" hidden="false" customHeight="true" outlineLevel="0" collapsed="false">
      <c r="A1119" s="34" t="n">
        <v>45957</v>
      </c>
      <c r="B1119" s="8" t="s">
        <v>1423</v>
      </c>
      <c r="C1119" s="8" t="s">
        <v>313</v>
      </c>
      <c r="D1119" s="8" t="s">
        <v>1424</v>
      </c>
      <c r="E1119" s="9" t="n">
        <v>-16.9</v>
      </c>
      <c r="F1119" s="8" t="s">
        <v>29</v>
      </c>
    </row>
    <row r="1120" customFormat="false" ht="15" hidden="false" customHeight="true" outlineLevel="0" collapsed="false">
      <c r="A1120" s="34" t="n">
        <v>45957</v>
      </c>
      <c r="B1120" s="8" t="s">
        <v>1425</v>
      </c>
      <c r="C1120" s="8" t="s">
        <v>365</v>
      </c>
      <c r="D1120" s="8" t="s">
        <v>1426</v>
      </c>
      <c r="E1120" s="9" t="n">
        <v>-2.44</v>
      </c>
      <c r="F1120" s="8" t="s">
        <v>25</v>
      </c>
    </row>
    <row r="1121" customFormat="false" ht="15" hidden="false" customHeight="true" outlineLevel="0" collapsed="false">
      <c r="A1121" s="34" t="n">
        <v>45957</v>
      </c>
      <c r="B1121" s="8" t="s">
        <v>1425</v>
      </c>
      <c r="C1121" s="8" t="s">
        <v>313</v>
      </c>
      <c r="D1121" s="8" t="s">
        <v>1426</v>
      </c>
      <c r="E1121" s="9" t="n">
        <v>-84.29</v>
      </c>
      <c r="F1121" s="8" t="s">
        <v>29</v>
      </c>
    </row>
    <row r="1122" customFormat="false" ht="15" hidden="false" customHeight="true" outlineLevel="0" collapsed="false">
      <c r="A1122" s="34" t="n">
        <v>45957</v>
      </c>
      <c r="B1122" s="8" t="s">
        <v>1427</v>
      </c>
      <c r="C1122" s="8" t="s">
        <v>313</v>
      </c>
      <c r="D1122" s="8" t="s">
        <v>1428</v>
      </c>
      <c r="E1122" s="9" t="n">
        <v>-38.27</v>
      </c>
      <c r="F1122" s="8" t="s">
        <v>29</v>
      </c>
    </row>
    <row r="1123" customFormat="false" ht="15" hidden="false" customHeight="true" outlineLevel="0" collapsed="false">
      <c r="A1123" s="34" t="n">
        <v>45957</v>
      </c>
      <c r="B1123" s="8" t="s">
        <v>1429</v>
      </c>
      <c r="C1123" s="8" t="s">
        <v>365</v>
      </c>
      <c r="D1123" s="8" t="s">
        <v>1430</v>
      </c>
      <c r="E1123" s="9" t="n">
        <v>-2.84</v>
      </c>
      <c r="F1123" s="8" t="s">
        <v>25</v>
      </c>
    </row>
    <row r="1124" customFormat="false" ht="15" hidden="false" customHeight="true" outlineLevel="0" collapsed="false">
      <c r="A1124" s="34" t="n">
        <v>45957</v>
      </c>
      <c r="B1124" s="8" t="s">
        <v>1423</v>
      </c>
      <c r="C1124" s="8" t="s">
        <v>365</v>
      </c>
      <c r="D1124" s="8" t="s">
        <v>1424</v>
      </c>
      <c r="E1124" s="9" t="n">
        <v>-0.49</v>
      </c>
      <c r="F1124" s="8" t="s">
        <v>25</v>
      </c>
    </row>
    <row r="1125" customFormat="false" ht="15" hidden="false" customHeight="true" outlineLevel="0" collapsed="false">
      <c r="A1125" s="34" t="n">
        <v>45957</v>
      </c>
      <c r="B1125" s="8" t="s">
        <v>1407</v>
      </c>
      <c r="C1125" s="8" t="s">
        <v>365</v>
      </c>
      <c r="D1125" s="8" t="s">
        <v>1408</v>
      </c>
      <c r="E1125" s="9" t="n">
        <v>-1.52</v>
      </c>
      <c r="F1125" s="8" t="s">
        <v>25</v>
      </c>
    </row>
    <row r="1126" customFormat="false" ht="15" hidden="false" customHeight="true" outlineLevel="0" collapsed="false">
      <c r="A1126" s="34" t="n">
        <v>45957</v>
      </c>
      <c r="B1126" s="8" t="s">
        <v>1414</v>
      </c>
      <c r="C1126" s="8" t="s">
        <v>313</v>
      </c>
      <c r="D1126" s="8" t="s">
        <v>530</v>
      </c>
      <c r="E1126" s="9" t="n">
        <v>-67.87</v>
      </c>
      <c r="F1126" s="8" t="s">
        <v>30</v>
      </c>
    </row>
    <row r="1127" customFormat="false" ht="15" hidden="false" customHeight="true" outlineLevel="0" collapsed="false">
      <c r="A1127" s="34" t="n">
        <v>45957</v>
      </c>
      <c r="B1127" s="8" t="s">
        <v>1415</v>
      </c>
      <c r="C1127" s="8" t="s">
        <v>313</v>
      </c>
      <c r="D1127" s="8" t="s">
        <v>1416</v>
      </c>
      <c r="E1127" s="9" t="n">
        <v>-28.21</v>
      </c>
      <c r="F1127" s="8" t="s">
        <v>17</v>
      </c>
    </row>
    <row r="1128" customFormat="false" ht="15" hidden="false" customHeight="true" outlineLevel="0" collapsed="false">
      <c r="A1128" s="34" t="n">
        <v>45957</v>
      </c>
      <c r="B1128" s="8" t="s">
        <v>1431</v>
      </c>
      <c r="C1128" s="8" t="s">
        <v>365</v>
      </c>
      <c r="D1128" s="8" t="s">
        <v>1432</v>
      </c>
      <c r="E1128" s="9" t="n">
        <v>-0.54</v>
      </c>
      <c r="F1128" s="8" t="s">
        <v>25</v>
      </c>
    </row>
    <row r="1129" customFormat="false" ht="15" hidden="false" customHeight="true" outlineLevel="0" collapsed="false">
      <c r="A1129" s="34" t="n">
        <v>45957</v>
      </c>
      <c r="B1129" s="8" t="s">
        <v>1431</v>
      </c>
      <c r="C1129" s="8" t="s">
        <v>313</v>
      </c>
      <c r="D1129" s="8" t="s">
        <v>1432</v>
      </c>
      <c r="E1129" s="9" t="n">
        <v>-18.78</v>
      </c>
      <c r="F1129" s="8" t="s">
        <v>17</v>
      </c>
    </row>
    <row r="1130" customFormat="false" ht="15" hidden="false" customHeight="true" outlineLevel="0" collapsed="false">
      <c r="A1130" s="34" t="n">
        <v>45957</v>
      </c>
      <c r="B1130" s="8" t="s">
        <v>1421</v>
      </c>
      <c r="C1130" s="8" t="s">
        <v>365</v>
      </c>
      <c r="D1130" s="8" t="s">
        <v>1422</v>
      </c>
      <c r="E1130" s="9" t="n">
        <v>-0.2</v>
      </c>
      <c r="F1130" s="8" t="s">
        <v>25</v>
      </c>
    </row>
    <row r="1131" customFormat="false" ht="15" hidden="false" customHeight="true" outlineLevel="0" collapsed="false">
      <c r="A1131" s="34" t="n">
        <v>45957</v>
      </c>
      <c r="B1131" s="8" t="s">
        <v>1433</v>
      </c>
      <c r="C1131" s="8" t="s">
        <v>310</v>
      </c>
      <c r="D1131" s="8" t="s">
        <v>400</v>
      </c>
      <c r="E1131" s="9" t="n">
        <v>-362.52</v>
      </c>
      <c r="F1131" s="8" t="s">
        <v>20</v>
      </c>
    </row>
    <row r="1132" customFormat="false" ht="15" hidden="false" customHeight="true" outlineLevel="0" collapsed="false">
      <c r="A1132" s="34" t="n">
        <v>45957</v>
      </c>
      <c r="B1132" s="8" t="s">
        <v>1434</v>
      </c>
      <c r="C1132" s="8" t="s">
        <v>313</v>
      </c>
      <c r="D1132" s="8" t="s">
        <v>1435</v>
      </c>
      <c r="E1132" s="9" t="n">
        <v>-120.92</v>
      </c>
      <c r="F1132" s="8" t="s">
        <v>17</v>
      </c>
    </row>
    <row r="1133" customFormat="false" ht="15" hidden="false" customHeight="true" outlineLevel="0" collapsed="false">
      <c r="A1133" s="34" t="n">
        <v>45957</v>
      </c>
      <c r="B1133" s="8" t="s">
        <v>1429</v>
      </c>
      <c r="C1133" s="8" t="s">
        <v>313</v>
      </c>
      <c r="D1133" s="8" t="s">
        <v>1430</v>
      </c>
      <c r="E1133" s="9" t="n">
        <v>-98.1</v>
      </c>
      <c r="F1133" s="8" t="s">
        <v>29</v>
      </c>
    </row>
    <row r="1134" customFormat="false" ht="15" hidden="false" customHeight="true" outlineLevel="0" collapsed="false">
      <c r="A1134" s="34" t="n">
        <v>45957</v>
      </c>
      <c r="B1134" s="8" t="s">
        <v>1412</v>
      </c>
      <c r="C1134" s="8" t="s">
        <v>365</v>
      </c>
      <c r="D1134" s="8" t="s">
        <v>1413</v>
      </c>
      <c r="E1134" s="9" t="n">
        <v>-0.46</v>
      </c>
      <c r="F1134" s="8" t="s">
        <v>25</v>
      </c>
    </row>
    <row r="1135" customFormat="false" ht="15" hidden="false" customHeight="true" outlineLevel="0" collapsed="false">
      <c r="A1135" s="34" t="n">
        <v>45957</v>
      </c>
      <c r="B1135" s="8" t="s">
        <v>1419</v>
      </c>
      <c r="C1135" s="8" t="s">
        <v>365</v>
      </c>
      <c r="D1135" s="8" t="s">
        <v>1420</v>
      </c>
      <c r="E1135" s="9" t="n">
        <v>-0.18</v>
      </c>
      <c r="F1135" s="8" t="s">
        <v>25</v>
      </c>
    </row>
    <row r="1136" customFormat="false" ht="15" hidden="false" customHeight="true" outlineLevel="0" collapsed="false">
      <c r="A1136" s="34" t="n">
        <v>45957</v>
      </c>
      <c r="B1136" s="8" t="s">
        <v>1434</v>
      </c>
      <c r="C1136" s="8" t="s">
        <v>365</v>
      </c>
      <c r="D1136" s="8" t="s">
        <v>1435</v>
      </c>
      <c r="E1136" s="9" t="n">
        <v>-3.5</v>
      </c>
      <c r="F1136" s="8" t="s">
        <v>25</v>
      </c>
    </row>
    <row r="1137" customFormat="false" ht="15" hidden="false" customHeight="true" outlineLevel="0" collapsed="false">
      <c r="A1137" s="34" t="n">
        <v>45957</v>
      </c>
      <c r="B1137" s="8" t="s">
        <v>1417</v>
      </c>
      <c r="C1137" s="8" t="s">
        <v>365</v>
      </c>
      <c r="D1137" s="8" t="s">
        <v>1418</v>
      </c>
      <c r="E1137" s="9" t="n">
        <v>-0.52</v>
      </c>
      <c r="F1137" s="8" t="s">
        <v>25</v>
      </c>
    </row>
    <row r="1138" customFormat="false" ht="15" hidden="false" customHeight="true" outlineLevel="0" collapsed="false">
      <c r="A1138" s="34" t="n">
        <v>45957</v>
      </c>
      <c r="B1138" s="8" t="s">
        <v>1410</v>
      </c>
      <c r="C1138" s="8" t="s">
        <v>313</v>
      </c>
      <c r="D1138" s="8" t="s">
        <v>530</v>
      </c>
      <c r="E1138" s="9" t="n">
        <v>-20.77</v>
      </c>
      <c r="F1138" s="8" t="s">
        <v>30</v>
      </c>
    </row>
    <row r="1139" customFormat="false" ht="15" hidden="false" customHeight="true" outlineLevel="0" collapsed="false">
      <c r="A1139" s="34" t="n">
        <v>45957</v>
      </c>
      <c r="B1139" s="8" t="s">
        <v>1427</v>
      </c>
      <c r="C1139" s="8" t="s">
        <v>365</v>
      </c>
      <c r="D1139" s="8" t="s">
        <v>1428</v>
      </c>
      <c r="E1139" s="9" t="n">
        <v>-1.1</v>
      </c>
      <c r="F1139" s="8" t="s">
        <v>25</v>
      </c>
    </row>
    <row r="1140" customFormat="false" ht="15" hidden="false" customHeight="true" outlineLevel="0" collapsed="false">
      <c r="A1140" s="34" t="n">
        <v>45958</v>
      </c>
      <c r="B1140" s="8" t="s">
        <v>1436</v>
      </c>
      <c r="C1140" s="8" t="s">
        <v>365</v>
      </c>
      <c r="D1140" s="8" t="s">
        <v>457</v>
      </c>
      <c r="E1140" s="9" t="n">
        <v>-1.05</v>
      </c>
      <c r="F1140" s="8" t="s">
        <v>25</v>
      </c>
    </row>
    <row r="1141" customFormat="false" ht="15" hidden="false" customHeight="true" outlineLevel="0" collapsed="false">
      <c r="A1141" s="34" t="n">
        <v>45958</v>
      </c>
      <c r="B1141" s="8" t="s">
        <v>1437</v>
      </c>
      <c r="C1141" s="8" t="s">
        <v>313</v>
      </c>
      <c r="D1141" s="8" t="s">
        <v>1438</v>
      </c>
      <c r="E1141" s="9" t="n">
        <v>-40.62</v>
      </c>
      <c r="F1141" s="8" t="s">
        <v>29</v>
      </c>
    </row>
    <row r="1142" customFormat="false" ht="15" hidden="false" customHeight="true" outlineLevel="0" collapsed="false">
      <c r="A1142" s="34" t="n">
        <v>45958</v>
      </c>
      <c r="B1142" s="8" t="s">
        <v>1439</v>
      </c>
      <c r="C1142" s="8" t="s">
        <v>310</v>
      </c>
      <c r="D1142" s="8" t="s">
        <v>678</v>
      </c>
      <c r="E1142" s="9" t="n">
        <v>-15.95</v>
      </c>
      <c r="F1142" s="8" t="s">
        <v>19</v>
      </c>
    </row>
    <row r="1143" customFormat="false" ht="15" hidden="false" customHeight="true" outlineLevel="0" collapsed="false">
      <c r="A1143" s="34" t="n">
        <v>45958</v>
      </c>
      <c r="B1143" s="8" t="s">
        <v>1440</v>
      </c>
      <c r="C1143" s="8" t="s">
        <v>367</v>
      </c>
      <c r="D1143" s="8" t="s">
        <v>412</v>
      </c>
      <c r="E1143" s="9" t="n">
        <v>-1782.23</v>
      </c>
      <c r="F1143" s="8" t="s">
        <v>14</v>
      </c>
    </row>
    <row r="1144" customFormat="false" ht="15" hidden="false" customHeight="true" outlineLevel="0" collapsed="false">
      <c r="A1144" s="34" t="n">
        <v>45958</v>
      </c>
      <c r="B1144" s="8" t="s">
        <v>1436</v>
      </c>
      <c r="C1144" s="8" t="s">
        <v>313</v>
      </c>
      <c r="D1144" s="8" t="s">
        <v>457</v>
      </c>
      <c r="E1144" s="9" t="n">
        <v>-36.5</v>
      </c>
      <c r="F1144" s="8" t="s">
        <v>29</v>
      </c>
    </row>
    <row r="1145" customFormat="false" ht="15" hidden="false" customHeight="true" outlineLevel="0" collapsed="false">
      <c r="A1145" s="34" t="n">
        <v>45958</v>
      </c>
      <c r="B1145" s="8" t="s">
        <v>1441</v>
      </c>
      <c r="C1145" s="8" t="s">
        <v>365</v>
      </c>
      <c r="D1145" s="8" t="s">
        <v>1442</v>
      </c>
      <c r="E1145" s="9" t="n">
        <v>-0.49</v>
      </c>
      <c r="F1145" s="8" t="s">
        <v>25</v>
      </c>
    </row>
    <row r="1146" customFormat="false" ht="15" hidden="false" customHeight="true" outlineLevel="0" collapsed="false">
      <c r="A1146" s="34" t="n">
        <v>45958</v>
      </c>
      <c r="B1146" s="8" t="s">
        <v>1443</v>
      </c>
      <c r="C1146" s="8" t="s">
        <v>365</v>
      </c>
      <c r="D1146" s="8" t="s">
        <v>1402</v>
      </c>
      <c r="E1146" s="9" t="n">
        <v>-1.52</v>
      </c>
      <c r="F1146" s="8" t="s">
        <v>25</v>
      </c>
    </row>
    <row r="1147" customFormat="false" ht="15" hidden="false" customHeight="true" outlineLevel="0" collapsed="false">
      <c r="A1147" s="34" t="n">
        <v>45958</v>
      </c>
      <c r="B1147" s="8" t="s">
        <v>1444</v>
      </c>
      <c r="C1147" s="8" t="s">
        <v>313</v>
      </c>
      <c r="D1147" s="8" t="s">
        <v>1442</v>
      </c>
      <c r="E1147" s="9" t="n">
        <v>-53.88</v>
      </c>
      <c r="F1147" s="8" t="s">
        <v>18</v>
      </c>
    </row>
    <row r="1148" customFormat="false" ht="15" hidden="false" customHeight="true" outlineLevel="0" collapsed="false">
      <c r="A1148" s="34" t="n">
        <v>45958</v>
      </c>
      <c r="B1148" s="8" t="s">
        <v>1445</v>
      </c>
      <c r="C1148" s="8" t="s">
        <v>365</v>
      </c>
      <c r="D1148" s="8" t="s">
        <v>1442</v>
      </c>
      <c r="E1148" s="9" t="n">
        <v>-0.35</v>
      </c>
      <c r="F1148" s="8" t="s">
        <v>25</v>
      </c>
    </row>
    <row r="1149" customFormat="false" ht="15" hidden="false" customHeight="true" outlineLevel="0" collapsed="false">
      <c r="A1149" s="34" t="n">
        <v>45958</v>
      </c>
      <c r="B1149" s="8" t="s">
        <v>1446</v>
      </c>
      <c r="C1149" s="8" t="s">
        <v>313</v>
      </c>
      <c r="D1149" s="8" t="s">
        <v>683</v>
      </c>
      <c r="E1149" s="9" t="n">
        <v>-13</v>
      </c>
      <c r="F1149" s="8" t="s">
        <v>20</v>
      </c>
    </row>
    <row r="1150" customFormat="false" ht="15" hidden="false" customHeight="true" outlineLevel="0" collapsed="false">
      <c r="A1150" s="34" t="n">
        <v>45958</v>
      </c>
      <c r="B1150" s="8" t="s">
        <v>1447</v>
      </c>
      <c r="C1150" s="8" t="s">
        <v>365</v>
      </c>
      <c r="D1150" s="8" t="s">
        <v>1442</v>
      </c>
      <c r="E1150" s="9" t="n">
        <v>-1.17</v>
      </c>
      <c r="F1150" s="8" t="s">
        <v>25</v>
      </c>
    </row>
    <row r="1151" customFormat="false" ht="15" hidden="false" customHeight="true" outlineLevel="0" collapsed="false">
      <c r="A1151" s="34" t="n">
        <v>45958</v>
      </c>
      <c r="B1151" s="8" t="s">
        <v>1445</v>
      </c>
      <c r="C1151" s="8" t="s">
        <v>313</v>
      </c>
      <c r="D1151" s="8" t="s">
        <v>1442</v>
      </c>
      <c r="E1151" s="9" t="n">
        <v>-12.21</v>
      </c>
      <c r="F1151" s="8" t="s">
        <v>18</v>
      </c>
    </row>
    <row r="1152" customFormat="false" ht="15" hidden="false" customHeight="true" outlineLevel="0" collapsed="false">
      <c r="A1152" s="34" t="n">
        <v>45958</v>
      </c>
      <c r="B1152" s="8" t="s">
        <v>1441</v>
      </c>
      <c r="C1152" s="8" t="s">
        <v>313</v>
      </c>
      <c r="D1152" s="8" t="s">
        <v>1442</v>
      </c>
      <c r="E1152" s="9" t="n">
        <v>-16.9</v>
      </c>
      <c r="F1152" s="8" t="s">
        <v>18</v>
      </c>
    </row>
    <row r="1153" customFormat="false" ht="15" hidden="false" customHeight="true" outlineLevel="0" collapsed="false">
      <c r="A1153" s="34" t="n">
        <v>45958</v>
      </c>
      <c r="B1153" s="8" t="s">
        <v>1448</v>
      </c>
      <c r="C1153" s="8" t="s">
        <v>367</v>
      </c>
      <c r="D1153" s="8" t="s">
        <v>476</v>
      </c>
      <c r="E1153" s="9" t="n">
        <v>-2465.38</v>
      </c>
      <c r="F1153" s="8" t="s">
        <v>14</v>
      </c>
    </row>
    <row r="1154" customFormat="false" ht="15" hidden="false" customHeight="true" outlineLevel="0" collapsed="false">
      <c r="A1154" s="34" t="n">
        <v>45958</v>
      </c>
      <c r="B1154" s="8" t="s">
        <v>1447</v>
      </c>
      <c r="C1154" s="8" t="s">
        <v>313</v>
      </c>
      <c r="D1154" s="8" t="s">
        <v>1442</v>
      </c>
      <c r="E1154" s="9" t="n">
        <v>-40.38</v>
      </c>
      <c r="F1154" s="8" t="s">
        <v>18</v>
      </c>
    </row>
    <row r="1155" customFormat="false" ht="15" hidden="false" customHeight="true" outlineLevel="0" collapsed="false">
      <c r="A1155" s="34" t="n">
        <v>45958</v>
      </c>
      <c r="B1155" s="8" t="s">
        <v>1449</v>
      </c>
      <c r="C1155" s="8" t="s">
        <v>367</v>
      </c>
      <c r="D1155" s="8" t="s">
        <v>464</v>
      </c>
      <c r="E1155" s="9" t="n">
        <v>-1236.18</v>
      </c>
      <c r="F1155" s="8" t="s">
        <v>14</v>
      </c>
    </row>
    <row r="1156" customFormat="false" ht="15" hidden="false" customHeight="true" outlineLevel="0" collapsed="false">
      <c r="A1156" s="34" t="n">
        <v>45958</v>
      </c>
      <c r="B1156" s="8" t="s">
        <v>1437</v>
      </c>
      <c r="C1156" s="8" t="s">
        <v>365</v>
      </c>
      <c r="D1156" s="8" t="s">
        <v>1438</v>
      </c>
      <c r="E1156" s="9" t="n">
        <v>-1.17</v>
      </c>
      <c r="F1156" s="8" t="s">
        <v>25</v>
      </c>
    </row>
    <row r="1157" customFormat="false" ht="15" hidden="false" customHeight="true" outlineLevel="0" collapsed="false">
      <c r="A1157" s="34" t="n">
        <v>45958</v>
      </c>
      <c r="B1157" s="8" t="s">
        <v>1443</v>
      </c>
      <c r="C1157" s="8" t="s">
        <v>313</v>
      </c>
      <c r="D1157" s="8" t="s">
        <v>1402</v>
      </c>
      <c r="E1157" s="9" t="n">
        <v>-52.6</v>
      </c>
      <c r="F1157" s="8" t="s">
        <v>30</v>
      </c>
    </row>
    <row r="1158" customFormat="false" ht="15" hidden="false" customHeight="true" outlineLevel="0" collapsed="false">
      <c r="A1158" s="34" t="n">
        <v>45958</v>
      </c>
      <c r="B1158" s="8" t="s">
        <v>1444</v>
      </c>
      <c r="C1158" s="8" t="s">
        <v>365</v>
      </c>
      <c r="D1158" s="8" t="s">
        <v>1442</v>
      </c>
      <c r="E1158" s="9" t="n">
        <v>-1.56</v>
      </c>
      <c r="F1158" s="8" t="s">
        <v>25</v>
      </c>
    </row>
    <row r="1159" customFormat="false" ht="15" hidden="false" customHeight="true" outlineLevel="0" collapsed="false">
      <c r="A1159" s="34" t="n">
        <v>45959</v>
      </c>
      <c r="B1159" s="8" t="s">
        <v>1450</v>
      </c>
      <c r="C1159" s="8" t="s">
        <v>313</v>
      </c>
      <c r="D1159" s="8" t="s">
        <v>1442</v>
      </c>
      <c r="E1159" s="9" t="n">
        <v>-16.88</v>
      </c>
      <c r="F1159" s="8" t="s">
        <v>18</v>
      </c>
    </row>
    <row r="1160" customFormat="false" ht="15" hidden="false" customHeight="true" outlineLevel="0" collapsed="false">
      <c r="A1160" s="34" t="n">
        <v>45959</v>
      </c>
      <c r="B1160" s="8" t="s">
        <v>1451</v>
      </c>
      <c r="C1160" s="8" t="s">
        <v>365</v>
      </c>
      <c r="D1160" s="8" t="s">
        <v>1442</v>
      </c>
      <c r="E1160" s="9" t="n">
        <v>-3.27</v>
      </c>
      <c r="F1160" s="8" t="s">
        <v>25</v>
      </c>
    </row>
    <row r="1161" customFormat="false" ht="15" hidden="false" customHeight="true" outlineLevel="0" collapsed="false">
      <c r="A1161" s="34" t="n">
        <v>45959</v>
      </c>
      <c r="B1161" s="8" t="s">
        <v>1452</v>
      </c>
      <c r="C1161" s="8" t="s">
        <v>365</v>
      </c>
      <c r="D1161" s="8" t="s">
        <v>1442</v>
      </c>
      <c r="E1161" s="9" t="n">
        <v>-2.18</v>
      </c>
      <c r="F1161" s="8" t="s">
        <v>25</v>
      </c>
    </row>
    <row r="1162" customFormat="false" ht="15" hidden="false" customHeight="true" outlineLevel="0" collapsed="false">
      <c r="A1162" s="34" t="n">
        <v>45959</v>
      </c>
      <c r="B1162" s="8" t="s">
        <v>1453</v>
      </c>
      <c r="C1162" s="8" t="s">
        <v>313</v>
      </c>
      <c r="D1162" s="8" t="s">
        <v>1454</v>
      </c>
      <c r="E1162" s="9" t="n">
        <v>-101.75</v>
      </c>
      <c r="F1162" s="8" t="s">
        <v>29</v>
      </c>
    </row>
    <row r="1163" customFormat="false" ht="15" hidden="false" customHeight="true" outlineLevel="0" collapsed="false">
      <c r="A1163" s="34" t="n">
        <v>45959</v>
      </c>
      <c r="B1163" s="8" t="s">
        <v>1455</v>
      </c>
      <c r="C1163" s="8" t="s">
        <v>313</v>
      </c>
      <c r="D1163" s="8" t="s">
        <v>341</v>
      </c>
      <c r="E1163" s="9" t="n">
        <v>-10.7</v>
      </c>
      <c r="F1163" s="8" t="s">
        <v>19</v>
      </c>
    </row>
    <row r="1164" customFormat="false" ht="15" hidden="false" customHeight="true" outlineLevel="0" collapsed="false">
      <c r="A1164" s="34" t="n">
        <v>45959</v>
      </c>
      <c r="B1164" s="8" t="s">
        <v>1456</v>
      </c>
      <c r="C1164" s="8" t="s">
        <v>313</v>
      </c>
      <c r="D1164" s="8" t="s">
        <v>1442</v>
      </c>
      <c r="E1164" s="9" t="n">
        <v>-27.43</v>
      </c>
      <c r="F1164" s="8" t="s">
        <v>18</v>
      </c>
    </row>
    <row r="1165" customFormat="false" ht="15" hidden="false" customHeight="true" outlineLevel="0" collapsed="false">
      <c r="A1165" s="34" t="n">
        <v>45959</v>
      </c>
      <c r="B1165" s="8" t="s">
        <v>1456</v>
      </c>
      <c r="C1165" s="8" t="s">
        <v>365</v>
      </c>
      <c r="D1165" s="8" t="s">
        <v>1442</v>
      </c>
      <c r="E1165" s="9" t="n">
        <v>-0.79</v>
      </c>
      <c r="F1165" s="8" t="s">
        <v>25</v>
      </c>
    </row>
    <row r="1166" customFormat="false" ht="15" hidden="false" customHeight="true" outlineLevel="0" collapsed="false">
      <c r="A1166" s="34" t="n">
        <v>45959</v>
      </c>
      <c r="B1166" s="8" t="s">
        <v>1453</v>
      </c>
      <c r="C1166" s="8" t="s">
        <v>365</v>
      </c>
      <c r="D1166" s="8" t="s">
        <v>1454</v>
      </c>
      <c r="E1166" s="9" t="n">
        <v>-2.95</v>
      </c>
      <c r="F1166" s="8" t="s">
        <v>25</v>
      </c>
    </row>
    <row r="1167" customFormat="false" ht="15" hidden="false" customHeight="true" outlineLevel="0" collapsed="false">
      <c r="A1167" s="34" t="n">
        <v>45959</v>
      </c>
      <c r="B1167" s="8" t="s">
        <v>1457</v>
      </c>
      <c r="C1167" s="8" t="s">
        <v>365</v>
      </c>
      <c r="D1167" s="8" t="s">
        <v>1442</v>
      </c>
      <c r="E1167" s="9" t="n">
        <v>-0.93</v>
      </c>
      <c r="F1167" s="8" t="s">
        <v>25</v>
      </c>
    </row>
    <row r="1168" customFormat="false" ht="15" hidden="false" customHeight="true" outlineLevel="0" collapsed="false">
      <c r="A1168" s="34" t="n">
        <v>45959</v>
      </c>
      <c r="B1168" s="8" t="s">
        <v>1452</v>
      </c>
      <c r="C1168" s="8" t="s">
        <v>313</v>
      </c>
      <c r="D1168" s="8" t="s">
        <v>1442</v>
      </c>
      <c r="E1168" s="9" t="n">
        <v>-75.36</v>
      </c>
      <c r="F1168" s="8" t="s">
        <v>18</v>
      </c>
    </row>
    <row r="1169" customFormat="false" ht="15" hidden="false" customHeight="true" outlineLevel="0" collapsed="false">
      <c r="A1169" s="34" t="n">
        <v>45959</v>
      </c>
      <c r="B1169" s="8" t="s">
        <v>1458</v>
      </c>
      <c r="C1169" s="8" t="s">
        <v>313</v>
      </c>
      <c r="D1169" s="8" t="s">
        <v>346</v>
      </c>
      <c r="E1169" s="9" t="n">
        <v>-10.7</v>
      </c>
      <c r="F1169" s="8" t="s">
        <v>19</v>
      </c>
    </row>
    <row r="1170" customFormat="false" ht="15" hidden="false" customHeight="true" outlineLevel="0" collapsed="false">
      <c r="A1170" s="34" t="n">
        <v>45959</v>
      </c>
      <c r="B1170" s="8" t="s">
        <v>1451</v>
      </c>
      <c r="C1170" s="8" t="s">
        <v>313</v>
      </c>
      <c r="D1170" s="8" t="s">
        <v>1442</v>
      </c>
      <c r="E1170" s="9" t="n">
        <v>-113.04</v>
      </c>
      <c r="F1170" s="8" t="s">
        <v>18</v>
      </c>
    </row>
    <row r="1171" customFormat="false" ht="15" hidden="false" customHeight="true" outlineLevel="0" collapsed="false">
      <c r="A1171" s="34" t="n">
        <v>45959</v>
      </c>
      <c r="B1171" s="8" t="s">
        <v>1459</v>
      </c>
      <c r="C1171" s="8" t="s">
        <v>313</v>
      </c>
      <c r="D1171" s="8" t="s">
        <v>450</v>
      </c>
      <c r="E1171" s="9" t="n">
        <v>-55.84</v>
      </c>
      <c r="F1171" s="8" t="s">
        <v>20</v>
      </c>
    </row>
    <row r="1172" customFormat="false" ht="15" hidden="false" customHeight="true" outlineLevel="0" collapsed="false">
      <c r="A1172" s="34" t="n">
        <v>45959</v>
      </c>
      <c r="B1172" s="8" t="s">
        <v>1460</v>
      </c>
      <c r="C1172" s="8" t="s">
        <v>313</v>
      </c>
      <c r="D1172" s="8" t="s">
        <v>481</v>
      </c>
      <c r="E1172" s="9" t="n">
        <v>-3.99</v>
      </c>
      <c r="F1172" s="8" t="s">
        <v>20</v>
      </c>
    </row>
    <row r="1173" customFormat="false" ht="15" hidden="false" customHeight="true" outlineLevel="0" collapsed="false">
      <c r="A1173" s="34" t="n">
        <v>45959</v>
      </c>
      <c r="B1173" s="8" t="s">
        <v>1450</v>
      </c>
      <c r="C1173" s="8" t="s">
        <v>365</v>
      </c>
      <c r="D1173" s="8" t="s">
        <v>1442</v>
      </c>
      <c r="E1173" s="9" t="n">
        <v>-0.48</v>
      </c>
      <c r="F1173" s="8" t="s">
        <v>25</v>
      </c>
    </row>
    <row r="1174" customFormat="false" ht="15" hidden="false" customHeight="true" outlineLevel="0" collapsed="false">
      <c r="A1174" s="34" t="n">
        <v>45959</v>
      </c>
      <c r="B1174" s="8" t="s">
        <v>1457</v>
      </c>
      <c r="C1174" s="8" t="s">
        <v>313</v>
      </c>
      <c r="D1174" s="8" t="s">
        <v>1442</v>
      </c>
      <c r="E1174" s="9" t="n">
        <v>-32.35</v>
      </c>
      <c r="F1174" s="8" t="s">
        <v>18</v>
      </c>
    </row>
    <row r="1175" customFormat="false" ht="15" hidden="false" customHeight="true" outlineLevel="0" collapsed="false">
      <c r="A1175" s="34" t="n">
        <v>45960</v>
      </c>
      <c r="B1175" s="8" t="s">
        <v>1461</v>
      </c>
      <c r="C1175" s="8" t="s">
        <v>313</v>
      </c>
      <c r="D1175" s="8" t="s">
        <v>1462</v>
      </c>
      <c r="E1175" s="9" t="n">
        <v>-50.17</v>
      </c>
      <c r="F1175" s="8" t="s">
        <v>29</v>
      </c>
    </row>
    <row r="1176" customFormat="false" ht="15" hidden="false" customHeight="true" outlineLevel="0" collapsed="false">
      <c r="A1176" s="34" t="n">
        <v>45960</v>
      </c>
      <c r="B1176" s="8" t="s">
        <v>1463</v>
      </c>
      <c r="C1176" s="8" t="s">
        <v>313</v>
      </c>
      <c r="D1176" s="8" t="s">
        <v>1442</v>
      </c>
      <c r="E1176" s="9" t="n">
        <v>-112.79</v>
      </c>
      <c r="F1176" s="8" t="s">
        <v>18</v>
      </c>
    </row>
    <row r="1177" customFormat="false" ht="15" hidden="false" customHeight="true" outlineLevel="0" collapsed="false">
      <c r="A1177" s="34" t="n">
        <v>45960</v>
      </c>
      <c r="B1177" s="8" t="s">
        <v>1463</v>
      </c>
      <c r="C1177" s="8" t="s">
        <v>365</v>
      </c>
      <c r="D1177" s="8" t="s">
        <v>1442</v>
      </c>
      <c r="E1177" s="9" t="n">
        <v>-3.27</v>
      </c>
      <c r="F1177" s="8" t="s">
        <v>25</v>
      </c>
    </row>
    <row r="1178" customFormat="false" ht="15" hidden="false" customHeight="true" outlineLevel="0" collapsed="false">
      <c r="A1178" s="34" t="n">
        <v>45960</v>
      </c>
      <c r="B1178" s="8" t="s">
        <v>1464</v>
      </c>
      <c r="C1178" s="8" t="s">
        <v>313</v>
      </c>
      <c r="D1178" s="8" t="s">
        <v>1442</v>
      </c>
      <c r="E1178" s="9" t="n">
        <v>-67.47</v>
      </c>
      <c r="F1178" s="8" t="s">
        <v>18</v>
      </c>
    </row>
    <row r="1179" customFormat="false" ht="15" hidden="false" customHeight="true" outlineLevel="0" collapsed="false">
      <c r="A1179" s="34" t="n">
        <v>45960</v>
      </c>
      <c r="B1179" s="8" t="s">
        <v>1464</v>
      </c>
      <c r="C1179" s="8" t="s">
        <v>365</v>
      </c>
      <c r="D1179" s="8" t="s">
        <v>1442</v>
      </c>
      <c r="E1179" s="9" t="n">
        <v>-1.95</v>
      </c>
      <c r="F1179" s="8" t="s">
        <v>25</v>
      </c>
    </row>
    <row r="1180" customFormat="false" ht="15" hidden="false" customHeight="true" outlineLevel="0" collapsed="false">
      <c r="A1180" s="34" t="n">
        <v>45960</v>
      </c>
      <c r="B1180" s="8" t="s">
        <v>1461</v>
      </c>
      <c r="C1180" s="8" t="s">
        <v>365</v>
      </c>
      <c r="D1180" s="8" t="s">
        <v>1462</v>
      </c>
      <c r="E1180" s="9" t="n">
        <v>-1.45</v>
      </c>
      <c r="F1180" s="8" t="s">
        <v>25</v>
      </c>
    </row>
    <row r="1181" customFormat="false" ht="15" hidden="false" customHeight="true" outlineLevel="0" collapsed="false">
      <c r="A1181" s="34" t="n">
        <v>45961</v>
      </c>
      <c r="B1181" s="8" t="s">
        <v>1465</v>
      </c>
      <c r="C1181" s="8" t="s">
        <v>365</v>
      </c>
      <c r="D1181" s="8" t="s">
        <v>1466</v>
      </c>
      <c r="E1181" s="9" t="n">
        <v>-4.96</v>
      </c>
      <c r="F1181" s="8" t="s">
        <v>25</v>
      </c>
    </row>
    <row r="1182" customFormat="false" ht="15" hidden="false" customHeight="true" outlineLevel="0" collapsed="false">
      <c r="A1182" s="34" t="n">
        <v>45961</v>
      </c>
      <c r="B1182" s="8" t="s">
        <v>1467</v>
      </c>
      <c r="C1182" s="8" t="s">
        <v>365</v>
      </c>
      <c r="D1182" s="8" t="s">
        <v>1426</v>
      </c>
      <c r="E1182" s="9" t="n">
        <v>-1.73</v>
      </c>
      <c r="F1182" s="8" t="s">
        <v>25</v>
      </c>
    </row>
    <row r="1183" customFormat="false" ht="15" hidden="false" customHeight="true" outlineLevel="0" collapsed="false">
      <c r="A1183" s="34" t="n">
        <v>45961</v>
      </c>
      <c r="B1183" s="8" t="s">
        <v>1468</v>
      </c>
      <c r="C1183" s="8" t="s">
        <v>310</v>
      </c>
      <c r="D1183" s="8" t="s">
        <v>319</v>
      </c>
      <c r="E1183" s="9" t="n">
        <v>-929.08</v>
      </c>
      <c r="F1183" s="8" t="s">
        <v>13</v>
      </c>
    </row>
    <row r="1184" customFormat="false" ht="15" hidden="false" customHeight="true" outlineLevel="0" collapsed="false">
      <c r="A1184" s="34" t="n">
        <v>45961</v>
      </c>
      <c r="B1184" s="8" t="s">
        <v>1469</v>
      </c>
      <c r="C1184" s="8" t="s">
        <v>365</v>
      </c>
      <c r="D1184" s="8" t="s">
        <v>1470</v>
      </c>
      <c r="E1184" s="9" t="n">
        <v>-44.72</v>
      </c>
      <c r="F1184" s="8" t="s">
        <v>25</v>
      </c>
    </row>
    <row r="1185" customFormat="false" ht="15" hidden="false" customHeight="true" outlineLevel="0" collapsed="false">
      <c r="A1185" s="34" t="n">
        <v>45961</v>
      </c>
      <c r="B1185" s="8" t="s">
        <v>1465</v>
      </c>
      <c r="C1185" s="8" t="s">
        <v>313</v>
      </c>
      <c r="D1185" s="8" t="s">
        <v>1466</v>
      </c>
      <c r="E1185" s="9" t="n">
        <v>-171.14</v>
      </c>
      <c r="F1185" s="8" t="s">
        <v>29</v>
      </c>
    </row>
    <row r="1186" customFormat="false" ht="15" hidden="false" customHeight="true" outlineLevel="0" collapsed="false">
      <c r="A1186" s="34" t="n">
        <v>45961</v>
      </c>
      <c r="B1186" s="8" t="s">
        <v>1469</v>
      </c>
      <c r="C1186" s="8" t="s">
        <v>313</v>
      </c>
      <c r="D1186" s="8" t="s">
        <v>1470</v>
      </c>
      <c r="E1186" s="9" t="n">
        <v>-1542.18</v>
      </c>
      <c r="F1186" s="8" t="s">
        <v>18</v>
      </c>
    </row>
    <row r="1187" customFormat="false" ht="15" hidden="false" customHeight="true" outlineLevel="0" collapsed="false">
      <c r="A1187" s="34" t="n">
        <v>45961</v>
      </c>
      <c r="B1187" s="8" t="s">
        <v>1471</v>
      </c>
      <c r="C1187" s="8" t="s">
        <v>365</v>
      </c>
      <c r="D1187" s="8" t="s">
        <v>1472</v>
      </c>
      <c r="E1187" s="9" t="n">
        <v>-0.67</v>
      </c>
      <c r="F1187" s="8" t="s">
        <v>25</v>
      </c>
    </row>
    <row r="1188" customFormat="false" ht="15" hidden="false" customHeight="true" outlineLevel="0" collapsed="false">
      <c r="A1188" s="34" t="n">
        <v>45961</v>
      </c>
      <c r="B1188" s="8" t="s">
        <v>1473</v>
      </c>
      <c r="C1188" s="8" t="s">
        <v>310</v>
      </c>
      <c r="D1188" s="8" t="s">
        <v>317</v>
      </c>
      <c r="E1188" s="9" t="n">
        <v>-410.98</v>
      </c>
      <c r="F1188" s="8" t="s">
        <v>22</v>
      </c>
    </row>
    <row r="1189" customFormat="false" ht="15" hidden="false" customHeight="true" outlineLevel="0" collapsed="false">
      <c r="A1189" s="34" t="n">
        <v>45961</v>
      </c>
      <c r="B1189" s="8" t="s">
        <v>1473</v>
      </c>
      <c r="C1189" s="8" t="s">
        <v>310</v>
      </c>
      <c r="D1189" s="8" t="s">
        <v>618</v>
      </c>
      <c r="E1189" s="9" t="n">
        <v>-111.08</v>
      </c>
      <c r="F1189" s="8" t="s">
        <v>20</v>
      </c>
    </row>
    <row r="1190" customFormat="false" ht="15" hidden="false" customHeight="true" outlineLevel="0" collapsed="false">
      <c r="A1190" s="34" t="n">
        <v>45961</v>
      </c>
      <c r="B1190" s="8" t="s">
        <v>1474</v>
      </c>
      <c r="C1190" s="8" t="s">
        <v>313</v>
      </c>
      <c r="D1190" s="8" t="s">
        <v>1422</v>
      </c>
      <c r="E1190" s="9" t="n">
        <v>-7.08</v>
      </c>
      <c r="F1190" s="8" t="s">
        <v>19</v>
      </c>
    </row>
    <row r="1191" customFormat="false" ht="15" hidden="false" customHeight="true" outlineLevel="0" collapsed="false">
      <c r="A1191" s="34" t="n">
        <v>45961</v>
      </c>
      <c r="B1191" s="8" t="s">
        <v>1474</v>
      </c>
      <c r="C1191" s="8" t="s">
        <v>365</v>
      </c>
      <c r="D1191" s="8" t="s">
        <v>1422</v>
      </c>
      <c r="E1191" s="9" t="n">
        <v>-0.2</v>
      </c>
      <c r="F1191" s="8" t="s">
        <v>25</v>
      </c>
    </row>
    <row r="1192" customFormat="false" ht="15" hidden="false" customHeight="true" outlineLevel="0" collapsed="false">
      <c r="A1192" s="34" t="n">
        <v>45961</v>
      </c>
      <c r="B1192" s="8" t="s">
        <v>1475</v>
      </c>
      <c r="C1192" s="8" t="s">
        <v>365</v>
      </c>
      <c r="D1192" s="8" t="s">
        <v>1476</v>
      </c>
      <c r="E1192" s="9" t="n">
        <v>-4.09</v>
      </c>
      <c r="F1192" s="8" t="s">
        <v>25</v>
      </c>
    </row>
    <row r="1193" customFormat="false" ht="15" hidden="false" customHeight="true" outlineLevel="0" collapsed="false">
      <c r="A1193" s="34" t="n">
        <v>45961</v>
      </c>
      <c r="B1193" s="8" t="s">
        <v>1475</v>
      </c>
      <c r="C1193" s="8" t="s">
        <v>313</v>
      </c>
      <c r="D1193" s="8" t="s">
        <v>1476</v>
      </c>
      <c r="E1193" s="9" t="n">
        <v>-141.11</v>
      </c>
      <c r="F1193" s="8" t="s">
        <v>29</v>
      </c>
    </row>
    <row r="1194" customFormat="false" ht="15" hidden="false" customHeight="true" outlineLevel="0" collapsed="false">
      <c r="A1194" s="34" t="n">
        <v>45961</v>
      </c>
      <c r="B1194" s="8" t="s">
        <v>1471</v>
      </c>
      <c r="C1194" s="8" t="s">
        <v>313</v>
      </c>
      <c r="D1194" s="8" t="s">
        <v>1472</v>
      </c>
      <c r="E1194" s="9" t="n">
        <v>-23.23</v>
      </c>
      <c r="F1194" s="8" t="s">
        <v>18</v>
      </c>
    </row>
    <row r="1195" customFormat="false" ht="15" hidden="false" customHeight="true" outlineLevel="0" collapsed="false">
      <c r="A1195" s="34" t="n">
        <v>45961</v>
      </c>
      <c r="B1195" s="8" t="s">
        <v>1467</v>
      </c>
      <c r="C1195" s="8" t="s">
        <v>313</v>
      </c>
      <c r="D1195" s="8" t="s">
        <v>1426</v>
      </c>
      <c r="E1195" s="9" t="n">
        <v>-59.91</v>
      </c>
      <c r="F1195" s="8" t="s">
        <v>29</v>
      </c>
    </row>
    <row r="1196" customFormat="false" ht="15" hidden="false" customHeight="true" outlineLevel="0" collapsed="false">
      <c r="A1196" s="34" t="n">
        <v>45964</v>
      </c>
      <c r="B1196" s="8" t="s">
        <v>1477</v>
      </c>
      <c r="C1196" s="8" t="s">
        <v>313</v>
      </c>
      <c r="D1196" s="8" t="s">
        <v>1478</v>
      </c>
      <c r="E1196" s="9" t="n">
        <v>-68.71</v>
      </c>
      <c r="F1196" s="8" t="s">
        <v>29</v>
      </c>
    </row>
    <row r="1197" customFormat="false" ht="15" hidden="false" customHeight="true" outlineLevel="0" collapsed="false">
      <c r="A1197" s="34" t="n">
        <v>45964</v>
      </c>
      <c r="B1197" s="8" t="s">
        <v>1479</v>
      </c>
      <c r="C1197" s="8" t="s">
        <v>313</v>
      </c>
      <c r="D1197" s="8" t="s">
        <v>723</v>
      </c>
      <c r="E1197" s="9" t="n">
        <v>-72.5</v>
      </c>
      <c r="F1197" s="8" t="s">
        <v>18</v>
      </c>
    </row>
    <row r="1198" customFormat="false" ht="15" hidden="false" customHeight="true" outlineLevel="0" collapsed="false">
      <c r="A1198" s="34" t="n">
        <v>45964</v>
      </c>
      <c r="B1198" s="8" t="s">
        <v>1479</v>
      </c>
      <c r="C1198" s="8" t="s">
        <v>365</v>
      </c>
      <c r="D1198" s="8" t="s">
        <v>723</v>
      </c>
      <c r="E1198" s="9" t="n">
        <v>-2.1</v>
      </c>
      <c r="F1198" s="8" t="s">
        <v>25</v>
      </c>
    </row>
    <row r="1199" customFormat="false" ht="15" hidden="false" customHeight="true" outlineLevel="0" collapsed="false">
      <c r="A1199" s="34" t="n">
        <v>45964</v>
      </c>
      <c r="B1199" s="8" t="s">
        <v>1477</v>
      </c>
      <c r="C1199" s="8" t="s">
        <v>365</v>
      </c>
      <c r="D1199" s="8" t="s">
        <v>1478</v>
      </c>
      <c r="E1199" s="9" t="n">
        <v>-2.91</v>
      </c>
      <c r="F1199" s="8" t="s">
        <v>25</v>
      </c>
    </row>
    <row r="1200" customFormat="false" ht="15" hidden="false" customHeight="true" outlineLevel="0" collapsed="false">
      <c r="A1200" s="34" t="n">
        <v>45964</v>
      </c>
      <c r="B1200" s="8" t="s">
        <v>1480</v>
      </c>
      <c r="C1200" s="8" t="s">
        <v>313</v>
      </c>
      <c r="D1200" s="8" t="s">
        <v>329</v>
      </c>
      <c r="E1200" s="9" t="n">
        <v>-145.8</v>
      </c>
      <c r="F1200" s="8" t="s">
        <v>20</v>
      </c>
    </row>
    <row r="1201" customFormat="false" ht="15" hidden="false" customHeight="true" outlineLevel="0" collapsed="false">
      <c r="A1201" s="34" t="n">
        <v>45964</v>
      </c>
      <c r="B1201" s="8" t="s">
        <v>1481</v>
      </c>
      <c r="C1201" s="8" t="s">
        <v>365</v>
      </c>
      <c r="D1201" s="8" t="s">
        <v>1482</v>
      </c>
      <c r="E1201" s="9" t="n">
        <v>-6.11</v>
      </c>
      <c r="F1201" s="8" t="s">
        <v>25</v>
      </c>
    </row>
    <row r="1202" customFormat="false" ht="15" hidden="false" customHeight="true" outlineLevel="0" collapsed="false">
      <c r="A1202" s="34" t="n">
        <v>45964</v>
      </c>
      <c r="B1202" s="8" t="s">
        <v>1481</v>
      </c>
      <c r="C1202" s="8" t="s">
        <v>313</v>
      </c>
      <c r="D1202" s="8" t="s">
        <v>1482</v>
      </c>
      <c r="E1202" s="9" t="n">
        <v>-210.77</v>
      </c>
      <c r="F1202" s="8" t="s">
        <v>18</v>
      </c>
    </row>
    <row r="1203" customFormat="false" ht="15" hidden="false" customHeight="true" outlineLevel="0" collapsed="false">
      <c r="A1203" s="34" t="n">
        <v>45964</v>
      </c>
      <c r="B1203" s="8" t="s">
        <v>1483</v>
      </c>
      <c r="C1203" s="8" t="s">
        <v>313</v>
      </c>
      <c r="D1203" s="8" t="s">
        <v>533</v>
      </c>
      <c r="E1203" s="9" t="n">
        <v>-67.6</v>
      </c>
      <c r="F1203" s="8" t="s">
        <v>17</v>
      </c>
    </row>
    <row r="1204" customFormat="false" ht="15" hidden="false" customHeight="true" outlineLevel="0" collapsed="false">
      <c r="A1204" s="34" t="n">
        <v>45964</v>
      </c>
      <c r="B1204" s="8" t="s">
        <v>1477</v>
      </c>
      <c r="C1204" s="8" t="s">
        <v>313</v>
      </c>
      <c r="D1204" s="8" t="s">
        <v>1478</v>
      </c>
      <c r="E1204" s="9" t="n">
        <v>-100.67</v>
      </c>
      <c r="F1204" s="8" t="s">
        <v>29</v>
      </c>
    </row>
    <row r="1205" customFormat="false" ht="15" hidden="false" customHeight="true" outlineLevel="0" collapsed="false">
      <c r="A1205" s="34" t="n">
        <v>45964</v>
      </c>
      <c r="B1205" s="8" t="s">
        <v>1484</v>
      </c>
      <c r="C1205" s="8" t="s">
        <v>313</v>
      </c>
      <c r="D1205" s="8" t="s">
        <v>33</v>
      </c>
      <c r="E1205" s="9" t="n">
        <v>-60</v>
      </c>
      <c r="F1205" s="8" t="s">
        <v>19</v>
      </c>
    </row>
    <row r="1206" customFormat="false" ht="15" hidden="false" customHeight="true" outlineLevel="0" collapsed="false">
      <c r="A1206" s="34" t="n">
        <v>45964</v>
      </c>
      <c r="B1206" s="8" t="s">
        <v>1485</v>
      </c>
      <c r="C1206" s="8" t="s">
        <v>313</v>
      </c>
      <c r="D1206" s="8" t="s">
        <v>1486</v>
      </c>
      <c r="E1206" s="9" t="n">
        <v>-25.2</v>
      </c>
      <c r="F1206" s="8" t="s">
        <v>18</v>
      </c>
    </row>
    <row r="1207" customFormat="false" ht="15" hidden="false" customHeight="true" outlineLevel="0" collapsed="false">
      <c r="A1207" s="34" t="n">
        <v>45964</v>
      </c>
      <c r="B1207" s="8" t="s">
        <v>1477</v>
      </c>
      <c r="C1207" s="8" t="s">
        <v>365</v>
      </c>
      <c r="D1207" s="8" t="s">
        <v>1478</v>
      </c>
      <c r="E1207" s="9" t="n">
        <v>-1.99</v>
      </c>
      <c r="F1207" s="8" t="s">
        <v>25</v>
      </c>
    </row>
    <row r="1208" customFormat="false" ht="15" hidden="false" customHeight="true" outlineLevel="0" collapsed="false">
      <c r="A1208" s="34" t="n">
        <v>45964</v>
      </c>
      <c r="B1208" s="8" t="s">
        <v>1487</v>
      </c>
      <c r="C1208" s="8" t="s">
        <v>365</v>
      </c>
      <c r="D1208" s="8" t="s">
        <v>1488</v>
      </c>
      <c r="E1208" s="9" t="n">
        <v>-0.73</v>
      </c>
      <c r="F1208" s="8" t="s">
        <v>25</v>
      </c>
    </row>
    <row r="1209" customFormat="false" ht="15" hidden="false" customHeight="true" outlineLevel="0" collapsed="false">
      <c r="A1209" s="34" t="n">
        <v>45964</v>
      </c>
      <c r="B1209" s="8" t="s">
        <v>1487</v>
      </c>
      <c r="C1209" s="8" t="s">
        <v>313</v>
      </c>
      <c r="D1209" s="8" t="s">
        <v>1488</v>
      </c>
      <c r="E1209" s="9" t="n">
        <v>-25.37</v>
      </c>
      <c r="F1209" s="8" t="s">
        <v>17</v>
      </c>
    </row>
    <row r="1210" customFormat="false" ht="15" hidden="false" customHeight="true" outlineLevel="0" collapsed="false">
      <c r="A1210" s="34" t="n">
        <v>45964</v>
      </c>
      <c r="B1210" s="8" t="s">
        <v>1485</v>
      </c>
      <c r="C1210" s="8" t="s">
        <v>365</v>
      </c>
      <c r="D1210" s="8" t="s">
        <v>1486</v>
      </c>
      <c r="E1210" s="9" t="n">
        <v>-0.73</v>
      </c>
      <c r="F1210" s="8" t="s">
        <v>25</v>
      </c>
    </row>
    <row r="1211" customFormat="false" ht="15" hidden="false" customHeight="true" outlineLevel="0" collapsed="false">
      <c r="A1211" s="34" t="n">
        <v>45964</v>
      </c>
      <c r="B1211" s="8" t="s">
        <v>1489</v>
      </c>
      <c r="C1211" s="8" t="s">
        <v>310</v>
      </c>
      <c r="D1211" s="8" t="s">
        <v>316</v>
      </c>
      <c r="E1211" s="9" t="n">
        <v>-872.67</v>
      </c>
      <c r="F1211" s="8" t="s">
        <v>19</v>
      </c>
    </row>
    <row r="1212" customFormat="false" ht="15" hidden="false" customHeight="true" outlineLevel="0" collapsed="false">
      <c r="A1212" s="34" t="n">
        <v>45965</v>
      </c>
      <c r="B1212" s="8" t="s">
        <v>1490</v>
      </c>
      <c r="C1212" s="8" t="s">
        <v>313</v>
      </c>
      <c r="D1212" s="8" t="s">
        <v>1491</v>
      </c>
      <c r="E1212" s="9" t="n">
        <v>-8.5</v>
      </c>
      <c r="F1212" s="8" t="s">
        <v>19</v>
      </c>
    </row>
    <row r="1213" customFormat="false" ht="15" hidden="false" customHeight="true" outlineLevel="0" collapsed="false">
      <c r="A1213" s="34" t="n">
        <v>45965</v>
      </c>
      <c r="B1213" s="8" t="s">
        <v>1492</v>
      </c>
      <c r="C1213" s="8" t="s">
        <v>310</v>
      </c>
      <c r="D1213" s="8" t="s">
        <v>317</v>
      </c>
      <c r="E1213" s="9" t="n">
        <v>-103.18</v>
      </c>
      <c r="F1213" s="8" t="s">
        <v>22</v>
      </c>
    </row>
    <row r="1214" customFormat="false" ht="15" hidden="false" customHeight="true" outlineLevel="0" collapsed="false">
      <c r="A1214" s="34" t="n">
        <v>45966</v>
      </c>
      <c r="B1214" s="8" t="s">
        <v>1493</v>
      </c>
      <c r="C1214" s="8" t="s">
        <v>310</v>
      </c>
      <c r="D1214" s="8" t="s">
        <v>311</v>
      </c>
      <c r="E1214" s="9" t="n">
        <v>-79</v>
      </c>
      <c r="F1214" s="8" t="s">
        <v>26</v>
      </c>
    </row>
    <row r="1215" customFormat="false" ht="15" hidden="false" customHeight="true" outlineLevel="0" collapsed="false">
      <c r="A1215" s="34" t="n">
        <v>45966</v>
      </c>
      <c r="B1215" s="8" t="s">
        <v>1494</v>
      </c>
      <c r="C1215" s="8" t="s">
        <v>333</v>
      </c>
      <c r="D1215" s="8" t="s">
        <v>334</v>
      </c>
      <c r="E1215" s="9" t="n">
        <v>5.13</v>
      </c>
      <c r="F1215" s="8" t="s">
        <v>335</v>
      </c>
    </row>
    <row r="1216" customFormat="false" ht="15" hidden="false" customHeight="true" outlineLevel="0" collapsed="false">
      <c r="A1216" s="34" t="n">
        <v>45966</v>
      </c>
      <c r="B1216" s="8" t="s">
        <v>1495</v>
      </c>
      <c r="C1216" s="8" t="s">
        <v>313</v>
      </c>
      <c r="D1216" s="8" t="s">
        <v>481</v>
      </c>
      <c r="E1216" s="9" t="n">
        <v>-3.99</v>
      </c>
      <c r="F1216" s="8" t="s">
        <v>20</v>
      </c>
    </row>
    <row r="1217" customFormat="false" ht="15" hidden="false" customHeight="true" outlineLevel="0" collapsed="false">
      <c r="A1217" s="34" t="n">
        <v>45967</v>
      </c>
      <c r="B1217" s="8" t="s">
        <v>1496</v>
      </c>
      <c r="C1217" s="8" t="s">
        <v>313</v>
      </c>
      <c r="D1217" s="8" t="s">
        <v>33</v>
      </c>
      <c r="E1217" s="9" t="n">
        <v>-59.1</v>
      </c>
      <c r="F1217" s="8" t="s">
        <v>19</v>
      </c>
    </row>
    <row r="1218" customFormat="false" ht="15" hidden="false" customHeight="true" outlineLevel="0" collapsed="false">
      <c r="A1218" s="34" t="n">
        <v>45967</v>
      </c>
      <c r="B1218" s="8" t="s">
        <v>1497</v>
      </c>
      <c r="C1218" s="8" t="s">
        <v>333</v>
      </c>
      <c r="D1218" s="8" t="s">
        <v>334</v>
      </c>
      <c r="E1218" s="9" t="n">
        <v>2.92</v>
      </c>
      <c r="F1218" s="8" t="s">
        <v>335</v>
      </c>
    </row>
    <row r="1219" customFormat="false" ht="15" hidden="false" customHeight="true" outlineLevel="0" collapsed="false">
      <c r="A1219" s="34" t="n">
        <v>45968</v>
      </c>
      <c r="B1219" s="8" t="s">
        <v>1498</v>
      </c>
      <c r="C1219" s="8" t="s">
        <v>313</v>
      </c>
      <c r="D1219" s="8" t="s">
        <v>33</v>
      </c>
      <c r="E1219" s="9" t="n">
        <v>-65.5</v>
      </c>
      <c r="F1219" s="8" t="s">
        <v>19</v>
      </c>
    </row>
    <row r="1220" customFormat="false" ht="15" hidden="false" customHeight="true" outlineLevel="0" collapsed="false">
      <c r="A1220" s="34" t="n">
        <v>45968</v>
      </c>
      <c r="B1220" s="8" t="s">
        <v>1499</v>
      </c>
      <c r="C1220" s="8" t="s">
        <v>313</v>
      </c>
      <c r="D1220" s="8" t="s">
        <v>1394</v>
      </c>
      <c r="E1220" s="9" t="n">
        <v>-15.5</v>
      </c>
      <c r="F1220" s="8" t="s">
        <v>19</v>
      </c>
    </row>
    <row r="1221" customFormat="false" ht="15" hidden="false" customHeight="true" outlineLevel="0" collapsed="false">
      <c r="A1221" s="34" t="n">
        <v>45971</v>
      </c>
      <c r="B1221" s="8" t="s">
        <v>1500</v>
      </c>
      <c r="C1221" s="8" t="s">
        <v>313</v>
      </c>
      <c r="D1221" s="8" t="s">
        <v>364</v>
      </c>
      <c r="E1221" s="9" t="n">
        <v>-39.23</v>
      </c>
      <c r="F1221" s="8" t="s">
        <v>20</v>
      </c>
    </row>
    <row r="1222" customFormat="false" ht="15" hidden="false" customHeight="true" outlineLevel="0" collapsed="false">
      <c r="A1222" s="34" t="n">
        <v>45971</v>
      </c>
      <c r="B1222" s="8" t="s">
        <v>1501</v>
      </c>
      <c r="C1222" s="8" t="s">
        <v>359</v>
      </c>
      <c r="D1222" s="8" t="s">
        <v>360</v>
      </c>
      <c r="E1222" s="9" t="n">
        <v>-1.2</v>
      </c>
      <c r="F1222" s="8" t="s">
        <v>25</v>
      </c>
    </row>
    <row r="1223" customFormat="false" ht="15" hidden="false" customHeight="true" outlineLevel="0" collapsed="false">
      <c r="A1223" s="34" t="n">
        <v>45971</v>
      </c>
      <c r="B1223" s="8" t="s">
        <v>1502</v>
      </c>
      <c r="C1223" s="8" t="s">
        <v>310</v>
      </c>
      <c r="D1223" s="8" t="s">
        <v>311</v>
      </c>
      <c r="E1223" s="9" t="n">
        <v>-125.16</v>
      </c>
      <c r="F1223" s="8" t="s">
        <v>26</v>
      </c>
    </row>
    <row r="1224" customFormat="false" ht="15" hidden="false" customHeight="true" outlineLevel="0" collapsed="false">
      <c r="A1224" s="34" t="n">
        <v>45971</v>
      </c>
      <c r="B1224" s="8" t="s">
        <v>1503</v>
      </c>
      <c r="C1224" s="8" t="s">
        <v>310</v>
      </c>
      <c r="D1224" s="8" t="s">
        <v>352</v>
      </c>
      <c r="E1224" s="9" t="n">
        <v>-504</v>
      </c>
      <c r="F1224" s="8" t="s">
        <v>23</v>
      </c>
    </row>
    <row r="1225" customFormat="false" ht="15" hidden="false" customHeight="true" outlineLevel="0" collapsed="false">
      <c r="A1225" s="34" t="n">
        <v>45971</v>
      </c>
      <c r="B1225" s="8" t="s">
        <v>1504</v>
      </c>
      <c r="C1225" s="8" t="s">
        <v>310</v>
      </c>
      <c r="D1225" s="8" t="s">
        <v>348</v>
      </c>
      <c r="E1225" s="9" t="n">
        <v>-130.67</v>
      </c>
      <c r="F1225" s="8" t="s">
        <v>26</v>
      </c>
    </row>
    <row r="1226" customFormat="false" ht="15" hidden="false" customHeight="true" outlineLevel="0" collapsed="false">
      <c r="A1226" s="34" t="n">
        <v>45971</v>
      </c>
      <c r="B1226" s="8" t="s">
        <v>1505</v>
      </c>
      <c r="C1226" s="8" t="s">
        <v>310</v>
      </c>
      <c r="D1226" s="8" t="s">
        <v>355</v>
      </c>
      <c r="E1226" s="9" t="n">
        <v>-78.46</v>
      </c>
      <c r="F1226" s="8" t="s">
        <v>31</v>
      </c>
    </row>
    <row r="1227" customFormat="false" ht="15" hidden="false" customHeight="true" outlineLevel="0" collapsed="false">
      <c r="A1227" s="34" t="n">
        <v>45971</v>
      </c>
      <c r="B1227" s="8" t="s">
        <v>1500</v>
      </c>
      <c r="C1227" s="8" t="s">
        <v>365</v>
      </c>
      <c r="D1227" s="8" t="s">
        <v>364</v>
      </c>
      <c r="E1227" s="9" t="n">
        <v>-0.58</v>
      </c>
      <c r="F1227" s="8" t="s">
        <v>25</v>
      </c>
    </row>
    <row r="1228" customFormat="false" ht="15" hidden="false" customHeight="true" outlineLevel="0" collapsed="false">
      <c r="A1228" s="34" t="n">
        <v>45971</v>
      </c>
      <c r="B1228" s="8" t="s">
        <v>1501</v>
      </c>
      <c r="C1228" s="8" t="s">
        <v>361</v>
      </c>
      <c r="D1228" s="8" t="s">
        <v>1506</v>
      </c>
      <c r="E1228" s="9" t="n">
        <v>10000</v>
      </c>
      <c r="F1228" s="8" t="s">
        <v>335</v>
      </c>
    </row>
    <row r="1229" customFormat="false" ht="15" hidden="false" customHeight="true" outlineLevel="0" collapsed="false">
      <c r="A1229" s="34" t="n">
        <v>45971</v>
      </c>
      <c r="B1229" s="8" t="s">
        <v>1507</v>
      </c>
      <c r="C1229" s="8" t="s">
        <v>313</v>
      </c>
      <c r="D1229" s="8" t="s">
        <v>344</v>
      </c>
      <c r="E1229" s="9" t="n">
        <v>-166.6</v>
      </c>
      <c r="F1229" s="8" t="s">
        <v>13</v>
      </c>
    </row>
    <row r="1230" customFormat="false" ht="15" hidden="false" customHeight="true" outlineLevel="0" collapsed="false">
      <c r="A1230" s="34" t="n">
        <v>45971</v>
      </c>
      <c r="B1230" s="8" t="s">
        <v>1508</v>
      </c>
      <c r="C1230" s="8" t="s">
        <v>313</v>
      </c>
      <c r="D1230" s="8" t="s">
        <v>33</v>
      </c>
      <c r="E1230" s="9" t="n">
        <v>-69.42</v>
      </c>
      <c r="F1230" s="8" t="s">
        <v>19</v>
      </c>
    </row>
    <row r="1231" customFormat="false" ht="15" hidden="false" customHeight="true" outlineLevel="0" collapsed="false">
      <c r="A1231" s="34" t="n">
        <v>45973</v>
      </c>
      <c r="B1231" s="8" t="s">
        <v>1509</v>
      </c>
      <c r="C1231" s="8" t="s">
        <v>313</v>
      </c>
      <c r="D1231" s="8" t="s">
        <v>481</v>
      </c>
      <c r="E1231" s="9" t="n">
        <v>-3.99</v>
      </c>
      <c r="F1231" s="8" t="s">
        <v>20</v>
      </c>
    </row>
    <row r="1232" customFormat="false" ht="15" hidden="false" customHeight="true" outlineLevel="0" collapsed="false">
      <c r="A1232" s="34" t="n">
        <v>45974</v>
      </c>
      <c r="B1232" s="8" t="s">
        <v>1510</v>
      </c>
      <c r="C1232" s="8" t="s">
        <v>333</v>
      </c>
      <c r="D1232" s="8" t="s">
        <v>334</v>
      </c>
      <c r="E1232" s="9" t="n">
        <v>118.42</v>
      </c>
      <c r="F1232" s="8" t="s">
        <v>335</v>
      </c>
    </row>
    <row r="1233" customFormat="false" ht="15" hidden="false" customHeight="true" outlineLevel="0" collapsed="false">
      <c r="A1233" s="34" t="n">
        <v>45974</v>
      </c>
      <c r="B1233" s="8" t="s">
        <v>1511</v>
      </c>
      <c r="C1233" s="8" t="s">
        <v>313</v>
      </c>
      <c r="D1233" s="8" t="s">
        <v>341</v>
      </c>
      <c r="E1233" s="9" t="n">
        <v>-10.7</v>
      </c>
      <c r="F1233" s="8" t="s">
        <v>19</v>
      </c>
    </row>
    <row r="1234" customFormat="false" ht="15" hidden="false" customHeight="true" outlineLevel="0" collapsed="false">
      <c r="A1234" s="34" t="n">
        <v>45974</v>
      </c>
      <c r="B1234" s="8" t="s">
        <v>1512</v>
      </c>
      <c r="C1234" s="8" t="s">
        <v>313</v>
      </c>
      <c r="D1234" s="8" t="s">
        <v>1513</v>
      </c>
      <c r="E1234" s="9" t="n">
        <v>-80</v>
      </c>
      <c r="F1234" s="8" t="s">
        <v>27</v>
      </c>
    </row>
    <row r="1235" customFormat="false" ht="15" hidden="false" customHeight="true" outlineLevel="0" collapsed="false">
      <c r="A1235" s="34" t="n">
        <v>45974</v>
      </c>
      <c r="B1235" s="8" t="s">
        <v>1514</v>
      </c>
      <c r="C1235" s="8" t="s">
        <v>313</v>
      </c>
      <c r="D1235" s="8" t="s">
        <v>346</v>
      </c>
      <c r="E1235" s="9" t="n">
        <v>-10.7</v>
      </c>
      <c r="F1235" s="8" t="s">
        <v>19</v>
      </c>
    </row>
    <row r="1236" customFormat="false" ht="15" hidden="false" customHeight="true" outlineLevel="0" collapsed="false">
      <c r="A1236" s="34" t="n">
        <v>45975</v>
      </c>
      <c r="B1236" s="8" t="s">
        <v>1515</v>
      </c>
      <c r="C1236" s="8" t="s">
        <v>313</v>
      </c>
      <c r="D1236" s="8" t="s">
        <v>33</v>
      </c>
      <c r="E1236" s="9" t="n">
        <v>-64.05</v>
      </c>
      <c r="F1236" s="8" t="s">
        <v>19</v>
      </c>
    </row>
    <row r="1237" customFormat="false" ht="15" hidden="false" customHeight="true" outlineLevel="0" collapsed="false">
      <c r="A1237" s="34" t="n">
        <v>45975</v>
      </c>
      <c r="B1237" s="8" t="s">
        <v>1516</v>
      </c>
      <c r="C1237" s="8" t="s">
        <v>373</v>
      </c>
      <c r="D1237" s="8"/>
      <c r="E1237" s="9" t="n">
        <v>-21.5</v>
      </c>
      <c r="F1237" s="8" t="s">
        <v>25</v>
      </c>
    </row>
    <row r="1238" customFormat="false" ht="15" hidden="false" customHeight="true" outlineLevel="0" collapsed="false">
      <c r="A1238" s="34" t="n">
        <v>45975</v>
      </c>
      <c r="B1238" s="8" t="s">
        <v>1517</v>
      </c>
      <c r="C1238" s="8" t="s">
        <v>313</v>
      </c>
      <c r="D1238" s="8" t="s">
        <v>971</v>
      </c>
      <c r="E1238" s="9" t="n">
        <v>-190</v>
      </c>
      <c r="F1238" s="8" t="s">
        <v>17</v>
      </c>
    </row>
    <row r="1239" customFormat="false" ht="15" hidden="false" customHeight="true" outlineLevel="0" collapsed="false">
      <c r="A1239" s="34" t="n">
        <v>45975</v>
      </c>
      <c r="B1239" s="8" t="s">
        <v>1518</v>
      </c>
      <c r="C1239" s="8" t="s">
        <v>375</v>
      </c>
      <c r="D1239" s="8" t="s">
        <v>376</v>
      </c>
      <c r="E1239" s="9" t="n">
        <v>-49.35</v>
      </c>
      <c r="F1239" s="8" t="s">
        <v>25</v>
      </c>
    </row>
    <row r="1240" customFormat="false" ht="15" hidden="false" customHeight="true" outlineLevel="0" collapsed="false">
      <c r="A1240" s="34" t="n">
        <v>45975</v>
      </c>
      <c r="B1240" s="8" t="s">
        <v>1519</v>
      </c>
      <c r="C1240" s="8" t="s">
        <v>310</v>
      </c>
      <c r="D1240" s="8" t="s">
        <v>400</v>
      </c>
      <c r="E1240" s="9" t="n">
        <v>-218.92</v>
      </c>
      <c r="F1240" s="8" t="s">
        <v>20</v>
      </c>
    </row>
    <row r="1241" customFormat="false" ht="15" hidden="false" customHeight="true" outlineLevel="0" collapsed="false">
      <c r="A1241" s="34" t="n">
        <v>45975</v>
      </c>
      <c r="B1241" s="8" t="s">
        <v>1516</v>
      </c>
      <c r="C1241" s="8" t="s">
        <v>382</v>
      </c>
      <c r="D1241" s="8" t="s">
        <v>658</v>
      </c>
      <c r="E1241" s="9" t="n">
        <v>-21.6</v>
      </c>
      <c r="F1241" s="8" t="s">
        <v>25</v>
      </c>
    </row>
    <row r="1242" customFormat="false" ht="15" hidden="false" customHeight="true" outlineLevel="0" collapsed="false">
      <c r="A1242" s="34" t="n">
        <v>45975</v>
      </c>
      <c r="B1242" s="8" t="s">
        <v>1516</v>
      </c>
      <c r="C1242" s="8" t="s">
        <v>359</v>
      </c>
      <c r="D1242" s="8" t="s">
        <v>360</v>
      </c>
      <c r="E1242" s="9" t="n">
        <v>-1.2</v>
      </c>
      <c r="F1242" s="8" t="s">
        <v>25</v>
      </c>
    </row>
    <row r="1243" customFormat="false" ht="15" hidden="false" customHeight="true" outlineLevel="0" collapsed="false">
      <c r="A1243" s="34" t="n">
        <v>45975</v>
      </c>
      <c r="B1243" s="8" t="s">
        <v>1516</v>
      </c>
      <c r="C1243" s="8" t="s">
        <v>380</v>
      </c>
      <c r="D1243" s="8" t="s">
        <v>657</v>
      </c>
      <c r="E1243" s="9" t="n">
        <v>-7264.03</v>
      </c>
      <c r="F1243" s="8" t="s">
        <v>12</v>
      </c>
    </row>
    <row r="1244" customFormat="false" ht="15" hidden="false" customHeight="true" outlineLevel="0" collapsed="false">
      <c r="A1244" s="34" t="n">
        <v>45975</v>
      </c>
      <c r="B1244" s="8" t="s">
        <v>1517</v>
      </c>
      <c r="C1244" s="8" t="s">
        <v>313</v>
      </c>
      <c r="D1244" s="8" t="s">
        <v>971</v>
      </c>
      <c r="E1244" s="9" t="n">
        <v>-190</v>
      </c>
      <c r="F1244" s="8" t="s">
        <v>17</v>
      </c>
    </row>
    <row r="1245" customFormat="false" ht="15" hidden="false" customHeight="true" outlineLevel="0" collapsed="false">
      <c r="A1245" s="34" t="n">
        <v>45975</v>
      </c>
      <c r="B1245" s="8" t="s">
        <v>1517</v>
      </c>
      <c r="C1245" s="8" t="s">
        <v>313</v>
      </c>
      <c r="D1245" s="8" t="s">
        <v>971</v>
      </c>
      <c r="E1245" s="9" t="n">
        <v>-190</v>
      </c>
      <c r="F1245" s="8" t="s">
        <v>17</v>
      </c>
    </row>
    <row r="1246" customFormat="false" ht="15" hidden="false" customHeight="true" outlineLevel="0" collapsed="false">
      <c r="A1246" s="34" t="n">
        <v>45975</v>
      </c>
      <c r="B1246" s="8" t="s">
        <v>1516</v>
      </c>
      <c r="C1246" s="8" t="s">
        <v>377</v>
      </c>
      <c r="D1246" s="8" t="s">
        <v>378</v>
      </c>
      <c r="E1246" s="9" t="n">
        <v>-28.2</v>
      </c>
      <c r="F1246" s="8" t="s">
        <v>25</v>
      </c>
    </row>
    <row r="1247" customFormat="false" ht="15" hidden="false" customHeight="true" outlineLevel="0" collapsed="false">
      <c r="A1247" s="34" t="n">
        <v>45975</v>
      </c>
      <c r="B1247" s="8" t="s">
        <v>1520</v>
      </c>
      <c r="C1247" s="8" t="s">
        <v>411</v>
      </c>
      <c r="D1247" s="8" t="s">
        <v>502</v>
      </c>
      <c r="E1247" s="9" t="n">
        <v>-440</v>
      </c>
      <c r="F1247" s="8" t="s">
        <v>17</v>
      </c>
    </row>
    <row r="1248" customFormat="false" ht="15" hidden="false" customHeight="true" outlineLevel="0" collapsed="false">
      <c r="A1248" s="34" t="n">
        <v>45978</v>
      </c>
      <c r="B1248" s="8" t="s">
        <v>1521</v>
      </c>
      <c r="C1248" s="8" t="s">
        <v>313</v>
      </c>
      <c r="D1248" s="8" t="s">
        <v>1522</v>
      </c>
      <c r="E1248" s="9" t="n">
        <v>-19.17</v>
      </c>
      <c r="F1248" s="8" t="s">
        <v>19</v>
      </c>
    </row>
    <row r="1249" customFormat="false" ht="15" hidden="false" customHeight="true" outlineLevel="0" collapsed="false">
      <c r="A1249" s="34" t="n">
        <v>45978</v>
      </c>
      <c r="B1249" s="8" t="s">
        <v>1523</v>
      </c>
      <c r="C1249" s="8" t="s">
        <v>313</v>
      </c>
      <c r="D1249" s="8" t="s">
        <v>337</v>
      </c>
      <c r="E1249" s="9" t="n">
        <v>-74.79</v>
      </c>
      <c r="F1249" s="8" t="s">
        <v>19</v>
      </c>
    </row>
    <row r="1250" customFormat="false" ht="15" hidden="false" customHeight="true" outlineLevel="0" collapsed="false">
      <c r="A1250" s="34" t="n">
        <v>45978</v>
      </c>
      <c r="B1250" s="8" t="s">
        <v>1524</v>
      </c>
      <c r="C1250" s="8" t="s">
        <v>313</v>
      </c>
      <c r="D1250" s="8" t="s">
        <v>1525</v>
      </c>
      <c r="E1250" s="9" t="n">
        <v>-1206</v>
      </c>
      <c r="F1250" s="8" t="s">
        <v>18</v>
      </c>
    </row>
    <row r="1251" customFormat="false" ht="15" hidden="false" customHeight="true" outlineLevel="0" collapsed="false">
      <c r="A1251" s="34" t="n">
        <v>45978</v>
      </c>
      <c r="B1251" s="8" t="s">
        <v>1523</v>
      </c>
      <c r="C1251" s="8" t="s">
        <v>313</v>
      </c>
      <c r="D1251" s="8" t="s">
        <v>337</v>
      </c>
      <c r="E1251" s="9" t="n">
        <v>-11.9</v>
      </c>
      <c r="F1251" s="8" t="s">
        <v>19</v>
      </c>
    </row>
    <row r="1252" customFormat="false" ht="15" hidden="false" customHeight="true" outlineLevel="0" collapsed="false">
      <c r="A1252" s="34" t="n">
        <v>45978</v>
      </c>
      <c r="B1252" s="8" t="s">
        <v>356</v>
      </c>
      <c r="C1252" s="8" t="s">
        <v>384</v>
      </c>
      <c r="D1252" s="8"/>
      <c r="E1252" s="9" t="n">
        <v>-7.69</v>
      </c>
      <c r="F1252" s="8" t="s">
        <v>25</v>
      </c>
    </row>
    <row r="1253" customFormat="false" ht="15" hidden="false" customHeight="true" outlineLevel="0" collapsed="false">
      <c r="A1253" s="34" t="n">
        <v>45978</v>
      </c>
      <c r="B1253" s="8" t="s">
        <v>1526</v>
      </c>
      <c r="C1253" s="8" t="s">
        <v>313</v>
      </c>
      <c r="D1253" s="8" t="s">
        <v>344</v>
      </c>
      <c r="E1253" s="9" t="n">
        <v>-11.75</v>
      </c>
      <c r="F1253" s="8" t="s">
        <v>13</v>
      </c>
    </row>
    <row r="1254" customFormat="false" ht="15" hidden="false" customHeight="true" outlineLevel="0" collapsed="false">
      <c r="A1254" s="34" t="n">
        <v>45978</v>
      </c>
      <c r="B1254" s="8" t="s">
        <v>1527</v>
      </c>
      <c r="C1254" s="8" t="s">
        <v>367</v>
      </c>
      <c r="D1254" s="8" t="s">
        <v>368</v>
      </c>
      <c r="E1254" s="9" t="n">
        <v>-11848.95</v>
      </c>
      <c r="F1254" s="8" t="s">
        <v>11</v>
      </c>
    </row>
    <row r="1255" customFormat="false" ht="15" hidden="false" customHeight="true" outlineLevel="0" collapsed="false">
      <c r="A1255" s="34" t="n">
        <v>45978</v>
      </c>
      <c r="B1255" s="8" t="s">
        <v>1528</v>
      </c>
      <c r="C1255" s="8" t="s">
        <v>313</v>
      </c>
      <c r="D1255" s="8" t="s">
        <v>1525</v>
      </c>
      <c r="E1255" s="9" t="n">
        <v>-67.6</v>
      </c>
      <c r="F1255" s="8" t="s">
        <v>18</v>
      </c>
    </row>
    <row r="1256" customFormat="false" ht="15" hidden="false" customHeight="true" outlineLevel="0" collapsed="false">
      <c r="A1256" s="34" t="n">
        <v>45979</v>
      </c>
      <c r="B1256" s="8" t="s">
        <v>1529</v>
      </c>
      <c r="C1256" s="8" t="s">
        <v>434</v>
      </c>
      <c r="D1256" s="8" t="s">
        <v>1530</v>
      </c>
      <c r="E1256" s="9" t="n">
        <v>1202</v>
      </c>
      <c r="F1256" s="8" t="s">
        <v>335</v>
      </c>
    </row>
    <row r="1257" customFormat="false" ht="15" hidden="false" customHeight="true" outlineLevel="0" collapsed="false">
      <c r="A1257" s="34" t="n">
        <v>45979</v>
      </c>
      <c r="B1257" s="8" t="s">
        <v>1531</v>
      </c>
      <c r="C1257" s="8" t="s">
        <v>310</v>
      </c>
      <c r="D1257" s="8" t="s">
        <v>390</v>
      </c>
      <c r="E1257" s="9" t="n">
        <v>-2794</v>
      </c>
      <c r="F1257" s="8" t="s">
        <v>15</v>
      </c>
    </row>
    <row r="1258" customFormat="false" ht="15" hidden="false" customHeight="true" outlineLevel="0" collapsed="false">
      <c r="A1258" s="34" t="n">
        <v>45979</v>
      </c>
      <c r="B1258" s="8" t="s">
        <v>1532</v>
      </c>
      <c r="C1258" s="8" t="s">
        <v>333</v>
      </c>
      <c r="D1258" s="8" t="s">
        <v>334</v>
      </c>
      <c r="E1258" s="9" t="n">
        <v>117.94</v>
      </c>
      <c r="F1258" s="8" t="s">
        <v>335</v>
      </c>
    </row>
    <row r="1259" customFormat="false" ht="15" hidden="false" customHeight="true" outlineLevel="0" collapsed="false">
      <c r="A1259" s="34" t="n">
        <v>45980</v>
      </c>
      <c r="B1259" s="8" t="s">
        <v>1533</v>
      </c>
      <c r="C1259" s="8" t="s">
        <v>367</v>
      </c>
      <c r="D1259" s="8" t="s">
        <v>1534</v>
      </c>
      <c r="E1259" s="9" t="n">
        <v>-108.5</v>
      </c>
      <c r="F1259" s="8" t="s">
        <v>17</v>
      </c>
    </row>
    <row r="1260" customFormat="false" ht="15" hidden="false" customHeight="true" outlineLevel="0" collapsed="false">
      <c r="A1260" s="34" t="n">
        <v>45980</v>
      </c>
      <c r="B1260" s="8" t="s">
        <v>1535</v>
      </c>
      <c r="C1260" s="8" t="s">
        <v>313</v>
      </c>
      <c r="D1260" s="8" t="s">
        <v>481</v>
      </c>
      <c r="E1260" s="9" t="n">
        <v>-3.99</v>
      </c>
      <c r="F1260" s="8" t="s">
        <v>20</v>
      </c>
    </row>
    <row r="1261" customFormat="false" ht="15" hidden="false" customHeight="true" outlineLevel="0" collapsed="false">
      <c r="A1261" s="34" t="n">
        <v>45981</v>
      </c>
      <c r="B1261" s="8" t="s">
        <v>1536</v>
      </c>
      <c r="C1261" s="8" t="s">
        <v>367</v>
      </c>
      <c r="D1261" s="8" t="s">
        <v>903</v>
      </c>
      <c r="E1261" s="9" t="n">
        <v>-1952.5</v>
      </c>
      <c r="F1261" s="8" t="s">
        <v>17</v>
      </c>
    </row>
    <row r="1262" customFormat="false" ht="15" hidden="false" customHeight="true" outlineLevel="0" collapsed="false">
      <c r="A1262" s="34" t="n">
        <v>45981</v>
      </c>
      <c r="B1262" s="8" t="s">
        <v>1537</v>
      </c>
      <c r="C1262" s="8" t="s">
        <v>367</v>
      </c>
      <c r="D1262" s="8" t="s">
        <v>443</v>
      </c>
      <c r="E1262" s="9" t="n">
        <v>-110</v>
      </c>
      <c r="F1262" s="8" t="s">
        <v>17</v>
      </c>
    </row>
    <row r="1263" customFormat="false" ht="15" hidden="false" customHeight="true" outlineLevel="0" collapsed="false">
      <c r="A1263" s="34" t="n">
        <v>45981</v>
      </c>
      <c r="B1263" s="8" t="s">
        <v>1538</v>
      </c>
      <c r="C1263" s="8" t="s">
        <v>367</v>
      </c>
      <c r="D1263" s="8" t="s">
        <v>1539</v>
      </c>
      <c r="E1263" s="9" t="n">
        <v>-2091</v>
      </c>
      <c r="F1263" s="8" t="s">
        <v>17</v>
      </c>
    </row>
    <row r="1264" customFormat="false" ht="15" hidden="false" customHeight="true" outlineLevel="0" collapsed="false">
      <c r="A1264" s="34" t="n">
        <v>45981</v>
      </c>
      <c r="B1264" s="8" t="s">
        <v>1540</v>
      </c>
      <c r="C1264" s="8" t="s">
        <v>411</v>
      </c>
      <c r="D1264" s="8" t="s">
        <v>1541</v>
      </c>
      <c r="E1264" s="9" t="n">
        <v>-3000</v>
      </c>
      <c r="F1264" s="8" t="s">
        <v>14</v>
      </c>
    </row>
    <row r="1265" customFormat="false" ht="15" hidden="false" customHeight="true" outlineLevel="0" collapsed="false">
      <c r="A1265" s="34" t="n">
        <v>45981</v>
      </c>
      <c r="B1265" s="8" t="s">
        <v>1542</v>
      </c>
      <c r="C1265" s="8" t="s">
        <v>361</v>
      </c>
      <c r="D1265" s="8" t="s">
        <v>1543</v>
      </c>
      <c r="E1265" s="9" t="n">
        <v>10</v>
      </c>
      <c r="F1265" s="8" t="s">
        <v>335</v>
      </c>
    </row>
    <row r="1266" customFormat="false" ht="15" hidden="false" customHeight="true" outlineLevel="0" collapsed="false">
      <c r="A1266" s="34" t="n">
        <v>45981</v>
      </c>
      <c r="B1266" s="8" t="s">
        <v>1544</v>
      </c>
      <c r="C1266" s="8" t="s">
        <v>367</v>
      </c>
      <c r="D1266" s="8" t="s">
        <v>1082</v>
      </c>
      <c r="E1266" s="9" t="n">
        <v>-187.6</v>
      </c>
      <c r="F1266" s="8" t="s">
        <v>17</v>
      </c>
    </row>
    <row r="1267" customFormat="false" ht="15" hidden="false" customHeight="true" outlineLevel="0" collapsed="false">
      <c r="A1267" s="34" t="n">
        <v>45981</v>
      </c>
      <c r="B1267" s="8" t="s">
        <v>1545</v>
      </c>
      <c r="C1267" s="8" t="s">
        <v>361</v>
      </c>
      <c r="D1267" s="8" t="s">
        <v>1546</v>
      </c>
      <c r="E1267" s="9" t="n">
        <v>12893.67</v>
      </c>
      <c r="F1267" s="8" t="s">
        <v>335</v>
      </c>
    </row>
    <row r="1268" customFormat="false" ht="15" hidden="false" customHeight="true" outlineLevel="0" collapsed="false">
      <c r="A1268" s="34" t="n">
        <v>45982</v>
      </c>
      <c r="B1268" s="8" t="s">
        <v>1547</v>
      </c>
      <c r="C1268" s="8" t="s">
        <v>367</v>
      </c>
      <c r="D1268" s="8" t="s">
        <v>386</v>
      </c>
      <c r="E1268" s="9" t="n">
        <v>-2000</v>
      </c>
      <c r="F1268" s="8" t="s">
        <v>16</v>
      </c>
    </row>
    <row r="1269" customFormat="false" ht="15" hidden="false" customHeight="true" outlineLevel="0" collapsed="false">
      <c r="A1269" s="34" t="n">
        <v>45982</v>
      </c>
      <c r="B1269" s="8" t="s">
        <v>1548</v>
      </c>
      <c r="C1269" s="8" t="s">
        <v>411</v>
      </c>
      <c r="D1269" s="8" t="s">
        <v>386</v>
      </c>
      <c r="E1269" s="9" t="n">
        <v>-1000</v>
      </c>
      <c r="F1269" s="8" t="s">
        <v>16</v>
      </c>
    </row>
    <row r="1270" customFormat="false" ht="15" hidden="false" customHeight="true" outlineLevel="0" collapsed="false">
      <c r="A1270" s="34" t="n">
        <v>45985</v>
      </c>
      <c r="B1270" s="8" t="s">
        <v>1549</v>
      </c>
      <c r="C1270" s="8" t="s">
        <v>313</v>
      </c>
      <c r="D1270" s="8" t="s">
        <v>562</v>
      </c>
      <c r="E1270" s="9" t="n">
        <v>-57.99</v>
      </c>
      <c r="F1270" s="8" t="s">
        <v>19</v>
      </c>
    </row>
    <row r="1271" customFormat="false" ht="15" hidden="false" customHeight="true" outlineLevel="0" collapsed="false">
      <c r="A1271" s="34" t="n">
        <v>45985</v>
      </c>
      <c r="B1271" s="8" t="s">
        <v>1550</v>
      </c>
      <c r="C1271" s="8" t="s">
        <v>313</v>
      </c>
      <c r="D1271" s="8" t="s">
        <v>1551</v>
      </c>
      <c r="E1271" s="9" t="n">
        <v>-11.9</v>
      </c>
      <c r="F1271" s="8" t="s">
        <v>19</v>
      </c>
    </row>
    <row r="1272" customFormat="false" ht="15" hidden="false" customHeight="true" outlineLevel="0" collapsed="false">
      <c r="A1272" s="34" t="n">
        <v>45985</v>
      </c>
      <c r="B1272" s="8" t="s">
        <v>1552</v>
      </c>
      <c r="C1272" s="8" t="s">
        <v>313</v>
      </c>
      <c r="D1272" s="8" t="s">
        <v>344</v>
      </c>
      <c r="E1272" s="9" t="n">
        <v>-13.8</v>
      </c>
      <c r="F1272" s="8" t="s">
        <v>13</v>
      </c>
    </row>
    <row r="1273" customFormat="false" ht="15" hidden="false" customHeight="true" outlineLevel="0" collapsed="false">
      <c r="A1273" s="34" t="n">
        <v>45985</v>
      </c>
      <c r="B1273" s="8" t="s">
        <v>1553</v>
      </c>
      <c r="C1273" s="8" t="s">
        <v>313</v>
      </c>
      <c r="D1273" s="8" t="s">
        <v>460</v>
      </c>
      <c r="E1273" s="9" t="n">
        <v>-267.08</v>
      </c>
      <c r="F1273" s="8" t="s">
        <v>18</v>
      </c>
    </row>
    <row r="1274" customFormat="false" ht="15" hidden="false" customHeight="true" outlineLevel="0" collapsed="false">
      <c r="A1274" s="34" t="n">
        <v>45986</v>
      </c>
      <c r="B1274" s="8" t="s">
        <v>1554</v>
      </c>
      <c r="C1274" s="8" t="s">
        <v>310</v>
      </c>
      <c r="D1274" s="8" t="s">
        <v>400</v>
      </c>
      <c r="E1274" s="9" t="n">
        <v>-463.56</v>
      </c>
      <c r="F1274" s="8" t="s">
        <v>20</v>
      </c>
    </row>
    <row r="1275" customFormat="false" ht="15" hidden="false" customHeight="true" outlineLevel="0" collapsed="false">
      <c r="A1275" s="34" t="n">
        <v>45986</v>
      </c>
      <c r="B1275" s="8" t="s">
        <v>1555</v>
      </c>
      <c r="C1275" s="8" t="s">
        <v>414</v>
      </c>
      <c r="D1275" s="8" t="s">
        <v>415</v>
      </c>
      <c r="E1275" s="9" t="n">
        <v>-236</v>
      </c>
      <c r="F1275" s="8" t="s">
        <v>15</v>
      </c>
    </row>
    <row r="1276" customFormat="false" ht="15" hidden="false" customHeight="true" outlineLevel="0" collapsed="false">
      <c r="A1276" s="34" t="n">
        <v>45986</v>
      </c>
      <c r="B1276" s="8" t="s">
        <v>1556</v>
      </c>
      <c r="C1276" s="8" t="s">
        <v>310</v>
      </c>
      <c r="D1276" s="8" t="s">
        <v>390</v>
      </c>
      <c r="E1276" s="9" t="n">
        <v>-247</v>
      </c>
      <c r="F1276" s="8" t="s">
        <v>15</v>
      </c>
    </row>
    <row r="1277" customFormat="false" ht="15" hidden="false" customHeight="true" outlineLevel="0" collapsed="false">
      <c r="A1277" s="34" t="n">
        <v>45986</v>
      </c>
      <c r="B1277" s="8" t="s">
        <v>1557</v>
      </c>
      <c r="C1277" s="8" t="s">
        <v>310</v>
      </c>
      <c r="D1277" s="8" t="s">
        <v>432</v>
      </c>
      <c r="E1277" s="9" t="n">
        <v>-610.23</v>
      </c>
      <c r="F1277" s="8" t="s">
        <v>15</v>
      </c>
    </row>
    <row r="1278" customFormat="false" ht="15" hidden="false" customHeight="true" outlineLevel="0" collapsed="false">
      <c r="A1278" s="34" t="n">
        <v>45987</v>
      </c>
      <c r="B1278" s="8" t="s">
        <v>1558</v>
      </c>
      <c r="C1278" s="8" t="s">
        <v>313</v>
      </c>
      <c r="D1278" s="8" t="s">
        <v>341</v>
      </c>
      <c r="E1278" s="9" t="n">
        <v>-10.7</v>
      </c>
      <c r="F1278" s="8" t="s">
        <v>19</v>
      </c>
    </row>
    <row r="1279" customFormat="false" ht="15" hidden="false" customHeight="true" outlineLevel="0" collapsed="false">
      <c r="A1279" s="34" t="n">
        <v>45987</v>
      </c>
      <c r="B1279" s="8" t="s">
        <v>1559</v>
      </c>
      <c r="C1279" s="8" t="s">
        <v>313</v>
      </c>
      <c r="D1279" s="8" t="s">
        <v>481</v>
      </c>
      <c r="E1279" s="9" t="n">
        <v>-3.99</v>
      </c>
      <c r="F1279" s="8" t="s">
        <v>20</v>
      </c>
    </row>
    <row r="1280" customFormat="false" ht="15" hidden="false" customHeight="true" outlineLevel="0" collapsed="false">
      <c r="A1280" s="34" t="n">
        <v>45987</v>
      </c>
      <c r="B1280" s="8" t="s">
        <v>1560</v>
      </c>
      <c r="C1280" s="8" t="s">
        <v>313</v>
      </c>
      <c r="D1280" s="8" t="s">
        <v>346</v>
      </c>
      <c r="E1280" s="9" t="n">
        <v>-10.7</v>
      </c>
      <c r="F1280" s="8" t="s">
        <v>19</v>
      </c>
    </row>
    <row r="1281" customFormat="false" ht="15" hidden="false" customHeight="true" outlineLevel="0" collapsed="false">
      <c r="A1281" s="34" t="n">
        <v>45987</v>
      </c>
      <c r="B1281" s="8" t="s">
        <v>1561</v>
      </c>
      <c r="C1281" s="8" t="s">
        <v>310</v>
      </c>
      <c r="D1281" s="8" t="s">
        <v>317</v>
      </c>
      <c r="E1281" s="9" t="n">
        <v>-104.12</v>
      </c>
      <c r="F1281" s="8" t="s">
        <v>22</v>
      </c>
    </row>
    <row r="1282" customFormat="false" ht="15" hidden="false" customHeight="true" outlineLevel="0" collapsed="false">
      <c r="A1282" s="34" t="n">
        <v>45988</v>
      </c>
      <c r="B1282" s="8" t="s">
        <v>1562</v>
      </c>
      <c r="C1282" s="8" t="s">
        <v>313</v>
      </c>
      <c r="D1282" s="8" t="s">
        <v>1563</v>
      </c>
      <c r="E1282" s="9" t="n">
        <v>-790</v>
      </c>
      <c r="F1282" s="8" t="s">
        <v>17</v>
      </c>
    </row>
    <row r="1283" customFormat="false" ht="15" hidden="false" customHeight="true" outlineLevel="0" collapsed="false">
      <c r="A1283" s="34" t="n">
        <v>45988</v>
      </c>
      <c r="B1283" s="8" t="s">
        <v>1564</v>
      </c>
      <c r="C1283" s="8" t="s">
        <v>313</v>
      </c>
      <c r="D1283" s="8" t="s">
        <v>337</v>
      </c>
      <c r="E1283" s="9" t="n">
        <v>-70</v>
      </c>
      <c r="F1283" s="8" t="s">
        <v>19</v>
      </c>
    </row>
    <row r="1284" customFormat="false" ht="15" hidden="false" customHeight="true" outlineLevel="0" collapsed="false">
      <c r="A1284" s="34" t="n">
        <v>45988</v>
      </c>
      <c r="B1284" s="8" t="s">
        <v>1565</v>
      </c>
      <c r="C1284" s="8" t="s">
        <v>310</v>
      </c>
      <c r="D1284" s="8" t="s">
        <v>851</v>
      </c>
      <c r="E1284" s="9" t="n">
        <v>-15.95</v>
      </c>
      <c r="F1284" s="8" t="s">
        <v>19</v>
      </c>
    </row>
    <row r="1285" customFormat="false" ht="15" hidden="false" customHeight="true" outlineLevel="0" collapsed="false">
      <c r="A1285" s="34" t="n">
        <v>45988</v>
      </c>
      <c r="B1285" s="8" t="s">
        <v>1566</v>
      </c>
      <c r="C1285" s="8" t="s">
        <v>313</v>
      </c>
      <c r="D1285" s="8" t="s">
        <v>683</v>
      </c>
      <c r="E1285" s="9" t="n">
        <v>-13</v>
      </c>
      <c r="F1285" s="8" t="s">
        <v>20</v>
      </c>
    </row>
    <row r="1286" customFormat="false" ht="15" hidden="false" customHeight="true" outlineLevel="0" collapsed="false">
      <c r="A1286" s="34" t="n">
        <v>45988</v>
      </c>
      <c r="B1286" s="8" t="s">
        <v>356</v>
      </c>
      <c r="C1286" s="8" t="s">
        <v>1567</v>
      </c>
      <c r="D1286" s="8" t="s">
        <v>1568</v>
      </c>
      <c r="E1286" s="9" t="n">
        <v>-60</v>
      </c>
      <c r="F1286" s="8" t="s">
        <v>25</v>
      </c>
    </row>
    <row r="1287" customFormat="false" ht="15" hidden="false" customHeight="true" outlineLevel="0" collapsed="false">
      <c r="A1287" s="34" t="n">
        <v>45989</v>
      </c>
      <c r="B1287" s="8" t="s">
        <v>1569</v>
      </c>
      <c r="C1287" s="8" t="s">
        <v>367</v>
      </c>
      <c r="D1287" s="8" t="s">
        <v>464</v>
      </c>
      <c r="E1287" s="9" t="n">
        <v>-67.66</v>
      </c>
      <c r="F1287" s="8" t="s">
        <v>14</v>
      </c>
    </row>
    <row r="1288" customFormat="false" ht="15" hidden="false" customHeight="true" outlineLevel="0" collapsed="false">
      <c r="A1288" s="34" t="n">
        <v>45989</v>
      </c>
      <c r="B1288" s="8" t="s">
        <v>1570</v>
      </c>
      <c r="C1288" s="8" t="s">
        <v>367</v>
      </c>
      <c r="D1288" s="8" t="s">
        <v>476</v>
      </c>
      <c r="E1288" s="9" t="n">
        <v>-2465.38</v>
      </c>
      <c r="F1288" s="8" t="s">
        <v>14</v>
      </c>
    </row>
    <row r="1289" customFormat="false" ht="15" hidden="false" customHeight="true" outlineLevel="0" collapsed="false">
      <c r="A1289" s="34" t="n">
        <v>45989</v>
      </c>
      <c r="B1289" s="8" t="s">
        <v>1571</v>
      </c>
      <c r="C1289" s="8" t="s">
        <v>313</v>
      </c>
      <c r="D1289" s="8" t="s">
        <v>33</v>
      </c>
      <c r="E1289" s="9" t="n">
        <v>-2.79</v>
      </c>
      <c r="F1289" s="8" t="s">
        <v>19</v>
      </c>
    </row>
    <row r="1290" customFormat="false" ht="15" hidden="false" customHeight="true" outlineLevel="0" collapsed="false">
      <c r="A1290" s="34" t="n">
        <v>45989</v>
      </c>
      <c r="B1290" s="8" t="s">
        <v>1572</v>
      </c>
      <c r="C1290" s="8" t="s">
        <v>361</v>
      </c>
      <c r="D1290" s="8" t="s">
        <v>1543</v>
      </c>
      <c r="E1290" s="9" t="n">
        <v>3933</v>
      </c>
      <c r="F1290" s="8" t="s">
        <v>335</v>
      </c>
    </row>
    <row r="1291" customFormat="false" ht="15" hidden="false" customHeight="true" outlineLevel="0" collapsed="false">
      <c r="A1291" s="34" t="n">
        <v>45989</v>
      </c>
      <c r="B1291" s="8" t="s">
        <v>1573</v>
      </c>
      <c r="C1291" s="8" t="s">
        <v>313</v>
      </c>
      <c r="D1291" s="8" t="s">
        <v>777</v>
      </c>
      <c r="E1291" s="9" t="n">
        <v>-177.13</v>
      </c>
      <c r="F1291" s="8" t="s">
        <v>28</v>
      </c>
    </row>
    <row r="1292" customFormat="false" ht="15" hidden="false" customHeight="true" outlineLevel="0" collapsed="false">
      <c r="A1292" s="34" t="n">
        <v>45989</v>
      </c>
      <c r="B1292" s="8" t="s">
        <v>1572</v>
      </c>
      <c r="C1292" s="8" t="s">
        <v>359</v>
      </c>
      <c r="D1292" s="8" t="s">
        <v>360</v>
      </c>
      <c r="E1292" s="9" t="n">
        <v>-1.2</v>
      </c>
      <c r="F1292" s="8" t="s">
        <v>25</v>
      </c>
    </row>
    <row r="1293" customFormat="false" ht="15" hidden="false" customHeight="true" outlineLevel="0" collapsed="false">
      <c r="A1293" s="34" t="n">
        <v>45989</v>
      </c>
      <c r="B1293" s="8" t="s">
        <v>1574</v>
      </c>
      <c r="C1293" s="8" t="s">
        <v>367</v>
      </c>
      <c r="D1293" s="8" t="s">
        <v>412</v>
      </c>
      <c r="E1293" s="9" t="n">
        <v>-1782.23</v>
      </c>
      <c r="F1293" s="8" t="s">
        <v>14</v>
      </c>
    </row>
    <row r="1294" customFormat="false" ht="15" hidden="false" customHeight="true" outlineLevel="0" collapsed="false">
      <c r="A1294" s="34" t="n">
        <v>45989</v>
      </c>
      <c r="B1294" s="8" t="s">
        <v>1575</v>
      </c>
      <c r="C1294" s="8" t="s">
        <v>310</v>
      </c>
      <c r="D1294" s="8" t="s">
        <v>319</v>
      </c>
      <c r="E1294" s="9" t="n">
        <v>-88.3</v>
      </c>
      <c r="F1294" s="8" t="s">
        <v>13</v>
      </c>
    </row>
    <row r="1295" customFormat="false" ht="15" hidden="false" customHeight="true" outlineLevel="0" collapsed="false">
      <c r="A1295" s="34" t="n">
        <v>45989</v>
      </c>
      <c r="B1295" s="8" t="s">
        <v>1576</v>
      </c>
      <c r="C1295" s="8" t="s">
        <v>367</v>
      </c>
      <c r="D1295" s="8" t="s">
        <v>464</v>
      </c>
      <c r="E1295" s="9" t="n">
        <v>-1236.18</v>
      </c>
      <c r="F1295" s="8" t="s">
        <v>14</v>
      </c>
    </row>
    <row r="1296" customFormat="false" ht="15" hidden="false" customHeight="true" outlineLevel="0" collapsed="false">
      <c r="A1296" s="34" t="n">
        <v>45989</v>
      </c>
      <c r="B1296" s="8" t="s">
        <v>1572</v>
      </c>
      <c r="C1296" s="8" t="s">
        <v>631</v>
      </c>
      <c r="D1296" s="8" t="s">
        <v>632</v>
      </c>
      <c r="E1296" s="9" t="n">
        <v>-14.64</v>
      </c>
      <c r="F1296" s="8" t="s">
        <v>25</v>
      </c>
    </row>
    <row r="1297" customFormat="false" ht="15" hidden="false" customHeight="true" outlineLevel="0" collapsed="false">
      <c r="A1297" s="34" t="n">
        <v>45989</v>
      </c>
      <c r="B1297" s="8" t="s">
        <v>1577</v>
      </c>
      <c r="C1297" s="8" t="s">
        <v>313</v>
      </c>
      <c r="D1297" s="8" t="s">
        <v>777</v>
      </c>
      <c r="E1297" s="9" t="n">
        <v>-5.47</v>
      </c>
      <c r="F1297" s="8" t="s">
        <v>28</v>
      </c>
    </row>
    <row r="1298" customFormat="false" ht="15" hidden="false" customHeight="true" outlineLevel="0" collapsed="false">
      <c r="A1298" s="34" t="n">
        <v>45989</v>
      </c>
      <c r="B1298" s="8" t="s">
        <v>1578</v>
      </c>
      <c r="C1298" s="8" t="s">
        <v>313</v>
      </c>
      <c r="D1298" s="8" t="s">
        <v>33</v>
      </c>
      <c r="E1298" s="9" t="n">
        <v>-70</v>
      </c>
      <c r="F1298" s="8" t="s">
        <v>19</v>
      </c>
    </row>
    <row r="1299" customFormat="false" ht="15" hidden="false" customHeight="true" outlineLevel="0" collapsed="false">
      <c r="A1299" s="34" t="n">
        <v>45992</v>
      </c>
      <c r="B1299" s="8" t="s">
        <v>1579</v>
      </c>
      <c r="C1299" s="8" t="s">
        <v>313</v>
      </c>
      <c r="D1299" s="8" t="s">
        <v>1031</v>
      </c>
      <c r="E1299" s="9" t="n">
        <v>-3.1</v>
      </c>
      <c r="F1299" s="8" t="s">
        <v>30</v>
      </c>
    </row>
    <row r="1300" customFormat="false" ht="15" hidden="false" customHeight="true" outlineLevel="0" collapsed="false">
      <c r="A1300" s="34" t="n">
        <v>45992</v>
      </c>
      <c r="B1300" s="8" t="s">
        <v>1580</v>
      </c>
      <c r="C1300" s="8" t="s">
        <v>313</v>
      </c>
      <c r="D1300" s="8" t="s">
        <v>450</v>
      </c>
      <c r="E1300" s="9" t="n">
        <v>-55.84</v>
      </c>
      <c r="F1300" s="8" t="s">
        <v>20</v>
      </c>
    </row>
    <row r="1301" customFormat="false" ht="15" hidden="false" customHeight="true" outlineLevel="0" collapsed="false">
      <c r="A1301" s="34" t="n">
        <v>45992</v>
      </c>
      <c r="B1301" s="8" t="s">
        <v>1581</v>
      </c>
      <c r="C1301" s="8" t="s">
        <v>313</v>
      </c>
      <c r="D1301" s="8" t="s">
        <v>33</v>
      </c>
      <c r="E1301" s="9" t="n">
        <v>-42.29</v>
      </c>
      <c r="F1301" s="8" t="s">
        <v>19</v>
      </c>
    </row>
    <row r="1302" customFormat="false" ht="15" hidden="false" customHeight="true" outlineLevel="0" collapsed="false">
      <c r="A1302" s="34" t="n">
        <v>45992</v>
      </c>
      <c r="B1302" s="8" t="s">
        <v>1582</v>
      </c>
      <c r="C1302" s="8" t="s">
        <v>313</v>
      </c>
      <c r="D1302" s="8" t="s">
        <v>829</v>
      </c>
      <c r="E1302" s="9" t="n">
        <v>-23.2</v>
      </c>
      <c r="F1302" s="8" t="s">
        <v>19</v>
      </c>
    </row>
    <row r="1303" customFormat="false" ht="15" hidden="false" customHeight="true" outlineLevel="0" collapsed="false">
      <c r="A1303" s="34" t="n">
        <v>45992</v>
      </c>
      <c r="B1303" s="8" t="s">
        <v>1583</v>
      </c>
      <c r="C1303" s="8" t="s">
        <v>313</v>
      </c>
      <c r="D1303" s="8" t="s">
        <v>1584</v>
      </c>
      <c r="E1303" s="9" t="n">
        <v>-7.2</v>
      </c>
      <c r="F1303" s="8" t="s">
        <v>19</v>
      </c>
    </row>
    <row r="1304" customFormat="false" ht="15" hidden="false" customHeight="true" outlineLevel="0" collapsed="false">
      <c r="A1304" s="34" t="n">
        <v>45992</v>
      </c>
      <c r="B1304" s="8" t="s">
        <v>1585</v>
      </c>
      <c r="C1304" s="8" t="s">
        <v>313</v>
      </c>
      <c r="D1304" s="8" t="s">
        <v>346</v>
      </c>
      <c r="E1304" s="9" t="n">
        <v>-8.6</v>
      </c>
      <c r="F1304" s="8" t="s">
        <v>19</v>
      </c>
    </row>
    <row r="1305" customFormat="false" ht="15" hidden="false" customHeight="true" outlineLevel="0" collapsed="false">
      <c r="A1305" s="34" t="n">
        <v>45992</v>
      </c>
      <c r="B1305" s="8" t="s">
        <v>1586</v>
      </c>
      <c r="C1305" s="8" t="s">
        <v>310</v>
      </c>
      <c r="D1305" s="8" t="s">
        <v>316</v>
      </c>
      <c r="E1305" s="9" t="n">
        <v>-872.67</v>
      </c>
      <c r="F1305" s="8" t="s">
        <v>19</v>
      </c>
    </row>
    <row r="1306" customFormat="false" ht="15" hidden="false" customHeight="true" outlineLevel="0" collapsed="false">
      <c r="A1306" s="34" t="n">
        <v>45992</v>
      </c>
      <c r="B1306" s="8" t="s">
        <v>1587</v>
      </c>
      <c r="C1306" s="8" t="s">
        <v>313</v>
      </c>
      <c r="D1306" s="8" t="s">
        <v>346</v>
      </c>
      <c r="E1306" s="9" t="n">
        <v>-8.6</v>
      </c>
      <c r="F1306" s="8" t="s">
        <v>19</v>
      </c>
    </row>
    <row r="1307" customFormat="false" ht="15" hidden="false" customHeight="true" outlineLevel="0" collapsed="false">
      <c r="A1307" s="34" t="n">
        <v>45992</v>
      </c>
      <c r="B1307" s="8" t="s">
        <v>1588</v>
      </c>
      <c r="C1307" s="8" t="s">
        <v>313</v>
      </c>
      <c r="D1307" s="8" t="s">
        <v>440</v>
      </c>
      <c r="E1307" s="9" t="n">
        <v>-64.6</v>
      </c>
      <c r="F1307" s="8" t="s">
        <v>30</v>
      </c>
    </row>
    <row r="1308" customFormat="false" ht="15" hidden="false" customHeight="true" outlineLevel="0" collapsed="false">
      <c r="A1308" s="34" t="n">
        <v>45992</v>
      </c>
      <c r="B1308" s="8" t="s">
        <v>1589</v>
      </c>
      <c r="C1308" s="8" t="s">
        <v>313</v>
      </c>
      <c r="D1308" s="8" t="s">
        <v>988</v>
      </c>
      <c r="E1308" s="9" t="n">
        <v>-33.7</v>
      </c>
      <c r="F1308" s="8" t="s">
        <v>18</v>
      </c>
    </row>
    <row r="1309" customFormat="false" ht="15" hidden="false" customHeight="true" outlineLevel="0" collapsed="false">
      <c r="A1309" s="34" t="n">
        <v>45992</v>
      </c>
      <c r="B1309" s="8" t="s">
        <v>1590</v>
      </c>
      <c r="C1309" s="8" t="s">
        <v>310</v>
      </c>
      <c r="D1309" s="8" t="s">
        <v>317</v>
      </c>
      <c r="E1309" s="9" t="n">
        <v>-665.24</v>
      </c>
      <c r="F1309" s="8" t="s">
        <v>22</v>
      </c>
    </row>
    <row r="1310" customFormat="false" ht="15" hidden="false" customHeight="true" outlineLevel="0" collapsed="false">
      <c r="A1310" s="34" t="n">
        <v>45993</v>
      </c>
      <c r="B1310" s="8" t="s">
        <v>1591</v>
      </c>
      <c r="C1310" s="8" t="s">
        <v>313</v>
      </c>
      <c r="D1310" s="8" t="s">
        <v>329</v>
      </c>
      <c r="E1310" s="9" t="n">
        <v>-145.8</v>
      </c>
      <c r="F1310" s="8" t="s">
        <v>20</v>
      </c>
    </row>
    <row r="1311" customFormat="false" ht="15" hidden="false" customHeight="true" outlineLevel="0" collapsed="false">
      <c r="A1311" s="34" t="n">
        <v>45993</v>
      </c>
      <c r="B1311" s="8" t="s">
        <v>1592</v>
      </c>
      <c r="C1311" s="8" t="s">
        <v>313</v>
      </c>
      <c r="D1311" s="8" t="s">
        <v>460</v>
      </c>
      <c r="E1311" s="9" t="n">
        <v>-70</v>
      </c>
      <c r="F1311" s="8" t="s">
        <v>18</v>
      </c>
    </row>
    <row r="1312" customFormat="false" ht="15" hidden="false" customHeight="true" outlineLevel="0" collapsed="false">
      <c r="A1312" s="34" t="n">
        <v>45994</v>
      </c>
      <c r="B1312" s="8" t="s">
        <v>1593</v>
      </c>
      <c r="C1312" s="8" t="s">
        <v>313</v>
      </c>
      <c r="D1312" s="8" t="s">
        <v>481</v>
      </c>
      <c r="E1312" s="9" t="n">
        <v>-3.99</v>
      </c>
      <c r="F1312" s="8" t="s">
        <v>20</v>
      </c>
    </row>
    <row r="1313" customFormat="false" ht="15" hidden="false" customHeight="true" outlineLevel="0" collapsed="false">
      <c r="A1313" s="34" t="n">
        <v>45995</v>
      </c>
      <c r="B1313" s="8" t="s">
        <v>1594</v>
      </c>
      <c r="C1313" s="8" t="s">
        <v>333</v>
      </c>
      <c r="D1313" s="8" t="s">
        <v>334</v>
      </c>
      <c r="E1313" s="9" t="n">
        <v>236.13</v>
      </c>
      <c r="F1313" s="8" t="s">
        <v>335</v>
      </c>
    </row>
    <row r="1314" customFormat="false" ht="15" hidden="false" customHeight="true" outlineLevel="0" collapsed="false">
      <c r="A1314" s="34" t="n">
        <v>45995</v>
      </c>
      <c r="B1314" s="8" t="s">
        <v>1595</v>
      </c>
      <c r="C1314" s="8" t="s">
        <v>313</v>
      </c>
      <c r="D1314" s="8" t="s">
        <v>460</v>
      </c>
      <c r="E1314" s="9" t="n">
        <v>-18</v>
      </c>
      <c r="F1314" s="8" t="s">
        <v>18</v>
      </c>
    </row>
    <row r="1315" customFormat="false" ht="15" hidden="false" customHeight="true" outlineLevel="0" collapsed="false">
      <c r="A1315" s="34" t="n">
        <v>45996</v>
      </c>
      <c r="B1315" s="8" t="s">
        <v>1596</v>
      </c>
      <c r="C1315" s="8" t="s">
        <v>310</v>
      </c>
      <c r="D1315" s="8" t="s">
        <v>317</v>
      </c>
      <c r="E1315" s="9" t="n">
        <v>-100.07</v>
      </c>
      <c r="F1315" s="8" t="s">
        <v>22</v>
      </c>
    </row>
    <row r="1316" customFormat="false" ht="15" hidden="false" customHeight="true" outlineLevel="0" collapsed="false">
      <c r="A1316" s="34" t="n">
        <v>45996</v>
      </c>
      <c r="B1316" s="8" t="s">
        <v>1597</v>
      </c>
      <c r="C1316" s="8" t="s">
        <v>310</v>
      </c>
      <c r="D1316" s="8" t="s">
        <v>311</v>
      </c>
      <c r="E1316" s="9" t="n">
        <v>-79</v>
      </c>
      <c r="F1316" s="8" t="s">
        <v>26</v>
      </c>
    </row>
    <row r="1317" customFormat="false" ht="15" hidden="false" customHeight="true" outlineLevel="0" collapsed="false">
      <c r="A1317" s="34" t="n">
        <v>45996</v>
      </c>
      <c r="B1317" s="8" t="s">
        <v>1596</v>
      </c>
      <c r="C1317" s="8" t="s">
        <v>310</v>
      </c>
      <c r="D1317" s="8" t="s">
        <v>618</v>
      </c>
      <c r="E1317" s="9" t="n">
        <v>-0.41</v>
      </c>
      <c r="F1317" s="8" t="s">
        <v>20</v>
      </c>
    </row>
    <row r="1318" customFormat="false" ht="15" hidden="false" customHeight="true" outlineLevel="0" collapsed="false">
      <c r="A1318" s="34" t="n">
        <v>46000</v>
      </c>
      <c r="B1318" s="8" t="s">
        <v>1598</v>
      </c>
      <c r="C1318" s="8" t="s">
        <v>367</v>
      </c>
      <c r="D1318" s="8" t="s">
        <v>770</v>
      </c>
      <c r="E1318" s="9" t="n">
        <v>-1737.4</v>
      </c>
      <c r="F1318" s="8" t="s">
        <v>10</v>
      </c>
    </row>
    <row r="1319" customFormat="false" ht="15" hidden="false" customHeight="true" outlineLevel="0" collapsed="false">
      <c r="A1319" s="34" t="n">
        <v>46000</v>
      </c>
      <c r="B1319" s="8" t="s">
        <v>1599</v>
      </c>
      <c r="C1319" s="8" t="s">
        <v>361</v>
      </c>
      <c r="D1319" s="8" t="s">
        <v>379</v>
      </c>
      <c r="E1319" s="9" t="n">
        <v>20000</v>
      </c>
      <c r="F1319" s="8" t="s">
        <v>335</v>
      </c>
    </row>
    <row r="1320" customFormat="false" ht="15" hidden="false" customHeight="true" outlineLevel="0" collapsed="false">
      <c r="A1320" s="34" t="n">
        <v>46000</v>
      </c>
      <c r="B1320" s="8" t="s">
        <v>1599</v>
      </c>
      <c r="C1320" s="8" t="s">
        <v>359</v>
      </c>
      <c r="D1320" s="8" t="s">
        <v>360</v>
      </c>
      <c r="E1320" s="9" t="n">
        <v>-1.2</v>
      </c>
      <c r="F1320" s="8" t="s">
        <v>25</v>
      </c>
    </row>
    <row r="1321" customFormat="false" ht="15" hidden="false" customHeight="true" outlineLevel="0" collapsed="false">
      <c r="A1321" s="34" t="n">
        <v>46000</v>
      </c>
      <c r="B1321" s="8" t="s">
        <v>1600</v>
      </c>
      <c r="C1321" s="8" t="s">
        <v>367</v>
      </c>
      <c r="D1321" s="8" t="s">
        <v>409</v>
      </c>
      <c r="E1321" s="9" t="n">
        <v>-816</v>
      </c>
      <c r="F1321" s="8" t="s">
        <v>10</v>
      </c>
    </row>
    <row r="1322" customFormat="false" ht="15" hidden="false" customHeight="true" outlineLevel="0" collapsed="false">
      <c r="A1322" s="34" t="n">
        <v>46000</v>
      </c>
      <c r="B1322" s="8" t="s">
        <v>1601</v>
      </c>
      <c r="C1322" s="8" t="s">
        <v>367</v>
      </c>
      <c r="D1322" s="8" t="s">
        <v>490</v>
      </c>
      <c r="E1322" s="9" t="n">
        <v>-4385</v>
      </c>
      <c r="F1322" s="8" t="s">
        <v>10</v>
      </c>
    </row>
    <row r="1323" customFormat="false" ht="15" hidden="false" customHeight="true" outlineLevel="0" collapsed="false">
      <c r="A1323" s="34" t="n">
        <v>46000</v>
      </c>
      <c r="B1323" s="8" t="s">
        <v>1602</v>
      </c>
      <c r="C1323" s="8" t="s">
        <v>367</v>
      </c>
      <c r="D1323" s="8" t="s">
        <v>452</v>
      </c>
      <c r="E1323" s="9" t="n">
        <v>-19135.92</v>
      </c>
      <c r="F1323" s="8" t="s">
        <v>13</v>
      </c>
    </row>
    <row r="1324" customFormat="false" ht="15" hidden="false" customHeight="true" outlineLevel="0" collapsed="false">
      <c r="A1324" s="34" t="n">
        <v>46000</v>
      </c>
      <c r="B1324" s="8" t="s">
        <v>1603</v>
      </c>
      <c r="C1324" s="8" t="s">
        <v>313</v>
      </c>
      <c r="D1324" s="8" t="s">
        <v>460</v>
      </c>
      <c r="E1324" s="9" t="n">
        <v>-283.75</v>
      </c>
      <c r="F1324" s="8" t="s">
        <v>18</v>
      </c>
    </row>
    <row r="1325" customFormat="false" ht="15" hidden="false" customHeight="true" outlineLevel="0" collapsed="false">
      <c r="A1325" s="34" t="n">
        <v>46001</v>
      </c>
      <c r="B1325" s="8" t="s">
        <v>1604</v>
      </c>
      <c r="C1325" s="8" t="s">
        <v>310</v>
      </c>
      <c r="D1325" s="8" t="s">
        <v>355</v>
      </c>
      <c r="E1325" s="9" t="n">
        <v>-78.46</v>
      </c>
      <c r="F1325" s="8" t="s">
        <v>31</v>
      </c>
    </row>
    <row r="1326" customFormat="false" ht="15" hidden="false" customHeight="true" outlineLevel="0" collapsed="false">
      <c r="A1326" s="34" t="n">
        <v>46001</v>
      </c>
      <c r="B1326" s="8" t="s">
        <v>1605</v>
      </c>
      <c r="C1326" s="8" t="s">
        <v>365</v>
      </c>
      <c r="D1326" s="8" t="s">
        <v>364</v>
      </c>
      <c r="E1326" s="9" t="n">
        <v>-0.5</v>
      </c>
      <c r="F1326" s="8" t="s">
        <v>25</v>
      </c>
    </row>
    <row r="1327" customFormat="false" ht="15" hidden="false" customHeight="true" outlineLevel="0" collapsed="false">
      <c r="A1327" s="34" t="n">
        <v>46001</v>
      </c>
      <c r="B1327" s="8" t="s">
        <v>1606</v>
      </c>
      <c r="C1327" s="8" t="s">
        <v>367</v>
      </c>
      <c r="D1327" s="8" t="s">
        <v>368</v>
      </c>
      <c r="E1327" s="9" t="n">
        <v>-10916.11</v>
      </c>
      <c r="F1327" s="8" t="s">
        <v>11</v>
      </c>
    </row>
    <row r="1328" customFormat="false" ht="15" hidden="false" customHeight="true" outlineLevel="0" collapsed="false">
      <c r="A1328" s="34" t="n">
        <v>46001</v>
      </c>
      <c r="B1328" s="8" t="s">
        <v>1607</v>
      </c>
      <c r="C1328" s="8" t="s">
        <v>367</v>
      </c>
      <c r="D1328" s="8" t="s">
        <v>596</v>
      </c>
      <c r="E1328" s="9" t="n">
        <v>-11103.1</v>
      </c>
      <c r="F1328" s="8" t="s">
        <v>10</v>
      </c>
    </row>
    <row r="1329" customFormat="false" ht="15" hidden="false" customHeight="true" outlineLevel="0" collapsed="false">
      <c r="A1329" s="34" t="n">
        <v>46001</v>
      </c>
      <c r="B1329" s="8" t="s">
        <v>1608</v>
      </c>
      <c r="C1329" s="8" t="s">
        <v>310</v>
      </c>
      <c r="D1329" s="8" t="s">
        <v>352</v>
      </c>
      <c r="E1329" s="9" t="n">
        <v>-504</v>
      </c>
      <c r="F1329" s="8" t="s">
        <v>23</v>
      </c>
    </row>
    <row r="1330" customFormat="false" ht="15" hidden="false" customHeight="true" outlineLevel="0" collapsed="false">
      <c r="A1330" s="34" t="n">
        <v>46001</v>
      </c>
      <c r="B1330" s="8" t="s">
        <v>1609</v>
      </c>
      <c r="C1330" s="8" t="s">
        <v>310</v>
      </c>
      <c r="D1330" s="8" t="s">
        <v>348</v>
      </c>
      <c r="E1330" s="9" t="n">
        <v>-130.67</v>
      </c>
      <c r="F1330" s="8" t="s">
        <v>26</v>
      </c>
    </row>
    <row r="1331" customFormat="false" ht="15" hidden="false" customHeight="true" outlineLevel="0" collapsed="false">
      <c r="A1331" s="34" t="n">
        <v>46001</v>
      </c>
      <c r="B1331" s="8" t="s">
        <v>1610</v>
      </c>
      <c r="C1331" s="8" t="s">
        <v>313</v>
      </c>
      <c r="D1331" s="8" t="s">
        <v>481</v>
      </c>
      <c r="E1331" s="9" t="n">
        <v>-3.99</v>
      </c>
      <c r="F1331" s="8" t="s">
        <v>20</v>
      </c>
    </row>
    <row r="1332" customFormat="false" ht="15" hidden="false" customHeight="true" outlineLevel="0" collapsed="false">
      <c r="A1332" s="34" t="n">
        <v>46001</v>
      </c>
      <c r="B1332" s="8" t="s">
        <v>1611</v>
      </c>
      <c r="C1332" s="8" t="s">
        <v>310</v>
      </c>
      <c r="D1332" s="8" t="s">
        <v>311</v>
      </c>
      <c r="E1332" s="9" t="n">
        <v>-125.16</v>
      </c>
      <c r="F1332" s="8" t="s">
        <v>26</v>
      </c>
    </row>
    <row r="1333" customFormat="false" ht="15" hidden="false" customHeight="true" outlineLevel="0" collapsed="false">
      <c r="A1333" s="34" t="n">
        <v>46001</v>
      </c>
      <c r="B1333" s="8" t="s">
        <v>1605</v>
      </c>
      <c r="C1333" s="8" t="s">
        <v>313</v>
      </c>
      <c r="D1333" s="8" t="s">
        <v>364</v>
      </c>
      <c r="E1333" s="9" t="n">
        <v>-33.58</v>
      </c>
      <c r="F1333" s="8" t="s">
        <v>20</v>
      </c>
    </row>
    <row r="1334" customFormat="false" ht="15" hidden="false" customHeight="true" outlineLevel="0" collapsed="false">
      <c r="A1334" s="34" t="n">
        <v>46002</v>
      </c>
      <c r="B1334" s="8" t="s">
        <v>1612</v>
      </c>
      <c r="C1334" s="8" t="s">
        <v>333</v>
      </c>
      <c r="D1334" s="8" t="s">
        <v>334</v>
      </c>
      <c r="E1334" s="9" t="n">
        <v>116.74</v>
      </c>
      <c r="F1334" s="8" t="s">
        <v>335</v>
      </c>
    </row>
    <row r="1335" customFormat="false" ht="15" hidden="false" customHeight="true" outlineLevel="0" collapsed="false">
      <c r="A1335" s="34" t="n">
        <v>46003</v>
      </c>
      <c r="B1335" s="8" t="s">
        <v>1613</v>
      </c>
      <c r="C1335" s="8" t="s">
        <v>333</v>
      </c>
      <c r="D1335" s="8" t="s">
        <v>334</v>
      </c>
      <c r="E1335" s="9" t="n">
        <v>117.94</v>
      </c>
      <c r="F1335" s="8" t="s">
        <v>335</v>
      </c>
    </row>
    <row r="1336" customFormat="false" ht="15" hidden="false" customHeight="true" outlineLevel="0" collapsed="false">
      <c r="A1336" s="34" t="n">
        <v>46006</v>
      </c>
      <c r="B1336" s="8" t="s">
        <v>1614</v>
      </c>
      <c r="C1336" s="8" t="s">
        <v>333</v>
      </c>
      <c r="D1336" s="8" t="s">
        <v>334</v>
      </c>
      <c r="E1336" s="9" t="n">
        <v>231.93</v>
      </c>
      <c r="F1336" s="8" t="s">
        <v>335</v>
      </c>
    </row>
    <row r="1337" customFormat="false" ht="15" hidden="false" customHeight="true" outlineLevel="0" collapsed="false">
      <c r="A1337" s="34" t="n">
        <v>46006</v>
      </c>
      <c r="B1337" s="8" t="s">
        <v>1615</v>
      </c>
      <c r="C1337" s="8" t="s">
        <v>359</v>
      </c>
      <c r="D1337" s="8" t="s">
        <v>360</v>
      </c>
      <c r="E1337" s="9" t="n">
        <v>-1.2</v>
      </c>
      <c r="F1337" s="8" t="s">
        <v>25</v>
      </c>
    </row>
    <row r="1338" customFormat="false" ht="15" hidden="false" customHeight="true" outlineLevel="0" collapsed="false">
      <c r="A1338" s="34" t="n">
        <v>46006</v>
      </c>
      <c r="B1338" s="8" t="s">
        <v>1616</v>
      </c>
      <c r="C1338" s="8" t="s">
        <v>375</v>
      </c>
      <c r="D1338" s="8" t="s">
        <v>376</v>
      </c>
      <c r="E1338" s="9" t="n">
        <v>-49.35</v>
      </c>
      <c r="F1338" s="8" t="s">
        <v>25</v>
      </c>
    </row>
    <row r="1339" customFormat="false" ht="15" hidden="false" customHeight="true" outlineLevel="0" collapsed="false">
      <c r="A1339" s="34" t="n">
        <v>46006</v>
      </c>
      <c r="B1339" s="8" t="s">
        <v>1617</v>
      </c>
      <c r="C1339" s="8" t="s">
        <v>310</v>
      </c>
      <c r="D1339" s="8" t="s">
        <v>400</v>
      </c>
      <c r="E1339" s="9" t="n">
        <v>-118.98</v>
      </c>
      <c r="F1339" s="8" t="s">
        <v>20</v>
      </c>
    </row>
    <row r="1340" customFormat="false" ht="15" hidden="false" customHeight="true" outlineLevel="0" collapsed="false">
      <c r="A1340" s="34" t="n">
        <v>46006</v>
      </c>
      <c r="B1340" s="8" t="s">
        <v>1615</v>
      </c>
      <c r="C1340" s="8" t="s">
        <v>361</v>
      </c>
      <c r="D1340" s="8" t="s">
        <v>379</v>
      </c>
      <c r="E1340" s="9" t="n">
        <v>90000</v>
      </c>
      <c r="F1340" s="8" t="s">
        <v>335</v>
      </c>
    </row>
    <row r="1341" customFormat="false" ht="15" hidden="false" customHeight="true" outlineLevel="0" collapsed="false">
      <c r="A1341" s="34" t="n">
        <v>46006</v>
      </c>
      <c r="B1341" s="8" t="s">
        <v>356</v>
      </c>
      <c r="C1341" s="8" t="s">
        <v>384</v>
      </c>
      <c r="D1341" s="8"/>
      <c r="E1341" s="9" t="n">
        <v>-7.69</v>
      </c>
      <c r="F1341" s="8" t="s">
        <v>25</v>
      </c>
    </row>
    <row r="1342" customFormat="false" ht="15" hidden="false" customHeight="true" outlineLevel="0" collapsed="false">
      <c r="A1342" s="34" t="n">
        <v>46007</v>
      </c>
      <c r="B1342" s="8" t="s">
        <v>1618</v>
      </c>
      <c r="C1342" s="8" t="s">
        <v>359</v>
      </c>
      <c r="D1342" s="8" t="s">
        <v>360</v>
      </c>
      <c r="E1342" s="9" t="n">
        <v>-1.2</v>
      </c>
      <c r="F1342" s="8" t="s">
        <v>25</v>
      </c>
    </row>
    <row r="1343" customFormat="false" ht="15" hidden="false" customHeight="true" outlineLevel="0" collapsed="false">
      <c r="A1343" s="34" t="n">
        <v>46007</v>
      </c>
      <c r="B1343" s="8" t="s">
        <v>1619</v>
      </c>
      <c r="C1343" s="8" t="s">
        <v>310</v>
      </c>
      <c r="D1343" s="8" t="s">
        <v>390</v>
      </c>
      <c r="E1343" s="9" t="n">
        <v>-2796</v>
      </c>
      <c r="F1343" s="8" t="s">
        <v>15</v>
      </c>
    </row>
    <row r="1344" customFormat="false" ht="15" hidden="false" customHeight="true" outlineLevel="0" collapsed="false">
      <c r="A1344" s="34" t="n">
        <v>46007</v>
      </c>
      <c r="B1344" s="8" t="s">
        <v>1618</v>
      </c>
      <c r="C1344" s="8" t="s">
        <v>361</v>
      </c>
      <c r="D1344" s="8" t="s">
        <v>379</v>
      </c>
      <c r="E1344" s="9" t="n">
        <v>39400</v>
      </c>
      <c r="F1344" s="8" t="s">
        <v>335</v>
      </c>
    </row>
    <row r="1345" customFormat="false" ht="15" hidden="false" customHeight="true" outlineLevel="0" collapsed="false">
      <c r="A1345" s="34" t="n">
        <v>46008</v>
      </c>
      <c r="B1345" s="8" t="s">
        <v>1620</v>
      </c>
      <c r="C1345" s="8" t="s">
        <v>313</v>
      </c>
      <c r="D1345" s="8" t="s">
        <v>481</v>
      </c>
      <c r="E1345" s="9" t="n">
        <v>-3.99</v>
      </c>
      <c r="F1345" s="8" t="s">
        <v>20</v>
      </c>
    </row>
    <row r="1346" customFormat="false" ht="15" hidden="false" customHeight="true" outlineLevel="0" collapsed="false">
      <c r="A1346" s="34" t="n">
        <v>46009</v>
      </c>
      <c r="B1346" s="8" t="s">
        <v>1621</v>
      </c>
      <c r="C1346" s="8" t="s">
        <v>411</v>
      </c>
      <c r="D1346" s="8" t="s">
        <v>1622</v>
      </c>
      <c r="E1346" s="9" t="n">
        <v>-1094.4</v>
      </c>
      <c r="F1346" s="8" t="s">
        <v>17</v>
      </c>
    </row>
    <row r="1347" customFormat="false" ht="15" hidden="false" customHeight="true" outlineLevel="0" collapsed="false">
      <c r="A1347" s="34" t="n">
        <v>46009</v>
      </c>
      <c r="B1347" s="8" t="s">
        <v>1623</v>
      </c>
      <c r="C1347" s="8" t="s">
        <v>359</v>
      </c>
      <c r="D1347" s="8" t="s">
        <v>360</v>
      </c>
      <c r="E1347" s="9" t="n">
        <v>-1.2</v>
      </c>
      <c r="F1347" s="8" t="s">
        <v>25</v>
      </c>
    </row>
    <row r="1348" customFormat="false" ht="15" hidden="false" customHeight="true" outlineLevel="0" collapsed="false">
      <c r="A1348" s="34" t="n">
        <v>46009</v>
      </c>
      <c r="B1348" s="8" t="s">
        <v>1623</v>
      </c>
      <c r="C1348" s="8" t="s">
        <v>361</v>
      </c>
      <c r="D1348" s="8" t="s">
        <v>1506</v>
      </c>
      <c r="E1348" s="9" t="n">
        <v>10000</v>
      </c>
      <c r="F1348" s="8" t="s">
        <v>335</v>
      </c>
    </row>
    <row r="1349" customFormat="false" ht="15" hidden="false" customHeight="true" outlineLevel="0" collapsed="false">
      <c r="A1349" s="34" t="n">
        <v>46010</v>
      </c>
      <c r="B1349" s="8" t="s">
        <v>1624</v>
      </c>
      <c r="C1349" s="8" t="s">
        <v>382</v>
      </c>
      <c r="D1349" s="8" t="s">
        <v>658</v>
      </c>
      <c r="E1349" s="9" t="n">
        <v>-21.6</v>
      </c>
      <c r="F1349" s="8" t="s">
        <v>25</v>
      </c>
    </row>
    <row r="1350" customFormat="false" ht="15" hidden="false" customHeight="true" outlineLevel="0" collapsed="false">
      <c r="A1350" s="34" t="n">
        <v>46010</v>
      </c>
      <c r="B1350" s="8" t="s">
        <v>1625</v>
      </c>
      <c r="C1350" s="8" t="s">
        <v>313</v>
      </c>
      <c r="D1350" s="8" t="s">
        <v>331</v>
      </c>
      <c r="E1350" s="9" t="n">
        <v>-43</v>
      </c>
      <c r="F1350" s="8" t="s">
        <v>17</v>
      </c>
    </row>
    <row r="1351" customFormat="false" ht="15" hidden="false" customHeight="true" outlineLevel="0" collapsed="false">
      <c r="A1351" s="34" t="n">
        <v>46010</v>
      </c>
      <c r="B1351" s="8" t="s">
        <v>1626</v>
      </c>
      <c r="C1351" s="8" t="s">
        <v>380</v>
      </c>
      <c r="D1351" s="8" t="s">
        <v>657</v>
      </c>
      <c r="E1351" s="9" t="n">
        <v>-84041.78</v>
      </c>
      <c r="F1351" s="8" t="s">
        <v>12</v>
      </c>
    </row>
    <row r="1352" customFormat="false" ht="15" hidden="false" customHeight="true" outlineLevel="0" collapsed="false">
      <c r="A1352" s="34" t="n">
        <v>46010</v>
      </c>
      <c r="B1352" s="8" t="s">
        <v>1627</v>
      </c>
      <c r="C1352" s="8" t="s">
        <v>367</v>
      </c>
      <c r="D1352" s="8" t="s">
        <v>601</v>
      </c>
      <c r="E1352" s="9" t="n">
        <v>-2958</v>
      </c>
      <c r="F1352" s="8" t="s">
        <v>10</v>
      </c>
    </row>
    <row r="1353" customFormat="false" ht="15" hidden="false" customHeight="true" outlineLevel="0" collapsed="false">
      <c r="A1353" s="34" t="n">
        <v>46010</v>
      </c>
      <c r="B1353" s="8" t="s">
        <v>1624</v>
      </c>
      <c r="C1353" s="8" t="s">
        <v>380</v>
      </c>
      <c r="D1353" s="8" t="s">
        <v>676</v>
      </c>
      <c r="E1353" s="9" t="n">
        <v>-2926.45</v>
      </c>
      <c r="F1353" s="8" t="s">
        <v>12</v>
      </c>
    </row>
    <row r="1354" customFormat="false" ht="15" hidden="false" customHeight="true" outlineLevel="0" collapsed="false">
      <c r="A1354" s="34" t="n">
        <v>46010</v>
      </c>
      <c r="B1354" s="8" t="s">
        <v>1624</v>
      </c>
      <c r="C1354" s="8" t="s">
        <v>359</v>
      </c>
      <c r="D1354" s="8" t="s">
        <v>360</v>
      </c>
      <c r="E1354" s="9" t="n">
        <v>-1.2</v>
      </c>
      <c r="F1354" s="8" t="s">
        <v>25</v>
      </c>
    </row>
    <row r="1355" customFormat="false" ht="15" hidden="false" customHeight="true" outlineLevel="0" collapsed="false">
      <c r="A1355" s="34" t="n">
        <v>46010</v>
      </c>
      <c r="B1355" s="8" t="s">
        <v>1624</v>
      </c>
      <c r="C1355" s="8" t="s">
        <v>377</v>
      </c>
      <c r="D1355" s="8" t="s">
        <v>378</v>
      </c>
      <c r="E1355" s="9" t="n">
        <v>-28.2</v>
      </c>
      <c r="F1355" s="8" t="s">
        <v>25</v>
      </c>
    </row>
    <row r="1356" customFormat="false" ht="15" hidden="false" customHeight="true" outlineLevel="0" collapsed="false">
      <c r="A1356" s="34" t="n">
        <v>46010</v>
      </c>
      <c r="B1356" s="8" t="s">
        <v>1626</v>
      </c>
      <c r="C1356" s="8" t="s">
        <v>359</v>
      </c>
      <c r="D1356" s="8" t="s">
        <v>360</v>
      </c>
      <c r="E1356" s="9" t="n">
        <v>-1.2</v>
      </c>
      <c r="F1356" s="8" t="s">
        <v>25</v>
      </c>
    </row>
    <row r="1357" customFormat="false" ht="15" hidden="false" customHeight="true" outlineLevel="0" collapsed="false">
      <c r="A1357" s="34" t="n">
        <v>46010</v>
      </c>
      <c r="B1357" s="8" t="s">
        <v>1628</v>
      </c>
      <c r="C1357" s="8" t="s">
        <v>313</v>
      </c>
      <c r="D1357" s="8" t="s">
        <v>331</v>
      </c>
      <c r="E1357" s="9" t="n">
        <v>-43</v>
      </c>
      <c r="F1357" s="8" t="s">
        <v>17</v>
      </c>
    </row>
    <row r="1358" customFormat="false" ht="15" hidden="false" customHeight="true" outlineLevel="0" collapsed="false">
      <c r="A1358" s="34" t="n">
        <v>46010</v>
      </c>
      <c r="B1358" s="8" t="s">
        <v>1624</v>
      </c>
      <c r="C1358" s="8" t="s">
        <v>373</v>
      </c>
      <c r="D1358" s="8"/>
      <c r="E1358" s="9" t="n">
        <v>-21.5</v>
      </c>
      <c r="F1358" s="8" t="s">
        <v>25</v>
      </c>
    </row>
    <row r="1359" customFormat="false" ht="15" hidden="false" customHeight="true" outlineLevel="0" collapsed="false">
      <c r="A1359" s="34" t="n">
        <v>46010</v>
      </c>
      <c r="B1359" s="8" t="s">
        <v>1626</v>
      </c>
      <c r="C1359" s="8" t="s">
        <v>382</v>
      </c>
      <c r="D1359" s="8" t="s">
        <v>658</v>
      </c>
      <c r="E1359" s="9" t="n">
        <v>-21.6</v>
      </c>
      <c r="F1359" s="8" t="s">
        <v>25</v>
      </c>
    </row>
    <row r="1360" customFormat="false" ht="15" hidden="false" customHeight="true" outlineLevel="0" collapsed="false">
      <c r="A1360" s="34" t="n">
        <v>46010</v>
      </c>
      <c r="B1360" s="8" t="s">
        <v>1626</v>
      </c>
      <c r="C1360" s="8" t="s">
        <v>373</v>
      </c>
      <c r="D1360" s="8"/>
      <c r="E1360" s="9" t="n">
        <v>-41.01</v>
      </c>
      <c r="F1360" s="8" t="s">
        <v>25</v>
      </c>
    </row>
    <row r="1361" customFormat="false" ht="15" hidden="false" customHeight="true" outlineLevel="0" collapsed="false">
      <c r="A1361" s="34" t="n">
        <v>46010</v>
      </c>
      <c r="B1361" s="8" t="s">
        <v>1629</v>
      </c>
      <c r="C1361" s="8" t="s">
        <v>313</v>
      </c>
      <c r="D1361" s="8" t="s">
        <v>331</v>
      </c>
      <c r="E1361" s="9" t="n">
        <v>-73</v>
      </c>
      <c r="F1361" s="8" t="s">
        <v>17</v>
      </c>
    </row>
    <row r="1362" customFormat="false" ht="15" hidden="false" customHeight="true" outlineLevel="0" collapsed="false">
      <c r="A1362" s="34" t="n">
        <v>46010</v>
      </c>
      <c r="B1362" s="8" t="s">
        <v>1626</v>
      </c>
      <c r="C1362" s="8" t="s">
        <v>377</v>
      </c>
      <c r="D1362" s="8" t="s">
        <v>378</v>
      </c>
      <c r="E1362" s="9" t="n">
        <v>-28.2</v>
      </c>
      <c r="F1362" s="8" t="s">
        <v>25</v>
      </c>
    </row>
    <row r="1363" customFormat="false" ht="15" hidden="false" customHeight="true" outlineLevel="0" collapsed="false">
      <c r="A1363" s="34" t="n">
        <v>46013</v>
      </c>
      <c r="B1363" s="8" t="s">
        <v>1630</v>
      </c>
      <c r="C1363" s="8" t="s">
        <v>380</v>
      </c>
      <c r="D1363" s="8" t="s">
        <v>657</v>
      </c>
      <c r="E1363" s="9" t="n">
        <v>-42942.19</v>
      </c>
      <c r="F1363" s="8" t="s">
        <v>12</v>
      </c>
    </row>
    <row r="1364" customFormat="false" ht="15" hidden="false" customHeight="true" outlineLevel="0" collapsed="false">
      <c r="A1364" s="34" t="n">
        <v>46013</v>
      </c>
      <c r="B1364" s="8" t="s">
        <v>1630</v>
      </c>
      <c r="C1364" s="8" t="s">
        <v>373</v>
      </c>
      <c r="D1364" s="8"/>
      <c r="E1364" s="9" t="n">
        <v>-21.5</v>
      </c>
      <c r="F1364" s="8" t="s">
        <v>25</v>
      </c>
    </row>
    <row r="1365" customFormat="false" ht="15" hidden="false" customHeight="true" outlineLevel="0" collapsed="false">
      <c r="A1365" s="34" t="n">
        <v>46013</v>
      </c>
      <c r="B1365" s="8" t="s">
        <v>1630</v>
      </c>
      <c r="C1365" s="8" t="s">
        <v>382</v>
      </c>
      <c r="D1365" s="8" t="s">
        <v>658</v>
      </c>
      <c r="E1365" s="9" t="n">
        <v>-21.6</v>
      </c>
      <c r="F1365" s="8" t="s">
        <v>25</v>
      </c>
    </row>
    <row r="1366" customFormat="false" ht="15" hidden="false" customHeight="true" outlineLevel="0" collapsed="false">
      <c r="A1366" s="34" t="n">
        <v>46013</v>
      </c>
      <c r="B1366" s="8" t="s">
        <v>1630</v>
      </c>
      <c r="C1366" s="8" t="s">
        <v>359</v>
      </c>
      <c r="D1366" s="8" t="s">
        <v>360</v>
      </c>
      <c r="E1366" s="9" t="n">
        <v>-1.2</v>
      </c>
      <c r="F1366" s="8" t="s">
        <v>25</v>
      </c>
    </row>
    <row r="1367" customFormat="false" ht="15" hidden="false" customHeight="true" outlineLevel="0" collapsed="false">
      <c r="A1367" s="34" t="n">
        <v>46013</v>
      </c>
      <c r="B1367" s="8" t="s">
        <v>1630</v>
      </c>
      <c r="C1367" s="8" t="s">
        <v>377</v>
      </c>
      <c r="D1367" s="8" t="s">
        <v>378</v>
      </c>
      <c r="E1367" s="9" t="n">
        <v>-28.2</v>
      </c>
      <c r="F1367" s="8" t="s">
        <v>25</v>
      </c>
    </row>
    <row r="1368" customFormat="false" ht="15" hidden="false" customHeight="true" outlineLevel="0" collapsed="false">
      <c r="A1368" s="34" t="n">
        <v>46014</v>
      </c>
      <c r="B1368" s="8" t="s">
        <v>1631</v>
      </c>
      <c r="C1368" s="8" t="s">
        <v>361</v>
      </c>
      <c r="D1368" s="8" t="s">
        <v>1101</v>
      </c>
      <c r="E1368" s="9" t="n">
        <v>3874</v>
      </c>
      <c r="F1368" s="8" t="s">
        <v>335</v>
      </c>
    </row>
    <row r="1369" customFormat="false" ht="15" hidden="false" customHeight="true" outlineLevel="0" collapsed="false">
      <c r="A1369" s="34" t="n">
        <v>46014</v>
      </c>
      <c r="B1369" s="8" t="s">
        <v>1632</v>
      </c>
      <c r="C1369" s="8" t="s">
        <v>359</v>
      </c>
      <c r="D1369" s="8" t="s">
        <v>360</v>
      </c>
      <c r="E1369" s="9" t="n">
        <v>-1.2</v>
      </c>
      <c r="F1369" s="8" t="s">
        <v>25</v>
      </c>
    </row>
    <row r="1370" customFormat="false" ht="15" hidden="false" customHeight="true" outlineLevel="0" collapsed="false">
      <c r="A1370" s="34" t="n">
        <v>46014</v>
      </c>
      <c r="B1370" s="8" t="s">
        <v>1633</v>
      </c>
      <c r="C1370" s="8" t="s">
        <v>414</v>
      </c>
      <c r="D1370" s="8" t="s">
        <v>415</v>
      </c>
      <c r="E1370" s="9" t="n">
        <v>-236</v>
      </c>
      <c r="F1370" s="8" t="s">
        <v>15</v>
      </c>
    </row>
    <row r="1371" customFormat="false" ht="15" hidden="false" customHeight="true" outlineLevel="0" collapsed="false">
      <c r="A1371" s="34" t="n">
        <v>46014</v>
      </c>
      <c r="B1371" s="8" t="s">
        <v>1634</v>
      </c>
      <c r="C1371" s="8" t="s">
        <v>367</v>
      </c>
      <c r="D1371" s="8" t="s">
        <v>476</v>
      </c>
      <c r="E1371" s="9" t="n">
        <v>-2465.38</v>
      </c>
      <c r="F1371" s="8" t="s">
        <v>14</v>
      </c>
    </row>
    <row r="1372" customFormat="false" ht="15" hidden="false" customHeight="true" outlineLevel="0" collapsed="false">
      <c r="A1372" s="34" t="n">
        <v>46014</v>
      </c>
      <c r="B1372" s="8" t="s">
        <v>1631</v>
      </c>
      <c r="C1372" s="8" t="s">
        <v>359</v>
      </c>
      <c r="D1372" s="8" t="s">
        <v>360</v>
      </c>
      <c r="E1372" s="9" t="n">
        <v>-1.2</v>
      </c>
      <c r="F1372" s="8" t="s">
        <v>25</v>
      </c>
    </row>
    <row r="1373" customFormat="false" ht="15" hidden="false" customHeight="true" outlineLevel="0" collapsed="false">
      <c r="A1373" s="34" t="n">
        <v>46014</v>
      </c>
      <c r="B1373" s="8" t="s">
        <v>1632</v>
      </c>
      <c r="C1373" s="8" t="s">
        <v>361</v>
      </c>
      <c r="D1373" s="8" t="s">
        <v>1506</v>
      </c>
      <c r="E1373" s="9" t="n">
        <v>9935</v>
      </c>
      <c r="F1373" s="8" t="s">
        <v>335</v>
      </c>
    </row>
    <row r="1374" customFormat="false" ht="15" hidden="false" customHeight="true" outlineLevel="0" collapsed="false">
      <c r="A1374" s="34" t="n">
        <v>46014</v>
      </c>
      <c r="B1374" s="8" t="s">
        <v>1635</v>
      </c>
      <c r="C1374" s="8" t="s">
        <v>310</v>
      </c>
      <c r="D1374" s="8" t="s">
        <v>390</v>
      </c>
      <c r="E1374" s="9" t="n">
        <v>-126</v>
      </c>
      <c r="F1374" s="8" t="s">
        <v>15</v>
      </c>
    </row>
    <row r="1375" customFormat="false" ht="15" hidden="false" customHeight="true" outlineLevel="0" collapsed="false">
      <c r="A1375" s="34" t="n">
        <v>46014</v>
      </c>
      <c r="B1375" s="8" t="s">
        <v>1636</v>
      </c>
      <c r="C1375" s="8" t="s">
        <v>367</v>
      </c>
      <c r="D1375" s="8" t="s">
        <v>464</v>
      </c>
      <c r="E1375" s="9" t="n">
        <v>-1597.83</v>
      </c>
      <c r="F1375" s="8" t="s">
        <v>14</v>
      </c>
    </row>
    <row r="1376" customFormat="false" ht="15" hidden="false" customHeight="true" outlineLevel="0" collapsed="false">
      <c r="A1376" s="34" t="n">
        <v>46015</v>
      </c>
      <c r="B1376" s="8" t="s">
        <v>1637</v>
      </c>
      <c r="C1376" s="8" t="s">
        <v>333</v>
      </c>
      <c r="D1376" s="8" t="s">
        <v>334</v>
      </c>
      <c r="E1376" s="9" t="n">
        <v>19.44</v>
      </c>
      <c r="F1376" s="8" t="s">
        <v>335</v>
      </c>
    </row>
    <row r="1377" customFormat="false" ht="15" hidden="false" customHeight="true" outlineLevel="0" collapsed="false">
      <c r="A1377" s="34" t="n">
        <v>46015</v>
      </c>
      <c r="B1377" s="8" t="s">
        <v>1638</v>
      </c>
      <c r="C1377" s="8" t="s">
        <v>313</v>
      </c>
      <c r="D1377" s="8" t="s">
        <v>481</v>
      </c>
      <c r="E1377" s="9" t="n">
        <v>-3.99</v>
      </c>
      <c r="F1377" s="8" t="s">
        <v>20</v>
      </c>
    </row>
    <row r="1378" customFormat="false" ht="15" hidden="false" customHeight="true" outlineLevel="0" collapsed="false">
      <c r="A1378" s="34" t="n">
        <v>46015</v>
      </c>
      <c r="B1378" s="8" t="s">
        <v>1639</v>
      </c>
      <c r="C1378" s="8" t="s">
        <v>313</v>
      </c>
      <c r="D1378" s="8" t="s">
        <v>331</v>
      </c>
      <c r="E1378" s="9" t="n">
        <v>-43</v>
      </c>
      <c r="F1378" s="8" t="s">
        <v>17</v>
      </c>
    </row>
    <row r="1379" customFormat="false" ht="15" hidden="false" customHeight="true" outlineLevel="0" collapsed="false">
      <c r="A1379" s="34" t="n">
        <v>46015</v>
      </c>
      <c r="B1379" s="8" t="s">
        <v>1640</v>
      </c>
      <c r="C1379" s="8" t="s">
        <v>313</v>
      </c>
      <c r="D1379" s="8" t="s">
        <v>562</v>
      </c>
      <c r="E1379" s="9" t="n">
        <v>-53.93</v>
      </c>
      <c r="F1379" s="8" t="s">
        <v>19</v>
      </c>
    </row>
    <row r="1380" customFormat="false" ht="15" hidden="false" customHeight="true" outlineLevel="0" collapsed="false">
      <c r="A1380" s="34" t="n">
        <v>46017</v>
      </c>
      <c r="B1380" s="8" t="s">
        <v>1641</v>
      </c>
      <c r="C1380" s="8" t="s">
        <v>434</v>
      </c>
      <c r="D1380" s="8" t="s">
        <v>1642</v>
      </c>
      <c r="E1380" s="9" t="n">
        <v>2500</v>
      </c>
      <c r="F1380" s="8" t="s">
        <v>335</v>
      </c>
    </row>
    <row r="1381" customFormat="false" ht="15" hidden="false" customHeight="true" outlineLevel="0" collapsed="false">
      <c r="A1381" s="34" t="n">
        <v>46017</v>
      </c>
      <c r="B1381" s="8" t="s">
        <v>1641</v>
      </c>
      <c r="C1381" s="8" t="s">
        <v>434</v>
      </c>
      <c r="D1381" s="8" t="s">
        <v>1642</v>
      </c>
      <c r="E1381" s="9" t="n">
        <v>2500</v>
      </c>
      <c r="F1381" s="8" t="s">
        <v>335</v>
      </c>
    </row>
    <row r="1382" customFormat="false" ht="15" hidden="false" customHeight="true" outlineLevel="0" collapsed="false">
      <c r="A1382" s="34" t="n">
        <v>46020</v>
      </c>
      <c r="B1382" s="8" t="s">
        <v>1643</v>
      </c>
      <c r="C1382" s="8" t="s">
        <v>310</v>
      </c>
      <c r="D1382" s="8" t="s">
        <v>400</v>
      </c>
      <c r="E1382" s="9" t="n">
        <v>-369.35</v>
      </c>
      <c r="F1382" s="8" t="s">
        <v>20</v>
      </c>
    </row>
    <row r="1383" customFormat="false" ht="15" hidden="false" customHeight="true" outlineLevel="0" collapsed="false">
      <c r="A1383" s="34" t="n">
        <v>46020</v>
      </c>
      <c r="B1383" s="8" t="s">
        <v>1644</v>
      </c>
      <c r="C1383" s="8" t="s">
        <v>313</v>
      </c>
      <c r="D1383" s="8" t="s">
        <v>683</v>
      </c>
      <c r="E1383" s="9" t="n">
        <v>-13</v>
      </c>
      <c r="F1383" s="8" t="s">
        <v>20</v>
      </c>
    </row>
    <row r="1384" customFormat="false" ht="15" hidden="false" customHeight="true" outlineLevel="0" collapsed="false">
      <c r="A1384" s="34" t="n">
        <v>46020</v>
      </c>
      <c r="B1384" s="8" t="s">
        <v>1645</v>
      </c>
      <c r="C1384" s="8" t="s">
        <v>313</v>
      </c>
      <c r="D1384" s="8" t="s">
        <v>440</v>
      </c>
      <c r="E1384" s="9" t="n">
        <v>-65.81</v>
      </c>
      <c r="F1384" s="8" t="s">
        <v>30</v>
      </c>
    </row>
    <row r="1385" customFormat="false" ht="15" hidden="false" customHeight="true" outlineLevel="0" collapsed="false">
      <c r="A1385" s="34" t="n">
        <v>46020</v>
      </c>
      <c r="B1385" s="8" t="s">
        <v>1646</v>
      </c>
      <c r="C1385" s="8" t="s">
        <v>313</v>
      </c>
      <c r="D1385" s="8" t="s">
        <v>450</v>
      </c>
      <c r="E1385" s="9" t="n">
        <v>-65.54</v>
      </c>
      <c r="F1385" s="8" t="s">
        <v>20</v>
      </c>
    </row>
    <row r="1386" customFormat="false" ht="15" hidden="false" customHeight="true" outlineLevel="0" collapsed="false">
      <c r="A1386" s="34" t="n">
        <v>46020</v>
      </c>
      <c r="B1386" s="8" t="s">
        <v>1647</v>
      </c>
      <c r="C1386" s="8" t="s">
        <v>310</v>
      </c>
      <c r="D1386" s="8" t="s">
        <v>415</v>
      </c>
      <c r="E1386" s="9" t="n">
        <v>-2619</v>
      </c>
      <c r="F1386" s="8" t="s">
        <v>15</v>
      </c>
    </row>
    <row r="1387" customFormat="false" ht="15" hidden="false" customHeight="true" outlineLevel="0" collapsed="false">
      <c r="A1387" s="34" t="n">
        <v>46020</v>
      </c>
      <c r="B1387" s="8" t="s">
        <v>1648</v>
      </c>
      <c r="C1387" s="8" t="s">
        <v>411</v>
      </c>
      <c r="D1387" s="8" t="s">
        <v>412</v>
      </c>
      <c r="E1387" s="9" t="n">
        <v>-1300.67</v>
      </c>
      <c r="F1387" s="8" t="s">
        <v>14</v>
      </c>
    </row>
    <row r="1388" customFormat="false" ht="15" hidden="false" customHeight="true" outlineLevel="0" collapsed="false">
      <c r="A1388" s="34" t="n">
        <v>46020</v>
      </c>
      <c r="B1388" s="8" t="s">
        <v>1649</v>
      </c>
      <c r="C1388" s="8" t="s">
        <v>310</v>
      </c>
      <c r="D1388" s="8" t="s">
        <v>432</v>
      </c>
      <c r="E1388" s="9" t="n">
        <v>-610.61</v>
      </c>
      <c r="F1388" s="8" t="s">
        <v>15</v>
      </c>
    </row>
    <row r="1389" customFormat="false" ht="15" hidden="false" customHeight="true" outlineLevel="0" collapsed="false">
      <c r="A1389" s="34" t="n">
        <v>46020</v>
      </c>
      <c r="B1389" s="8" t="s">
        <v>1650</v>
      </c>
      <c r="C1389" s="8" t="s">
        <v>411</v>
      </c>
      <c r="D1389" s="8" t="s">
        <v>502</v>
      </c>
      <c r="E1389" s="9" t="n">
        <v>-720</v>
      </c>
      <c r="F1389" s="8" t="s">
        <v>17</v>
      </c>
    </row>
    <row r="1390" customFormat="false" ht="15" hidden="false" customHeight="true" outlineLevel="0" collapsed="false">
      <c r="A1390" s="34" t="n">
        <v>46021</v>
      </c>
      <c r="B1390" s="8" t="s">
        <v>1651</v>
      </c>
      <c r="C1390" s="8" t="s">
        <v>333</v>
      </c>
      <c r="D1390" s="8" t="s">
        <v>1652</v>
      </c>
      <c r="E1390" s="9" t="n">
        <v>400</v>
      </c>
      <c r="F1390" s="8" t="s">
        <v>335</v>
      </c>
    </row>
    <row r="1391" customFormat="false" ht="15" hidden="false" customHeight="true" outlineLevel="0" collapsed="false">
      <c r="A1391" s="34" t="n">
        <v>46021</v>
      </c>
      <c r="B1391" s="8" t="s">
        <v>1653</v>
      </c>
      <c r="C1391" s="8" t="s">
        <v>367</v>
      </c>
      <c r="D1391" s="8" t="s">
        <v>412</v>
      </c>
      <c r="E1391" s="9" t="n">
        <v>-2000</v>
      </c>
      <c r="F1391" s="8" t="s">
        <v>14</v>
      </c>
    </row>
    <row r="1392" customFormat="false" ht="15" hidden="false" customHeight="true" outlineLevel="0" collapsed="false">
      <c r="A1392" s="34" t="n">
        <v>46021</v>
      </c>
      <c r="B1392" s="8" t="s">
        <v>1654</v>
      </c>
      <c r="C1392" s="8" t="s">
        <v>367</v>
      </c>
      <c r="D1392" s="8" t="s">
        <v>476</v>
      </c>
      <c r="E1392" s="9" t="n">
        <v>-2000</v>
      </c>
      <c r="F1392" s="8" t="s">
        <v>14</v>
      </c>
    </row>
    <row r="1393" customFormat="false" ht="15" hidden="false" customHeight="true" outlineLevel="0" collapsed="false">
      <c r="A1393" s="34" t="n">
        <v>46021</v>
      </c>
      <c r="B1393" s="8" t="s">
        <v>1655</v>
      </c>
      <c r="C1393" s="8" t="s">
        <v>367</v>
      </c>
      <c r="D1393" s="8" t="s">
        <v>464</v>
      </c>
      <c r="E1393" s="9" t="n">
        <v>-2000</v>
      </c>
      <c r="F1393" s="8" t="s">
        <v>14</v>
      </c>
    </row>
    <row r="1394" customFormat="false" ht="15" hidden="false" customHeight="true" outlineLevel="0" collapsed="false">
      <c r="A1394" s="34" t="n">
        <v>46022</v>
      </c>
      <c r="B1394" s="8" t="s">
        <v>1656</v>
      </c>
      <c r="C1394" s="8" t="s">
        <v>310</v>
      </c>
      <c r="D1394" s="8" t="s">
        <v>317</v>
      </c>
      <c r="E1394" s="9" t="n">
        <v>-980.66</v>
      </c>
      <c r="F1394" s="8" t="s">
        <v>22</v>
      </c>
    </row>
    <row r="1395" customFormat="false" ht="15" hidden="false" customHeight="true" outlineLevel="0" collapsed="false">
      <c r="A1395" s="34" t="n">
        <v>46022</v>
      </c>
      <c r="B1395" s="8" t="s">
        <v>356</v>
      </c>
      <c r="C1395" s="8" t="s">
        <v>688</v>
      </c>
      <c r="D1395" s="8" t="s">
        <v>689</v>
      </c>
      <c r="E1395" s="9" t="n">
        <v>-72</v>
      </c>
      <c r="F1395" s="8" t="s">
        <v>25</v>
      </c>
    </row>
    <row r="1396" customFormat="false" ht="15" hidden="false" customHeight="true" outlineLevel="0" collapsed="false">
      <c r="A1396" s="34" t="n">
        <v>46022</v>
      </c>
      <c r="B1396" s="8" t="s">
        <v>1657</v>
      </c>
      <c r="C1396" s="8" t="s">
        <v>313</v>
      </c>
      <c r="D1396" s="8" t="s">
        <v>481</v>
      </c>
      <c r="E1396" s="9" t="n">
        <v>-3.99</v>
      </c>
      <c r="F1396" s="8" t="s">
        <v>20</v>
      </c>
    </row>
    <row r="1397" customFormat="false" ht="15" hidden="false" customHeight="true" outlineLevel="0" collapsed="false">
      <c r="A1397" s="34" t="n">
        <v>46022</v>
      </c>
      <c r="B1397" s="8" t="s">
        <v>1656</v>
      </c>
      <c r="C1397" s="8" t="s">
        <v>310</v>
      </c>
      <c r="D1397" s="8" t="s">
        <v>678</v>
      </c>
      <c r="E1397" s="9" t="n">
        <v>-15.95</v>
      </c>
      <c r="F1397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6"/>
    <col collapsed="false" customWidth="true" hidden="false" outlineLevel="0" max="4" min="4" style="1" width="42"/>
    <col collapsed="false" customWidth="true" hidden="false" outlineLevel="0" max="5" min="5" style="1" width="14"/>
    <col collapsed="false" customWidth="true" hidden="false" outlineLevel="0" max="6" min="6" style="1" width="40"/>
  </cols>
  <sheetData>
    <row r="1" customFormat="false" ht="15" hidden="false" customHeight="true" outlineLevel="0" collapsed="false">
      <c r="A1" s="15" t="s">
        <v>304</v>
      </c>
      <c r="B1" s="15" t="s">
        <v>305</v>
      </c>
      <c r="C1" s="15" t="s">
        <v>306</v>
      </c>
      <c r="D1" s="15" t="s">
        <v>1658</v>
      </c>
      <c r="E1" s="15" t="s">
        <v>308</v>
      </c>
      <c r="F1" s="15" t="s">
        <v>1659</v>
      </c>
    </row>
    <row r="2" customFormat="false" ht="15" hidden="false" customHeight="true" outlineLevel="0" collapsed="false">
      <c r="A2" s="34" t="n">
        <v>45665</v>
      </c>
      <c r="B2" s="8" t="s">
        <v>332</v>
      </c>
      <c r="C2" s="8" t="s">
        <v>333</v>
      </c>
      <c r="D2" s="8" t="s">
        <v>334</v>
      </c>
      <c r="E2" s="16" t="n">
        <v>60.72</v>
      </c>
      <c r="F2" s="8" t="s">
        <v>52</v>
      </c>
    </row>
    <row r="3" customFormat="false" ht="15" hidden="false" customHeight="true" outlineLevel="0" collapsed="false">
      <c r="A3" s="34" t="n">
        <v>45670</v>
      </c>
      <c r="B3" s="8" t="s">
        <v>358</v>
      </c>
      <c r="C3" s="8" t="s">
        <v>361</v>
      </c>
      <c r="D3" s="8" t="s">
        <v>362</v>
      </c>
      <c r="E3" s="16" t="n">
        <v>23001</v>
      </c>
      <c r="F3" s="8" t="s">
        <v>43</v>
      </c>
    </row>
    <row r="4" customFormat="false" ht="15" hidden="false" customHeight="true" outlineLevel="0" collapsed="false">
      <c r="A4" s="34" t="n">
        <v>45671</v>
      </c>
      <c r="B4" s="8" t="s">
        <v>369</v>
      </c>
      <c r="C4" s="8" t="s">
        <v>361</v>
      </c>
      <c r="D4" s="8" t="s">
        <v>379</v>
      </c>
      <c r="E4" s="16" t="n">
        <v>30000</v>
      </c>
      <c r="F4" s="8" t="s">
        <v>40</v>
      </c>
    </row>
    <row r="5" customFormat="false" ht="15" hidden="false" customHeight="true" outlineLevel="0" collapsed="false">
      <c r="A5" s="34" t="n">
        <v>45681</v>
      </c>
      <c r="B5" s="8" t="s">
        <v>425</v>
      </c>
      <c r="C5" s="8" t="s">
        <v>333</v>
      </c>
      <c r="D5" s="8" t="s">
        <v>426</v>
      </c>
      <c r="E5" s="16" t="n">
        <v>3000</v>
      </c>
      <c r="F5" s="8" t="s">
        <v>55</v>
      </c>
    </row>
    <row r="6" customFormat="false" ht="15" hidden="false" customHeight="true" outlineLevel="0" collapsed="false">
      <c r="A6" s="34" t="n">
        <v>45684</v>
      </c>
      <c r="B6" s="8" t="s">
        <v>433</v>
      </c>
      <c r="C6" s="8" t="s">
        <v>434</v>
      </c>
      <c r="D6" s="8" t="s">
        <v>435</v>
      </c>
      <c r="E6" s="16" t="n">
        <v>874</v>
      </c>
      <c r="F6" s="8" t="s">
        <v>54</v>
      </c>
    </row>
    <row r="7" customFormat="false" ht="15" hidden="false" customHeight="true" outlineLevel="0" collapsed="false">
      <c r="A7" s="34" t="n">
        <v>45685</v>
      </c>
      <c r="B7" s="8" t="s">
        <v>438</v>
      </c>
      <c r="C7" s="8" t="s">
        <v>361</v>
      </c>
      <c r="D7" s="8" t="s">
        <v>379</v>
      </c>
      <c r="E7" s="16" t="n">
        <v>14118.93</v>
      </c>
      <c r="F7" s="8" t="s">
        <v>40</v>
      </c>
    </row>
    <row r="8" customFormat="false" ht="15" hidden="false" customHeight="true" outlineLevel="0" collapsed="false">
      <c r="A8" s="34" t="n">
        <v>45685</v>
      </c>
      <c r="B8" s="8" t="s">
        <v>436</v>
      </c>
      <c r="C8" s="8" t="s">
        <v>434</v>
      </c>
      <c r="D8" s="8" t="s">
        <v>437</v>
      </c>
      <c r="E8" s="16" t="n">
        <v>2268</v>
      </c>
      <c r="F8" s="8" t="s">
        <v>50</v>
      </c>
    </row>
    <row r="9" customFormat="false" ht="15" hidden="false" customHeight="true" outlineLevel="0" collapsed="false">
      <c r="A9" s="34" t="n">
        <v>45693</v>
      </c>
      <c r="B9" s="8" t="s">
        <v>483</v>
      </c>
      <c r="C9" s="8" t="s">
        <v>361</v>
      </c>
      <c r="D9" s="8" t="s">
        <v>379</v>
      </c>
      <c r="E9" s="16" t="n">
        <v>25000</v>
      </c>
      <c r="F9" s="8" t="s">
        <v>40</v>
      </c>
    </row>
    <row r="10" customFormat="false" ht="15" hidden="false" customHeight="true" outlineLevel="0" collapsed="false">
      <c r="A10" s="34" t="n">
        <v>45709</v>
      </c>
      <c r="B10" s="8" t="s">
        <v>553</v>
      </c>
      <c r="C10" s="8" t="s">
        <v>361</v>
      </c>
      <c r="D10" s="8" t="s">
        <v>379</v>
      </c>
      <c r="E10" s="16" t="n">
        <v>5000</v>
      </c>
      <c r="F10" s="8" t="s">
        <v>40</v>
      </c>
    </row>
    <row r="11" customFormat="false" ht="15" hidden="false" customHeight="true" outlineLevel="0" collapsed="false">
      <c r="A11" s="34" t="n">
        <v>45709</v>
      </c>
      <c r="B11" s="8" t="s">
        <v>554</v>
      </c>
      <c r="C11" s="8" t="s">
        <v>361</v>
      </c>
      <c r="D11" s="8" t="s">
        <v>379</v>
      </c>
      <c r="E11" s="16" t="n">
        <v>5000</v>
      </c>
      <c r="F11" s="8" t="s">
        <v>40</v>
      </c>
    </row>
    <row r="12" customFormat="false" ht="15" hidden="false" customHeight="true" outlineLevel="0" collapsed="false">
      <c r="A12" s="34" t="n">
        <v>45716</v>
      </c>
      <c r="B12" s="8" t="s">
        <v>589</v>
      </c>
      <c r="C12" s="8" t="s">
        <v>361</v>
      </c>
      <c r="D12" s="8" t="s">
        <v>1660</v>
      </c>
      <c r="E12" s="16" t="n">
        <v>95044</v>
      </c>
      <c r="F12" s="8" t="s">
        <v>60</v>
      </c>
    </row>
    <row r="13" customFormat="false" ht="15" hidden="false" customHeight="true" outlineLevel="0" collapsed="false">
      <c r="A13" s="34" t="n">
        <v>45719</v>
      </c>
      <c r="B13" s="8" t="s">
        <v>597</v>
      </c>
      <c r="C13" s="8" t="s">
        <v>333</v>
      </c>
      <c r="D13" s="8" t="s">
        <v>334</v>
      </c>
      <c r="E13" s="16" t="n">
        <v>126.61</v>
      </c>
      <c r="F13" s="8" t="s">
        <v>52</v>
      </c>
    </row>
    <row r="14" customFormat="false" ht="15" hidden="false" customHeight="true" outlineLevel="0" collapsed="false">
      <c r="A14" s="34" t="n">
        <v>45722</v>
      </c>
      <c r="B14" s="8" t="s">
        <v>607</v>
      </c>
      <c r="C14" s="8" t="s">
        <v>333</v>
      </c>
      <c r="D14" s="8" t="s">
        <v>334</v>
      </c>
      <c r="E14" s="16" t="n">
        <v>126.61</v>
      </c>
      <c r="F14" s="8" t="s">
        <v>52</v>
      </c>
    </row>
    <row r="15" customFormat="false" ht="15" hidden="false" customHeight="true" outlineLevel="0" collapsed="false">
      <c r="A15" s="34" t="n">
        <v>45726</v>
      </c>
      <c r="B15" s="8" t="s">
        <v>616</v>
      </c>
      <c r="C15" s="8" t="s">
        <v>361</v>
      </c>
      <c r="D15" s="8" t="s">
        <v>379</v>
      </c>
      <c r="E15" s="16" t="n">
        <v>60000</v>
      </c>
      <c r="F15" s="8" t="s">
        <v>40</v>
      </c>
    </row>
    <row r="16" customFormat="false" ht="15" hidden="false" customHeight="true" outlineLevel="0" collapsed="false">
      <c r="A16" s="34" t="n">
        <v>45729</v>
      </c>
      <c r="B16" s="8" t="s">
        <v>628</v>
      </c>
      <c r="C16" s="8" t="s">
        <v>361</v>
      </c>
      <c r="D16" s="8" t="s">
        <v>630</v>
      </c>
      <c r="E16" s="16" t="n">
        <v>4581.27</v>
      </c>
      <c r="F16" s="8" t="s">
        <v>47</v>
      </c>
    </row>
    <row r="17" customFormat="false" ht="15" hidden="false" customHeight="true" outlineLevel="0" collapsed="false">
      <c r="A17" s="34" t="n">
        <v>45731</v>
      </c>
      <c r="B17" s="8" t="s">
        <v>637</v>
      </c>
      <c r="C17" s="8" t="s">
        <v>434</v>
      </c>
      <c r="D17" s="8" t="s">
        <v>638</v>
      </c>
      <c r="E17" s="16" t="n">
        <v>1511</v>
      </c>
      <c r="F17" s="8" t="s">
        <v>56</v>
      </c>
    </row>
    <row r="18" customFormat="false" ht="15" hidden="false" customHeight="true" outlineLevel="0" collapsed="false">
      <c r="A18" s="34" t="n">
        <v>45733</v>
      </c>
      <c r="B18" s="8" t="s">
        <v>639</v>
      </c>
      <c r="C18" s="8" t="s">
        <v>361</v>
      </c>
      <c r="D18" s="8" t="s">
        <v>630</v>
      </c>
      <c r="E18" s="16" t="n">
        <v>6549.9</v>
      </c>
      <c r="F18" s="8" t="s">
        <v>47</v>
      </c>
    </row>
    <row r="19" customFormat="false" ht="15" hidden="false" customHeight="true" outlineLevel="0" collapsed="false">
      <c r="A19" s="34" t="n">
        <v>45733</v>
      </c>
      <c r="B19" s="8" t="s">
        <v>643</v>
      </c>
      <c r="C19" s="8" t="s">
        <v>361</v>
      </c>
      <c r="D19" s="8" t="s">
        <v>644</v>
      </c>
      <c r="E19" s="16" t="n">
        <v>19024.3</v>
      </c>
      <c r="F19" s="8" t="s">
        <v>44</v>
      </c>
    </row>
    <row r="20" customFormat="false" ht="15" hidden="false" customHeight="true" outlineLevel="0" collapsed="false">
      <c r="A20" s="34" t="n">
        <v>45735</v>
      </c>
      <c r="B20" s="8" t="s">
        <v>653</v>
      </c>
      <c r="C20" s="8" t="s">
        <v>361</v>
      </c>
      <c r="D20" s="8" t="s">
        <v>362</v>
      </c>
      <c r="E20" s="16" t="n">
        <v>20590</v>
      </c>
      <c r="F20" s="8" t="s">
        <v>43</v>
      </c>
    </row>
    <row r="21" customFormat="false" ht="15" hidden="false" customHeight="true" outlineLevel="0" collapsed="false">
      <c r="A21" s="34" t="n">
        <v>45741</v>
      </c>
      <c r="B21" s="8" t="s">
        <v>669</v>
      </c>
      <c r="C21" s="8" t="s">
        <v>361</v>
      </c>
      <c r="D21" s="8" t="s">
        <v>670</v>
      </c>
      <c r="E21" s="16" t="n">
        <v>5918</v>
      </c>
      <c r="F21" s="8" t="s">
        <v>46</v>
      </c>
    </row>
    <row r="22" customFormat="false" ht="15" hidden="false" customHeight="true" outlineLevel="0" collapsed="false">
      <c r="A22" s="34" t="n">
        <v>45743</v>
      </c>
      <c r="B22" s="8" t="s">
        <v>673</v>
      </c>
      <c r="C22" s="8" t="s">
        <v>361</v>
      </c>
      <c r="D22" s="8" t="s">
        <v>630</v>
      </c>
      <c r="E22" s="16" t="n">
        <v>2945.24</v>
      </c>
      <c r="F22" s="8" t="s">
        <v>47</v>
      </c>
    </row>
    <row r="23" customFormat="false" ht="15" hidden="false" customHeight="true" outlineLevel="0" collapsed="false">
      <c r="A23" s="34" t="n">
        <v>45751</v>
      </c>
      <c r="B23" s="8" t="s">
        <v>706</v>
      </c>
      <c r="C23" s="8" t="s">
        <v>333</v>
      </c>
      <c r="D23" s="8" t="s">
        <v>334</v>
      </c>
      <c r="E23" s="16" t="n">
        <v>126.61</v>
      </c>
      <c r="F23" s="8" t="s">
        <v>52</v>
      </c>
    </row>
    <row r="24" customFormat="false" ht="15" hidden="false" customHeight="true" outlineLevel="0" collapsed="false">
      <c r="A24" s="34" t="n">
        <v>45758</v>
      </c>
      <c r="B24" s="8" t="s">
        <v>733</v>
      </c>
      <c r="C24" s="8" t="s">
        <v>361</v>
      </c>
      <c r="D24" s="8" t="s">
        <v>379</v>
      </c>
      <c r="E24" s="16" t="n">
        <v>32292</v>
      </c>
      <c r="F24" s="8" t="s">
        <v>40</v>
      </c>
    </row>
    <row r="25" customFormat="false" ht="15" hidden="false" customHeight="true" outlineLevel="0" collapsed="false">
      <c r="A25" s="34" t="n">
        <v>45761</v>
      </c>
      <c r="B25" s="8" t="s">
        <v>735</v>
      </c>
      <c r="C25" s="8" t="s">
        <v>361</v>
      </c>
      <c r="D25" s="8" t="s">
        <v>736</v>
      </c>
      <c r="E25" s="16" t="n">
        <v>3956</v>
      </c>
      <c r="F25" s="8" t="s">
        <v>50</v>
      </c>
    </row>
    <row r="26" customFormat="false" ht="15" hidden="false" customHeight="true" outlineLevel="0" collapsed="false">
      <c r="A26" s="34" t="n">
        <v>45761</v>
      </c>
      <c r="B26" s="8" t="s">
        <v>739</v>
      </c>
      <c r="C26" s="8" t="s">
        <v>361</v>
      </c>
      <c r="D26" s="8" t="s">
        <v>379</v>
      </c>
      <c r="E26" s="16" t="n">
        <v>56560</v>
      </c>
      <c r="F26" s="8" t="s">
        <v>40</v>
      </c>
    </row>
    <row r="27" customFormat="false" ht="15" hidden="false" customHeight="true" outlineLevel="0" collapsed="false">
      <c r="A27" s="34" t="n">
        <v>45765</v>
      </c>
      <c r="B27" s="8" t="s">
        <v>749</v>
      </c>
      <c r="C27" s="8" t="s">
        <v>361</v>
      </c>
      <c r="D27" s="8" t="s">
        <v>750</v>
      </c>
      <c r="E27" s="16" t="n">
        <v>27129.32</v>
      </c>
      <c r="F27" s="8" t="s">
        <v>41</v>
      </c>
    </row>
    <row r="28" customFormat="false" ht="15" hidden="false" customHeight="true" outlineLevel="0" collapsed="false">
      <c r="A28" s="34" t="n">
        <v>45769</v>
      </c>
      <c r="B28" s="8" t="s">
        <v>751</v>
      </c>
      <c r="C28" s="8" t="s">
        <v>333</v>
      </c>
      <c r="D28" s="8" t="s">
        <v>334</v>
      </c>
      <c r="E28" s="16" t="n">
        <v>126.61</v>
      </c>
      <c r="F28" s="8" t="s">
        <v>52</v>
      </c>
    </row>
    <row r="29" customFormat="false" ht="15" hidden="false" customHeight="true" outlineLevel="0" collapsed="false">
      <c r="A29" s="34" t="n">
        <v>45777</v>
      </c>
      <c r="B29" s="8" t="s">
        <v>774</v>
      </c>
      <c r="C29" s="8" t="s">
        <v>333</v>
      </c>
      <c r="D29" s="8" t="s">
        <v>334</v>
      </c>
      <c r="E29" s="16" t="n">
        <v>143.9</v>
      </c>
      <c r="F29" s="8" t="s">
        <v>52</v>
      </c>
    </row>
    <row r="30" customFormat="false" ht="15" hidden="false" customHeight="true" outlineLevel="0" collapsed="false">
      <c r="A30" s="34" t="n">
        <v>45789</v>
      </c>
      <c r="B30" s="8" t="s">
        <v>797</v>
      </c>
      <c r="C30" s="8" t="s">
        <v>361</v>
      </c>
      <c r="D30" s="8" t="s">
        <v>379</v>
      </c>
      <c r="E30" s="16" t="n">
        <v>35000</v>
      </c>
      <c r="F30" s="8" t="s">
        <v>40</v>
      </c>
    </row>
    <row r="31" customFormat="false" ht="15" hidden="false" customHeight="true" outlineLevel="0" collapsed="false">
      <c r="A31" s="34" t="n">
        <v>45799</v>
      </c>
      <c r="B31" s="8" t="s">
        <v>830</v>
      </c>
      <c r="C31" s="8" t="s">
        <v>361</v>
      </c>
      <c r="D31" s="8" t="s">
        <v>379</v>
      </c>
      <c r="E31" s="16" t="n">
        <v>6000</v>
      </c>
      <c r="F31" s="8" t="s">
        <v>40</v>
      </c>
    </row>
    <row r="32" customFormat="false" ht="15" hidden="false" customHeight="true" outlineLevel="0" collapsed="false">
      <c r="A32" s="34" t="n">
        <v>45805</v>
      </c>
      <c r="B32" s="8" t="s">
        <v>852</v>
      </c>
      <c r="C32" s="8" t="s">
        <v>361</v>
      </c>
      <c r="D32" s="8" t="s">
        <v>379</v>
      </c>
      <c r="E32" s="16" t="n">
        <v>60000</v>
      </c>
      <c r="F32" s="8" t="s">
        <v>40</v>
      </c>
    </row>
    <row r="33" customFormat="false" ht="15" hidden="false" customHeight="true" outlineLevel="0" collapsed="false">
      <c r="A33" s="34" t="n">
        <v>45806</v>
      </c>
      <c r="B33" s="8" t="s">
        <v>854</v>
      </c>
      <c r="C33" s="8" t="s">
        <v>333</v>
      </c>
      <c r="D33" s="8" t="s">
        <v>334</v>
      </c>
      <c r="E33" s="16" t="n">
        <v>126.61</v>
      </c>
      <c r="F33" s="8" t="s">
        <v>52</v>
      </c>
    </row>
    <row r="34" customFormat="false" ht="15" hidden="false" customHeight="true" outlineLevel="0" collapsed="false">
      <c r="A34" s="34" t="n">
        <v>45810</v>
      </c>
      <c r="B34" s="8" t="s">
        <v>871</v>
      </c>
      <c r="C34" s="8" t="s">
        <v>361</v>
      </c>
      <c r="D34" s="8" t="s">
        <v>379</v>
      </c>
      <c r="E34" s="16" t="n">
        <v>11985.04</v>
      </c>
      <c r="F34" s="8" t="s">
        <v>40</v>
      </c>
    </row>
    <row r="35" customFormat="false" ht="15" hidden="false" customHeight="true" outlineLevel="0" collapsed="false">
      <c r="A35" s="34" t="n">
        <v>45810</v>
      </c>
      <c r="B35" s="8" t="s">
        <v>869</v>
      </c>
      <c r="C35" s="8" t="s">
        <v>361</v>
      </c>
      <c r="D35" s="8" t="s">
        <v>379</v>
      </c>
      <c r="E35" s="16" t="n">
        <v>15984</v>
      </c>
      <c r="F35" s="8" t="s">
        <v>40</v>
      </c>
    </row>
    <row r="36" customFormat="false" ht="15" hidden="false" customHeight="true" outlineLevel="0" collapsed="false">
      <c r="A36" s="34" t="n">
        <v>45813</v>
      </c>
      <c r="B36" s="8" t="s">
        <v>885</v>
      </c>
      <c r="C36" s="8" t="s">
        <v>333</v>
      </c>
      <c r="D36" s="8" t="s">
        <v>334</v>
      </c>
      <c r="E36" s="16" t="n">
        <v>138.19</v>
      </c>
      <c r="F36" s="8" t="s">
        <v>52</v>
      </c>
    </row>
    <row r="37" customFormat="false" ht="15" hidden="false" customHeight="true" outlineLevel="0" collapsed="false">
      <c r="A37" s="34" t="n">
        <v>45818</v>
      </c>
      <c r="B37" s="8" t="s">
        <v>896</v>
      </c>
      <c r="C37" s="8" t="s">
        <v>361</v>
      </c>
      <c r="D37" s="8" t="s">
        <v>379</v>
      </c>
      <c r="E37" s="16" t="n">
        <v>7000</v>
      </c>
      <c r="F37" s="8" t="s">
        <v>40</v>
      </c>
    </row>
    <row r="38" customFormat="false" ht="15" hidden="false" customHeight="true" outlineLevel="0" collapsed="false">
      <c r="A38" s="34" t="n">
        <v>45824</v>
      </c>
      <c r="B38" s="8" t="s">
        <v>922</v>
      </c>
      <c r="C38" s="8" t="s">
        <v>434</v>
      </c>
      <c r="D38" s="8" t="s">
        <v>923</v>
      </c>
      <c r="E38" s="16" t="n">
        <v>6460.8</v>
      </c>
      <c r="F38" s="8" t="s">
        <v>48</v>
      </c>
    </row>
    <row r="39" customFormat="false" ht="15" hidden="false" customHeight="true" outlineLevel="0" collapsed="false">
      <c r="A39" s="34" t="n">
        <v>45826</v>
      </c>
      <c r="B39" s="8" t="s">
        <v>933</v>
      </c>
      <c r="C39" s="8" t="s">
        <v>361</v>
      </c>
      <c r="D39" s="8" t="s">
        <v>644</v>
      </c>
      <c r="E39" s="16" t="n">
        <v>12953.15</v>
      </c>
      <c r="F39" s="8" t="s">
        <v>44</v>
      </c>
    </row>
    <row r="40" customFormat="false" ht="15" hidden="false" customHeight="true" outlineLevel="0" collapsed="false">
      <c r="A40" s="34" t="n">
        <v>45827</v>
      </c>
      <c r="B40" s="8" t="s">
        <v>942</v>
      </c>
      <c r="C40" s="8" t="s">
        <v>361</v>
      </c>
      <c r="D40" s="8" t="s">
        <v>379</v>
      </c>
      <c r="E40" s="16" t="n">
        <v>10000</v>
      </c>
      <c r="F40" s="8" t="s">
        <v>40</v>
      </c>
    </row>
    <row r="41" customFormat="false" ht="15" hidden="false" customHeight="true" outlineLevel="0" collapsed="false">
      <c r="A41" s="34" t="n">
        <v>45827</v>
      </c>
      <c r="B41" s="8" t="s">
        <v>940</v>
      </c>
      <c r="C41" s="8" t="s">
        <v>333</v>
      </c>
      <c r="D41" s="8" t="s">
        <v>334</v>
      </c>
      <c r="E41" s="16" t="n">
        <v>273.12</v>
      </c>
      <c r="F41" s="8" t="s">
        <v>52</v>
      </c>
    </row>
    <row r="42" customFormat="false" ht="15" hidden="false" customHeight="true" outlineLevel="0" collapsed="false">
      <c r="A42" s="34" t="n">
        <v>45832</v>
      </c>
      <c r="B42" s="8" t="s">
        <v>950</v>
      </c>
      <c r="C42" s="8" t="s">
        <v>361</v>
      </c>
      <c r="D42" s="8" t="s">
        <v>952</v>
      </c>
      <c r="E42" s="16" t="n">
        <v>12965</v>
      </c>
      <c r="F42" s="8" t="s">
        <v>44</v>
      </c>
    </row>
    <row r="43" customFormat="false" ht="15" hidden="false" customHeight="true" outlineLevel="0" collapsed="false">
      <c r="A43" s="34" t="n">
        <v>45838</v>
      </c>
      <c r="B43" s="8" t="s">
        <v>960</v>
      </c>
      <c r="C43" s="8" t="s">
        <v>361</v>
      </c>
      <c r="D43" s="8" t="s">
        <v>379</v>
      </c>
      <c r="E43" s="16" t="n">
        <v>44200</v>
      </c>
      <c r="F43" s="8" t="s">
        <v>40</v>
      </c>
    </row>
    <row r="44" customFormat="false" ht="15" hidden="false" customHeight="true" outlineLevel="0" collapsed="false">
      <c r="A44" s="34" t="n">
        <v>45839</v>
      </c>
      <c r="B44" s="8" t="s">
        <v>974</v>
      </c>
      <c r="C44" s="8" t="s">
        <v>361</v>
      </c>
      <c r="D44" s="8" t="s">
        <v>379</v>
      </c>
      <c r="E44" s="16" t="n">
        <v>23080</v>
      </c>
      <c r="F44" s="8" t="s">
        <v>40</v>
      </c>
    </row>
    <row r="45" customFormat="false" ht="15" hidden="false" customHeight="true" outlineLevel="0" collapsed="false">
      <c r="A45" s="34" t="n">
        <v>45845</v>
      </c>
      <c r="B45" s="8" t="s">
        <v>992</v>
      </c>
      <c r="C45" s="8" t="s">
        <v>361</v>
      </c>
      <c r="D45" s="8" t="s">
        <v>750</v>
      </c>
      <c r="E45" s="16" t="n">
        <v>57046</v>
      </c>
      <c r="F45" s="8" t="s">
        <v>41</v>
      </c>
    </row>
    <row r="46" customFormat="false" ht="15" hidden="false" customHeight="true" outlineLevel="0" collapsed="false">
      <c r="A46" s="34" t="n">
        <v>45847</v>
      </c>
      <c r="B46" s="8" t="s">
        <v>998</v>
      </c>
      <c r="C46" s="8" t="s">
        <v>333</v>
      </c>
      <c r="D46" s="8" t="s">
        <v>999</v>
      </c>
      <c r="E46" s="16" t="n">
        <v>3600</v>
      </c>
      <c r="F46" s="8" t="s">
        <v>57</v>
      </c>
    </row>
    <row r="47" customFormat="false" ht="15" hidden="false" customHeight="true" outlineLevel="0" collapsed="false">
      <c r="A47" s="34" t="n">
        <v>45854</v>
      </c>
      <c r="B47" s="8" t="s">
        <v>1026</v>
      </c>
      <c r="C47" s="8" t="s">
        <v>361</v>
      </c>
      <c r="D47" s="8" t="s">
        <v>379</v>
      </c>
      <c r="E47" s="16" t="n">
        <v>45000</v>
      </c>
      <c r="F47" s="8" t="s">
        <v>40</v>
      </c>
    </row>
    <row r="48" customFormat="false" ht="15" hidden="false" customHeight="true" outlineLevel="0" collapsed="false">
      <c r="A48" s="34" t="n">
        <v>45855</v>
      </c>
      <c r="B48" s="8" t="s">
        <v>1033</v>
      </c>
      <c r="C48" s="8" t="s">
        <v>361</v>
      </c>
      <c r="D48" s="8" t="s">
        <v>379</v>
      </c>
      <c r="E48" s="16" t="n">
        <v>30000</v>
      </c>
      <c r="F48" s="8" t="s">
        <v>40</v>
      </c>
    </row>
    <row r="49" customFormat="false" ht="15" hidden="false" customHeight="true" outlineLevel="0" collapsed="false">
      <c r="A49" s="34" t="n">
        <v>45862</v>
      </c>
      <c r="B49" s="8" t="s">
        <v>1053</v>
      </c>
      <c r="C49" s="8" t="s">
        <v>1054</v>
      </c>
      <c r="D49" s="8" t="s">
        <v>1055</v>
      </c>
      <c r="E49" s="16" t="n">
        <v>52385.1</v>
      </c>
      <c r="F49" s="8" t="s">
        <v>58</v>
      </c>
    </row>
    <row r="50" customFormat="false" ht="15" hidden="false" customHeight="true" outlineLevel="0" collapsed="false">
      <c r="A50" s="34" t="n">
        <v>45863</v>
      </c>
      <c r="B50" s="8" t="s">
        <v>1056</v>
      </c>
      <c r="C50" s="8" t="s">
        <v>361</v>
      </c>
      <c r="D50" s="8" t="s">
        <v>1059</v>
      </c>
      <c r="E50" s="16" t="n">
        <v>15303</v>
      </c>
      <c r="F50" s="8" t="s">
        <v>43</v>
      </c>
    </row>
    <row r="51" customFormat="false" ht="15" hidden="false" customHeight="true" outlineLevel="0" collapsed="false">
      <c r="A51" s="34" t="n">
        <v>45869</v>
      </c>
      <c r="B51" s="8" t="s">
        <v>1100</v>
      </c>
      <c r="C51" s="8" t="s">
        <v>361</v>
      </c>
      <c r="D51" s="8" t="s">
        <v>1101</v>
      </c>
      <c r="E51" s="16" t="n">
        <v>9022</v>
      </c>
      <c r="F51" s="8" t="s">
        <v>46</v>
      </c>
    </row>
    <row r="52" customFormat="false" ht="15" hidden="false" customHeight="true" outlineLevel="0" collapsed="false">
      <c r="A52" s="34" t="n">
        <v>45877</v>
      </c>
      <c r="B52" s="8" t="s">
        <v>1124</v>
      </c>
      <c r="C52" s="8" t="s">
        <v>361</v>
      </c>
      <c r="D52" s="8" t="s">
        <v>1101</v>
      </c>
      <c r="E52" s="16" t="n">
        <v>2558</v>
      </c>
      <c r="F52" s="8" t="s">
        <v>46</v>
      </c>
    </row>
    <row r="53" customFormat="false" ht="15" hidden="false" customHeight="true" outlineLevel="0" collapsed="false">
      <c r="A53" s="34" t="n">
        <v>45877</v>
      </c>
      <c r="B53" s="8" t="s">
        <v>1125</v>
      </c>
      <c r="C53" s="8" t="s">
        <v>361</v>
      </c>
      <c r="D53" s="8" t="s">
        <v>750</v>
      </c>
      <c r="E53" s="16" t="n">
        <v>120449.68</v>
      </c>
      <c r="F53" s="8" t="s">
        <v>41</v>
      </c>
    </row>
    <row r="54" customFormat="false" ht="15" hidden="false" customHeight="true" outlineLevel="0" collapsed="false">
      <c r="A54" s="34" t="n">
        <v>45883</v>
      </c>
      <c r="B54" s="8" t="s">
        <v>1139</v>
      </c>
      <c r="C54" s="8" t="s">
        <v>333</v>
      </c>
      <c r="D54" s="8" t="s">
        <v>334</v>
      </c>
      <c r="E54" s="16" t="n">
        <v>146.51</v>
      </c>
      <c r="F54" s="8" t="s">
        <v>52</v>
      </c>
    </row>
    <row r="55" customFormat="false" ht="15" hidden="false" customHeight="true" outlineLevel="0" collapsed="false">
      <c r="A55" s="34" t="n">
        <v>45884</v>
      </c>
      <c r="B55" s="8" t="s">
        <v>1142</v>
      </c>
      <c r="C55" s="8" t="s">
        <v>333</v>
      </c>
      <c r="D55" s="8" t="s">
        <v>334</v>
      </c>
      <c r="E55" s="16" t="n">
        <v>259.99</v>
      </c>
      <c r="F55" s="8" t="s">
        <v>52</v>
      </c>
    </row>
    <row r="56" customFormat="false" ht="15" hidden="false" customHeight="true" outlineLevel="0" collapsed="false">
      <c r="A56" s="34" t="n">
        <v>45901</v>
      </c>
      <c r="B56" s="8" t="s">
        <v>1181</v>
      </c>
      <c r="C56" s="8" t="s">
        <v>333</v>
      </c>
      <c r="D56" s="8" t="s">
        <v>1182</v>
      </c>
      <c r="E56" s="16" t="n">
        <v>6254</v>
      </c>
      <c r="F56" s="8" t="s">
        <v>49</v>
      </c>
    </row>
    <row r="57" customFormat="false" ht="15" hidden="false" customHeight="true" outlineLevel="0" collapsed="false">
      <c r="A57" s="34" t="n">
        <v>45901</v>
      </c>
      <c r="B57" s="8" t="s">
        <v>1178</v>
      </c>
      <c r="C57" s="8" t="s">
        <v>361</v>
      </c>
      <c r="D57" s="8" t="s">
        <v>1179</v>
      </c>
      <c r="E57" s="16" t="n">
        <v>22991</v>
      </c>
      <c r="F57" s="8" t="s">
        <v>45</v>
      </c>
    </row>
    <row r="58" customFormat="false" ht="15" hidden="false" customHeight="true" outlineLevel="0" collapsed="false">
      <c r="A58" s="34" t="n">
        <v>45911</v>
      </c>
      <c r="B58" s="8" t="s">
        <v>1231</v>
      </c>
      <c r="C58" s="8" t="s">
        <v>333</v>
      </c>
      <c r="D58" s="8" t="s">
        <v>334</v>
      </c>
      <c r="E58" s="16" t="n">
        <v>126.61</v>
      </c>
      <c r="F58" s="8" t="s">
        <v>52</v>
      </c>
    </row>
    <row r="59" customFormat="false" ht="15" hidden="false" customHeight="true" outlineLevel="0" collapsed="false">
      <c r="A59" s="34" t="n">
        <v>45912</v>
      </c>
      <c r="B59" s="8" t="s">
        <v>1233</v>
      </c>
      <c r="C59" s="8" t="s">
        <v>361</v>
      </c>
      <c r="D59" s="8" t="s">
        <v>1234</v>
      </c>
      <c r="E59" s="16" t="n">
        <v>22381.75</v>
      </c>
      <c r="F59" s="8" t="s">
        <v>44</v>
      </c>
    </row>
    <row r="60" customFormat="false" ht="15" hidden="false" customHeight="true" outlineLevel="0" collapsed="false">
      <c r="A60" s="34" t="n">
        <v>45919</v>
      </c>
      <c r="B60" s="8" t="s">
        <v>1253</v>
      </c>
      <c r="C60" s="8" t="s">
        <v>333</v>
      </c>
      <c r="D60" s="8" t="s">
        <v>334</v>
      </c>
      <c r="E60" s="16" t="n">
        <v>163.76</v>
      </c>
      <c r="F60" s="8" t="s">
        <v>52</v>
      </c>
    </row>
    <row r="61" customFormat="false" ht="15" hidden="false" customHeight="true" outlineLevel="0" collapsed="false">
      <c r="A61" s="34" t="n">
        <v>45923</v>
      </c>
      <c r="B61" s="8" t="s">
        <v>1259</v>
      </c>
      <c r="C61" s="8" t="s">
        <v>333</v>
      </c>
      <c r="D61" s="8" t="s">
        <v>334</v>
      </c>
      <c r="E61" s="16" t="n">
        <v>138.19</v>
      </c>
      <c r="F61" s="8" t="s">
        <v>52</v>
      </c>
    </row>
    <row r="62" customFormat="false" ht="15" hidden="false" customHeight="true" outlineLevel="0" collapsed="false">
      <c r="A62" s="34" t="n">
        <v>45931</v>
      </c>
      <c r="B62" s="8" t="s">
        <v>1306</v>
      </c>
      <c r="C62" s="8" t="s">
        <v>333</v>
      </c>
      <c r="D62" s="8" t="s">
        <v>334</v>
      </c>
      <c r="E62" s="16" t="n">
        <v>126.61</v>
      </c>
      <c r="F62" s="8" t="s">
        <v>52</v>
      </c>
    </row>
    <row r="63" customFormat="false" ht="15" hidden="false" customHeight="true" outlineLevel="0" collapsed="false">
      <c r="A63" s="34" t="n">
        <v>45932</v>
      </c>
      <c r="B63" s="8" t="s">
        <v>1308</v>
      </c>
      <c r="C63" s="8" t="s">
        <v>361</v>
      </c>
      <c r="D63" s="8" t="s">
        <v>1179</v>
      </c>
      <c r="E63" s="16" t="n">
        <v>22204.4</v>
      </c>
      <c r="F63" s="8" t="s">
        <v>45</v>
      </c>
    </row>
    <row r="64" customFormat="false" ht="15" hidden="false" customHeight="true" outlineLevel="0" collapsed="false">
      <c r="A64" s="34" t="n">
        <v>45938</v>
      </c>
      <c r="B64" s="8" t="s">
        <v>1329</v>
      </c>
      <c r="C64" s="8" t="s">
        <v>361</v>
      </c>
      <c r="D64" s="8" t="s">
        <v>379</v>
      </c>
      <c r="E64" s="16" t="n">
        <v>20279.3</v>
      </c>
      <c r="F64" s="8" t="s">
        <v>40</v>
      </c>
    </row>
    <row r="65" customFormat="false" ht="15" hidden="false" customHeight="true" outlineLevel="0" collapsed="false">
      <c r="A65" s="34" t="n">
        <v>45943</v>
      </c>
      <c r="B65" s="8" t="s">
        <v>1337</v>
      </c>
      <c r="C65" s="8" t="s">
        <v>361</v>
      </c>
      <c r="D65" s="8" t="s">
        <v>379</v>
      </c>
      <c r="E65" s="16" t="n">
        <v>56000</v>
      </c>
      <c r="F65" s="8" t="s">
        <v>40</v>
      </c>
    </row>
    <row r="66" customFormat="false" ht="15" hidden="false" customHeight="true" outlineLevel="0" collapsed="false">
      <c r="A66" s="34" t="n">
        <v>45946</v>
      </c>
      <c r="B66" s="8" t="s">
        <v>1363</v>
      </c>
      <c r="C66" s="8" t="s">
        <v>333</v>
      </c>
      <c r="D66" s="8" t="s">
        <v>334</v>
      </c>
      <c r="E66" s="16" t="n">
        <v>259.99</v>
      </c>
      <c r="F66" s="8" t="s">
        <v>52</v>
      </c>
    </row>
    <row r="67" customFormat="false" ht="15" hidden="false" customHeight="true" outlineLevel="0" collapsed="false">
      <c r="A67" s="34" t="n">
        <v>45947</v>
      </c>
      <c r="B67" s="8" t="s">
        <v>1368</v>
      </c>
      <c r="C67" s="8" t="s">
        <v>361</v>
      </c>
      <c r="D67" s="8" t="s">
        <v>750</v>
      </c>
      <c r="E67" s="16" t="n">
        <v>132807.4</v>
      </c>
      <c r="F67" s="8" t="s">
        <v>41</v>
      </c>
    </row>
    <row r="68" customFormat="false" ht="15" hidden="false" customHeight="true" outlineLevel="0" collapsed="false">
      <c r="A68" s="34" t="n">
        <v>45966</v>
      </c>
      <c r="B68" s="8" t="s">
        <v>1494</v>
      </c>
      <c r="C68" s="8" t="s">
        <v>333</v>
      </c>
      <c r="D68" s="8" t="s">
        <v>334</v>
      </c>
      <c r="E68" s="16" t="n">
        <v>5.13</v>
      </c>
      <c r="F68" s="8" t="s">
        <v>52</v>
      </c>
    </row>
    <row r="69" customFormat="false" ht="15" hidden="false" customHeight="true" outlineLevel="0" collapsed="false">
      <c r="A69" s="34" t="n">
        <v>45967</v>
      </c>
      <c r="B69" s="8" t="s">
        <v>1497</v>
      </c>
      <c r="C69" s="8" t="s">
        <v>333</v>
      </c>
      <c r="D69" s="8" t="s">
        <v>334</v>
      </c>
      <c r="E69" s="16" t="n">
        <v>2.92</v>
      </c>
      <c r="F69" s="8" t="s">
        <v>52</v>
      </c>
    </row>
    <row r="70" customFormat="false" ht="15" hidden="false" customHeight="true" outlineLevel="0" collapsed="false">
      <c r="A70" s="34" t="n">
        <v>45971</v>
      </c>
      <c r="B70" s="8" t="s">
        <v>1501</v>
      </c>
      <c r="C70" s="8" t="s">
        <v>361</v>
      </c>
      <c r="D70" s="8" t="s">
        <v>1506</v>
      </c>
      <c r="E70" s="16" t="n">
        <v>10000</v>
      </c>
      <c r="F70" s="8" t="s">
        <v>43</v>
      </c>
    </row>
    <row r="71" customFormat="false" ht="15" hidden="false" customHeight="true" outlineLevel="0" collapsed="false">
      <c r="A71" s="34" t="n">
        <v>45974</v>
      </c>
      <c r="B71" s="8" t="s">
        <v>1510</v>
      </c>
      <c r="C71" s="8" t="s">
        <v>333</v>
      </c>
      <c r="D71" s="8" t="s">
        <v>334</v>
      </c>
      <c r="E71" s="16" t="n">
        <v>118.42</v>
      </c>
      <c r="F71" s="8" t="s">
        <v>52</v>
      </c>
    </row>
    <row r="72" customFormat="false" ht="15" hidden="false" customHeight="true" outlineLevel="0" collapsed="false">
      <c r="A72" s="34" t="n">
        <v>45979</v>
      </c>
      <c r="B72" s="8" t="s">
        <v>1529</v>
      </c>
      <c r="C72" s="8" t="s">
        <v>434</v>
      </c>
      <c r="D72" s="8" t="s">
        <v>1530</v>
      </c>
      <c r="E72" s="16" t="n">
        <v>1202</v>
      </c>
      <c r="F72" s="8" t="s">
        <v>53</v>
      </c>
    </row>
    <row r="73" customFormat="false" ht="15" hidden="false" customHeight="true" outlineLevel="0" collapsed="false">
      <c r="A73" s="34" t="n">
        <v>45979</v>
      </c>
      <c r="B73" s="8" t="s">
        <v>1532</v>
      </c>
      <c r="C73" s="8" t="s">
        <v>333</v>
      </c>
      <c r="D73" s="8" t="s">
        <v>334</v>
      </c>
      <c r="E73" s="16" t="n">
        <v>117.94</v>
      </c>
      <c r="F73" s="8" t="s">
        <v>52</v>
      </c>
    </row>
    <row r="74" customFormat="false" ht="15" hidden="false" customHeight="true" outlineLevel="0" collapsed="false">
      <c r="A74" s="34" t="n">
        <v>45981</v>
      </c>
      <c r="B74" s="8" t="s">
        <v>1542</v>
      </c>
      <c r="C74" s="8" t="s">
        <v>361</v>
      </c>
      <c r="D74" s="8" t="s">
        <v>1543</v>
      </c>
      <c r="E74" s="16" t="n">
        <v>10</v>
      </c>
      <c r="F74" s="8" t="s">
        <v>51</v>
      </c>
    </row>
    <row r="75" customFormat="false" ht="15" hidden="false" customHeight="true" outlineLevel="0" collapsed="false">
      <c r="A75" s="34" t="n">
        <v>45981</v>
      </c>
      <c r="B75" s="8" t="s">
        <v>1545</v>
      </c>
      <c r="C75" s="8" t="s">
        <v>361</v>
      </c>
      <c r="D75" s="8" t="s">
        <v>1546</v>
      </c>
      <c r="E75" s="16" t="n">
        <v>12893.67</v>
      </c>
      <c r="F75" s="8" t="s">
        <v>41</v>
      </c>
    </row>
    <row r="76" customFormat="false" ht="15" hidden="false" customHeight="true" outlineLevel="0" collapsed="false">
      <c r="A76" s="34" t="n">
        <v>45989</v>
      </c>
      <c r="B76" s="8" t="s">
        <v>1572</v>
      </c>
      <c r="C76" s="8" t="s">
        <v>361</v>
      </c>
      <c r="D76" s="8" t="s">
        <v>1543</v>
      </c>
      <c r="E76" s="16" t="n">
        <v>3933</v>
      </c>
      <c r="F76" s="8" t="s">
        <v>51</v>
      </c>
    </row>
    <row r="77" customFormat="false" ht="15" hidden="false" customHeight="true" outlineLevel="0" collapsed="false">
      <c r="A77" s="34" t="n">
        <v>45995</v>
      </c>
      <c r="B77" s="8" t="s">
        <v>1594</v>
      </c>
      <c r="C77" s="8" t="s">
        <v>333</v>
      </c>
      <c r="D77" s="8" t="s">
        <v>334</v>
      </c>
      <c r="E77" s="16" t="n">
        <v>236.13</v>
      </c>
      <c r="F77" s="8" t="s">
        <v>52</v>
      </c>
    </row>
    <row r="78" customFormat="false" ht="15" hidden="false" customHeight="true" outlineLevel="0" collapsed="false">
      <c r="A78" s="34" t="n">
        <v>46000</v>
      </c>
      <c r="B78" s="8" t="s">
        <v>1599</v>
      </c>
      <c r="C78" s="8" t="s">
        <v>361</v>
      </c>
      <c r="D78" s="8" t="s">
        <v>379</v>
      </c>
      <c r="E78" s="16" t="n">
        <v>20000</v>
      </c>
      <c r="F78" s="8" t="s">
        <v>40</v>
      </c>
    </row>
    <row r="79" customFormat="false" ht="15" hidden="false" customHeight="true" outlineLevel="0" collapsed="false">
      <c r="A79" s="34" t="n">
        <v>46002</v>
      </c>
      <c r="B79" s="8" t="s">
        <v>1612</v>
      </c>
      <c r="C79" s="8" t="s">
        <v>333</v>
      </c>
      <c r="D79" s="8" t="s">
        <v>334</v>
      </c>
      <c r="E79" s="16" t="n">
        <v>116.74</v>
      </c>
      <c r="F79" s="8" t="s">
        <v>52</v>
      </c>
    </row>
    <row r="80" customFormat="false" ht="15" hidden="false" customHeight="true" outlineLevel="0" collapsed="false">
      <c r="A80" s="34" t="n">
        <v>46003</v>
      </c>
      <c r="B80" s="8" t="s">
        <v>1613</v>
      </c>
      <c r="C80" s="8" t="s">
        <v>333</v>
      </c>
      <c r="D80" s="8" t="s">
        <v>334</v>
      </c>
      <c r="E80" s="16" t="n">
        <v>117.94</v>
      </c>
      <c r="F80" s="8" t="s">
        <v>52</v>
      </c>
    </row>
    <row r="81" customFormat="false" ht="15" hidden="false" customHeight="true" outlineLevel="0" collapsed="false">
      <c r="A81" s="34" t="n">
        <v>46006</v>
      </c>
      <c r="B81" s="8" t="s">
        <v>1615</v>
      </c>
      <c r="C81" s="8" t="s">
        <v>361</v>
      </c>
      <c r="D81" s="8" t="s">
        <v>379</v>
      </c>
      <c r="E81" s="16" t="n">
        <v>90000</v>
      </c>
      <c r="F81" s="8" t="s">
        <v>40</v>
      </c>
    </row>
    <row r="82" customFormat="false" ht="15" hidden="false" customHeight="true" outlineLevel="0" collapsed="false">
      <c r="A82" s="34" t="n">
        <v>46006</v>
      </c>
      <c r="B82" s="8" t="s">
        <v>1614</v>
      </c>
      <c r="C82" s="8" t="s">
        <v>333</v>
      </c>
      <c r="D82" s="8" t="s">
        <v>334</v>
      </c>
      <c r="E82" s="16" t="n">
        <v>231.93</v>
      </c>
      <c r="F82" s="8" t="s">
        <v>52</v>
      </c>
    </row>
    <row r="83" customFormat="false" ht="15" hidden="false" customHeight="true" outlineLevel="0" collapsed="false">
      <c r="A83" s="34" t="n">
        <v>46007</v>
      </c>
      <c r="B83" s="8" t="s">
        <v>1618</v>
      </c>
      <c r="C83" s="8" t="s">
        <v>361</v>
      </c>
      <c r="D83" s="8" t="s">
        <v>379</v>
      </c>
      <c r="E83" s="16" t="n">
        <v>39400</v>
      </c>
      <c r="F83" s="8" t="s">
        <v>40</v>
      </c>
    </row>
    <row r="84" customFormat="false" ht="15" hidden="false" customHeight="true" outlineLevel="0" collapsed="false">
      <c r="A84" s="34" t="n">
        <v>46009</v>
      </c>
      <c r="B84" s="8" t="s">
        <v>1623</v>
      </c>
      <c r="C84" s="8" t="s">
        <v>361</v>
      </c>
      <c r="D84" s="8" t="s">
        <v>1506</v>
      </c>
      <c r="E84" s="16" t="n">
        <v>10000</v>
      </c>
      <c r="F84" s="8" t="s">
        <v>43</v>
      </c>
    </row>
    <row r="85" customFormat="false" ht="15" hidden="false" customHeight="true" outlineLevel="0" collapsed="false">
      <c r="A85" s="34" t="n">
        <v>46014</v>
      </c>
      <c r="B85" s="8" t="s">
        <v>1631</v>
      </c>
      <c r="C85" s="8" t="s">
        <v>361</v>
      </c>
      <c r="D85" s="8" t="s">
        <v>1101</v>
      </c>
      <c r="E85" s="16" t="n">
        <v>3874</v>
      </c>
      <c r="F85" s="8" t="s">
        <v>46</v>
      </c>
    </row>
    <row r="86" customFormat="false" ht="15" hidden="false" customHeight="true" outlineLevel="0" collapsed="false">
      <c r="A86" s="34" t="n">
        <v>46014</v>
      </c>
      <c r="B86" s="8" t="s">
        <v>1632</v>
      </c>
      <c r="C86" s="8" t="s">
        <v>361</v>
      </c>
      <c r="D86" s="8" t="s">
        <v>1506</v>
      </c>
      <c r="E86" s="16" t="n">
        <v>9935</v>
      </c>
      <c r="F86" s="8" t="s">
        <v>43</v>
      </c>
    </row>
    <row r="87" customFormat="false" ht="15" hidden="false" customHeight="true" outlineLevel="0" collapsed="false">
      <c r="A87" s="34" t="n">
        <v>46015</v>
      </c>
      <c r="B87" s="8" t="s">
        <v>1637</v>
      </c>
      <c r="C87" s="8" t="s">
        <v>333</v>
      </c>
      <c r="D87" s="8" t="s">
        <v>334</v>
      </c>
      <c r="E87" s="16" t="n">
        <v>19.44</v>
      </c>
      <c r="F87" s="8" t="s">
        <v>52</v>
      </c>
    </row>
    <row r="88" customFormat="false" ht="15" hidden="false" customHeight="true" outlineLevel="0" collapsed="false">
      <c r="A88" s="34" t="n">
        <v>46017</v>
      </c>
      <c r="B88" s="8" t="s">
        <v>1641</v>
      </c>
      <c r="C88" s="8" t="s">
        <v>434</v>
      </c>
      <c r="D88" s="8" t="s">
        <v>1642</v>
      </c>
      <c r="E88" s="16" t="n">
        <v>2500</v>
      </c>
      <c r="F88" s="8" t="s">
        <v>59</v>
      </c>
    </row>
    <row r="89" customFormat="false" ht="15" hidden="false" customHeight="true" outlineLevel="0" collapsed="false">
      <c r="A89" s="34" t="n">
        <v>46017</v>
      </c>
      <c r="B89" s="8" t="s">
        <v>1641</v>
      </c>
      <c r="C89" s="8" t="s">
        <v>434</v>
      </c>
      <c r="D89" s="8" t="s">
        <v>1642</v>
      </c>
      <c r="E89" s="16" t="n">
        <v>2500</v>
      </c>
      <c r="F89" s="8" t="s">
        <v>59</v>
      </c>
    </row>
    <row r="90" customFormat="false" ht="15" hidden="false" customHeight="true" outlineLevel="0" collapsed="false">
      <c r="A90" s="34" t="n">
        <v>46021</v>
      </c>
      <c r="B90" s="8" t="s">
        <v>1651</v>
      </c>
      <c r="C90" s="8" t="s">
        <v>333</v>
      </c>
      <c r="D90" s="8" t="s">
        <v>1652</v>
      </c>
      <c r="E90" s="16" t="n">
        <v>400</v>
      </c>
      <c r="F90" s="8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2026-07-13T13:53:09Z</dcterms:created>
  <dc:creator>openpyxl</dc:creator>
  <dc:description/>
  <dc:language>en-US</dc:language>
  <cp:lastModifiedBy/>
  <dcterms:modified xsi:type="dcterms:W3CDTF">2026-07-15T13:45:25Z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
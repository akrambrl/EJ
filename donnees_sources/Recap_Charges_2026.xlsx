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Revenus" sheetId="2" state="visible" r:id="rId4"/>
    <sheet name="Revenus détail" sheetId="3" state="visible" r:id="rId5"/>
    <sheet name="Salaires détail" sheetId="4" state="visible" r:id="rId6"/>
    <sheet name="Fournisseurs France détail" sheetId="5" state="visible" r:id="rId7"/>
    <sheet name="Usine conditionnement détail" sheetId="6" state="visible" r:id="rId8"/>
    <sheet name="Fournisseurs intl détail" sheetId="7" state="visible" r:id="rId9"/>
    <sheet name="Charges sociales détail" sheetId="8" state="visible" r:id="rId10"/>
    <sheet name="Voyages détail" sheetId="9" state="visible" r:id="rId11"/>
    <sheet name="Téléphone-Internet détail" sheetId="10" state="visible" r:id="rId12"/>
    <sheet name="Frais pro divers détail" sheetId="11" state="visible" r:id="rId13"/>
    <sheet name="Électricité Gaz détail" sheetId="12" state="visible" r:id="rId14"/>
    <sheet name="Comptabilité détail" sheetId="13" state="visible" r:id="rId15"/>
    <sheet name="Frais bancaires détail" sheetId="14" state="visible" r:id="rId16"/>
    <sheet name="Mutuelle détail" sheetId="15" state="visible" r:id="rId17"/>
    <sheet name="Fournitures bureau détail" sheetId="16" state="visible" r:id="rId18"/>
    <sheet name="Transport livraison détail" sheetId="17" state="visible" r:id="rId19"/>
    <sheet name="Prêt détail" sheetId="18" state="visible" r:id="rId20"/>
    <sheet name="Saisie détail" sheetId="19" state="visible" r:id="rId21"/>
    <sheet name="Alimentation détail" sheetId="20" state="visible" r:id="rId22"/>
    <sheet name="Assurances détail" sheetId="21" state="visible" r:id="rId23"/>
    <sheet name="Carburant péages parking détail" sheetId="22" state="visible" r:id="rId24"/>
    <sheet name="Frais véhicule détail" sheetId="23" state="visible" r:id="rId25"/>
    <sheet name="Restauration détail" sheetId="24" state="visible" r:id="rId26"/>
    <sheet name="Détail" sheetId="25" state="visible" r:id="rId27"/>
    <sheet name="Détail Revenu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<sst xmlns="http://schemas.openxmlformats.org/spreadsheetml/2006/main" count="5464" uniqueCount="1222">
  <si>
    <t xml:space="preserve">Récapitulatif des charges — Compte BRED EJ 2026</t>
  </si>
  <si>
    <t xml:space="preserve">Période couverte : 02/01/2026 au 10/07/2026  —  889 opérations</t>
  </si>
  <si>
    <t xml:space="preserve">Total encaissements</t>
  </si>
  <si>
    <t xml:space="preserve">Total charges (hors encaissements, hors chèques/saisie à vérifier)</t>
  </si>
  <si>
    <t xml:space="preserve">Solde net (encaissements + charges + à vérifier)</t>
  </si>
  <si>
    <t xml:space="preserve">Détail par catégorie de charge</t>
  </si>
  <si>
    <t xml:space="preserve">Catégorie</t>
  </si>
  <si>
    <t xml:space="preserve">Nb opérations</t>
  </si>
  <si>
    <t xml:space="preserve">Montant total (€)</t>
  </si>
  <si>
    <t xml:space="preserve">% du total charges</t>
  </si>
  <si>
    <t xml:space="preserve">Fournisseurs matières premières &amp; emballage (France)</t>
  </si>
  <si>
    <t xml:space="preserve">Usine de conditionnement et macération</t>
  </si>
  <si>
    <t xml:space="preserve">Fournisseurs internationaux (Chine/Import)</t>
  </si>
  <si>
    <t xml:space="preserve">Transport / livraison (colis, courrier)</t>
  </si>
  <si>
    <t xml:space="preserve">Salaires (salariés)</t>
  </si>
  <si>
    <t xml:space="preserve">Charges sociales &amp; cotisations</t>
  </si>
  <si>
    <t xml:space="preserve">Rémunération gérant</t>
  </si>
  <si>
    <t xml:space="preserve">Carburant, péages, parking, leasing</t>
  </si>
  <si>
    <t xml:space="preserve">Frais professionnels divers</t>
  </si>
  <si>
    <t xml:space="preserve">Voyages / déplacements</t>
  </si>
  <si>
    <t xml:space="preserve">Téléphone / Internet / Logiciels</t>
  </si>
  <si>
    <t xml:space="preserve">Électricité / Gaz</t>
  </si>
  <si>
    <t xml:space="preserve">Frais de véhicule (entretien, réparation)</t>
  </si>
  <si>
    <t xml:space="preserve">Comptabilité / expert-comptable</t>
  </si>
  <si>
    <t xml:space="preserve">Fournitures bureau / colis / achats en ligne</t>
  </si>
  <si>
    <t xml:space="preserve">Frais bancaires &amp; financiers</t>
  </si>
  <si>
    <t xml:space="preserve">Mutuelle / prévoyance salariés</t>
  </si>
  <si>
    <t xml:space="preserve">Prêt professionnel</t>
  </si>
  <si>
    <t xml:space="preserve">Saisie administrative</t>
  </si>
  <si>
    <t xml:space="preserve">Alimentation / supermarché</t>
  </si>
  <si>
    <t xml:space="preserve">Assurances</t>
  </si>
  <si>
    <t xml:space="preserve">Restauration</t>
  </si>
  <si>
    <t xml:space="preserve">TOTAL</t>
  </si>
  <si>
    <t xml:space="preserve">Revenus — Compte BRED EJ 2026</t>
  </si>
  <si>
    <t xml:space="preserve">Période couverte : 02/01/2026 au 08/07/2026  —  69 encaissements</t>
  </si>
  <si>
    <t xml:space="preserve">Détail par source de revenu</t>
  </si>
  <si>
    <t xml:space="preserve">Source</t>
  </si>
  <si>
    <t xml:space="preserve">% du total</t>
  </si>
  <si>
    <t xml:space="preserve">NB Evolution FZCO (factures NB...)</t>
  </si>
  <si>
    <t xml:space="preserve">Usine Algérie (Jade Création — sans marge)</t>
  </si>
  <si>
    <t xml:space="preserve">Al Muftah</t>
  </si>
  <si>
    <t xml:space="preserve">Autres clients (probables, non confirmés)</t>
  </si>
  <si>
    <t xml:space="preserve">Encaissements non identifiés</t>
  </si>
  <si>
    <t xml:space="preserve">Arzum Group Mmc</t>
  </si>
  <si>
    <t xml:space="preserve">Passion Parfum</t>
  </si>
  <si>
    <t xml:space="preserve">Mb Tressoria</t>
  </si>
  <si>
    <t xml:space="preserve">Stf Perfumeria</t>
  </si>
  <si>
    <t xml:space="preserve">Alfa Group Srls</t>
  </si>
  <si>
    <t xml:space="preserve">Ventes en ligne (boutique Shopify)</t>
  </si>
  <si>
    <t xml:space="preserve">Firm Rheds</t>
  </si>
  <si>
    <t xml:space="preserve">Remboursement TVA</t>
  </si>
  <si>
    <t xml:space="preserve">Frais de dossier facturés (client)</t>
  </si>
  <si>
    <t xml:space="preserve">🟠 En orange : sources pas encore confirmées avec Mounir</t>
  </si>
  <si>
    <t xml:space="preserve">Revenus — détail par source et par mois (2026)</t>
  </si>
  <si>
    <t xml:space="preserve">Mois</t>
  </si>
  <si>
    <t xml:space="preserve">Montant</t>
  </si>
  <si>
    <t xml:space="preserve">Janvier 2026</t>
  </si>
  <si>
    <t xml:space="preserve">Février 2026</t>
  </si>
  <si>
    <t xml:space="preserve">Mars 2026</t>
  </si>
  <si>
    <t xml:space="preserve">Avril 2026</t>
  </si>
  <si>
    <t xml:space="preserve">Mai 2026</t>
  </si>
  <si>
    <t xml:space="preserve">Juin 2026</t>
  </si>
  <si>
    <t xml:space="preserve">Juillet 2026</t>
  </si>
  <si>
    <t xml:space="preserve">Noms bancaires d'origine :</t>
  </si>
  <si>
    <t xml:space="preserve">SARL JADE CREATION                  SALGDZALXXX, JADE CREATION SARL</t>
  </si>
  <si>
    <t xml:space="preserve">ALMUFTAH MARKETING, ALMUFTAH TRADING AND CONT CO.</t>
  </si>
  <si>
    <t xml:space="preserve">FLASHCONNECT, GLOBAL AUTO 94</t>
  </si>
  <si>
    <t xml:space="preserve">SIE MARNE ET BOIS, UZDAROJI AKCINE BENDROVE "VILARTINA", ODA PRESTIGE, nan</t>
  </si>
  <si>
    <t xml:space="preserve">Salaires &amp; rémunération gérant — détail par personne (2026)</t>
  </si>
  <si>
    <t xml:space="preserve">Mr Boudjada Said (Gérant — rémunération libre)</t>
  </si>
  <si>
    <t xml:space="preserve">Mr Boudaja Nassim (Salarié)</t>
  </si>
  <si>
    <t xml:space="preserve">Mme Machado Natali (Salarié)</t>
  </si>
  <si>
    <t xml:space="preserve">Mr Boudjada Mounir (Salarié)</t>
  </si>
  <si>
    <t xml:space="preserve">Mme Sabrina Mahmoudi (Salarié)</t>
  </si>
  <si>
    <t xml:space="preserve">Fournisseurs matières premières &amp; emballage (France) — détail par fournisseur (2026)</t>
  </si>
  <si>
    <t xml:space="preserve">Cpl Aromas France</t>
  </si>
  <si>
    <t xml:space="preserve">Aromascent</t>
  </si>
  <si>
    <t xml:space="preserve">Firmenich</t>
  </si>
  <si>
    <t xml:space="preserve">Cartonnages  Du Val D Orge</t>
  </si>
  <si>
    <t xml:space="preserve">Sleeve Concept</t>
  </si>
  <si>
    <t xml:space="preserve">Neroli France</t>
  </si>
  <si>
    <t xml:space="preserve">Sleeve  Concept</t>
  </si>
  <si>
    <t xml:space="preserve">Nasmir Europe Fragrances</t>
  </si>
  <si>
    <t xml:space="preserve">Nasmir  Europe Fragrances</t>
  </si>
  <si>
    <t xml:space="preserve">Scentis</t>
  </si>
  <si>
    <t xml:space="preserve">Natural Solter</t>
  </si>
  <si>
    <t xml:space="preserve">Usine de conditionnement et macération — détail (2026)</t>
  </si>
  <si>
    <t xml:space="preserve">France Conditionnement Parfum</t>
  </si>
  <si>
    <t xml:space="preserve">Fournisseurs internationaux (Chine/Import) — détail par fournisseur (2026)</t>
  </si>
  <si>
    <t xml:space="preserve">Gold Rock Company Limited</t>
  </si>
  <si>
    <t xml:space="preserve">Leaders Hardware Plastic Co Limited</t>
  </si>
  <si>
    <t xml:space="preserve">Fu Hui Paper Product Limited</t>
  </si>
  <si>
    <t xml:space="preserve">Leaders  Hardware Plastic Co Limit</t>
  </si>
  <si>
    <t xml:space="preserve">Zhejiang Bi Industrial Co Ltd</t>
  </si>
  <si>
    <t xml:space="preserve">Charges sociales &amp; cotisations — détail par organisme (2026)</t>
  </si>
  <si>
    <t xml:space="preserve">Urssaf D'Ile De France</t>
  </si>
  <si>
    <t xml:space="preserve">Ag2R Reunica</t>
  </si>
  <si>
    <t xml:space="preserve">Direction Generale Des Finances Publiques (Dgfip)</t>
  </si>
  <si>
    <t xml:space="preserve">Voyages / déplacements — détail par prestataire (2026)</t>
  </si>
  <si>
    <t xml:space="preserve">Emirates</t>
  </si>
  <si>
    <t xml:space="preserve">Five Luxe Hotel</t>
  </si>
  <si>
    <t xml:space="preserve">Air France</t>
  </si>
  <si>
    <t xml:space="preserve">Airbnb</t>
  </si>
  <si>
    <t xml:space="preserve">Hotel Le Royal</t>
  </si>
  <si>
    <t xml:space="preserve">Uber</t>
  </si>
  <si>
    <t xml:space="preserve">Doubletree By H</t>
  </si>
  <si>
    <t xml:space="preserve">Hotel At Bookin</t>
  </si>
  <si>
    <t xml:space="preserve">Dubai Marina Ho</t>
  </si>
  <si>
    <t xml:space="preserve">Terme Milano S.</t>
  </si>
  <si>
    <t xml:space="preserve">Relais Millau L</t>
  </si>
  <si>
    <t xml:space="preserve">Istanbul 62</t>
  </si>
  <si>
    <t xml:space="preserve">Téléphone / Internet / Logiciels — détail par prestataire (2026)</t>
  </si>
  <si>
    <t xml:space="preserve">Orange Sa</t>
  </si>
  <si>
    <t xml:space="preserve">Apple</t>
  </si>
  <si>
    <t xml:space="preserve">Google Workspace</t>
  </si>
  <si>
    <t xml:space="preserve">Adobe</t>
  </si>
  <si>
    <t xml:space="preserve">Shopify</t>
  </si>
  <si>
    <t xml:space="preserve">Anthropic / Claude.Ai</t>
  </si>
  <si>
    <t xml:space="preserve">Microsoft</t>
  </si>
  <si>
    <t xml:space="preserve">Fiverr</t>
  </si>
  <si>
    <t xml:space="preserve">Site Web Emmanuellejane.Com</t>
  </si>
  <si>
    <t xml:space="preserve">Nyx*Egfrancesas</t>
  </si>
  <si>
    <t xml:space="preserve">Ovh Sas</t>
  </si>
  <si>
    <t xml:space="preserve">Frais professionnels divers — détail par prestataire (2026)</t>
  </si>
  <si>
    <t xml:space="preserve">Eaton Technologies Gmbh</t>
  </si>
  <si>
    <t xml:space="preserve">Sumup *Ultime</t>
  </si>
  <si>
    <t xml:space="preserve">Tuv Rheinland France Sas</t>
  </si>
  <si>
    <t xml:space="preserve">Gs1 France</t>
  </si>
  <si>
    <t xml:space="preserve">Ccip Dfce Gefi</t>
  </si>
  <si>
    <t xml:space="preserve">Plombier</t>
  </si>
  <si>
    <t xml:space="preserve">Sogesco Sas</t>
  </si>
  <si>
    <t xml:space="preserve">Assistance Demarches</t>
  </si>
  <si>
    <t xml:space="preserve">Amival</t>
  </si>
  <si>
    <t xml:space="preserve">Bruneau</t>
  </si>
  <si>
    <t xml:space="preserve">Sumup *Tns Dep</t>
  </si>
  <si>
    <t xml:space="preserve">Izi Confort</t>
  </si>
  <si>
    <t xml:space="preserve">Rx* Reed Exhibi</t>
  </si>
  <si>
    <t xml:space="preserve">Akto</t>
  </si>
  <si>
    <t xml:space="preserve">Web Print Services</t>
  </si>
  <si>
    <t xml:space="preserve">C T C</t>
  </si>
  <si>
    <t xml:space="preserve">E.S. Racc</t>
  </si>
  <si>
    <t xml:space="preserve">Spf Justice</t>
  </si>
  <si>
    <t xml:space="preserve">Notaire</t>
  </si>
  <si>
    <t xml:space="preserve">Vivaticket.Com</t>
  </si>
  <si>
    <t xml:space="preserve">Atlantis</t>
  </si>
  <si>
    <t xml:space="preserve">Graine Du Sud</t>
  </si>
  <si>
    <t xml:space="preserve">Rex Atrium</t>
  </si>
  <si>
    <t xml:space="preserve">Compagnie Eiffa</t>
  </si>
  <si>
    <t xml:space="preserve">Cevm Nfc</t>
  </si>
  <si>
    <t xml:space="preserve">Sasu Maide</t>
  </si>
  <si>
    <t xml:space="preserve">Institut Du Mon</t>
  </si>
  <si>
    <t xml:space="preserve">Arda</t>
  </si>
  <si>
    <t xml:space="preserve">Commande</t>
  </si>
  <si>
    <t xml:space="preserve">Tree Srl</t>
  </si>
  <si>
    <t xml:space="preserve">Mico - Casse</t>
  </si>
  <si>
    <t xml:space="preserve">Ap. Pg Gracia-M</t>
  </si>
  <si>
    <t xml:space="preserve">Électricité / Gaz — détail mensuel (2026)</t>
  </si>
  <si>
    <t xml:space="preserve">Totalenergies Electricite Et Gaz France</t>
  </si>
  <si>
    <t xml:space="preserve">Comptabilité / expert-comptable — détail (2026)</t>
  </si>
  <si>
    <t xml:space="preserve">Cabinet Sas Daran</t>
  </si>
  <si>
    <t xml:space="preserve">Ebp France-E B P Informatique</t>
  </si>
  <si>
    <t xml:space="preserve">Frais bancaires &amp; financiers — détail par type de frais (2026)</t>
  </si>
  <si>
    <t xml:space="preserve">Groupé par type d'opération bancaire (pas de nom de prestataire sur ces lignes).</t>
  </si>
  <si>
    <t xml:space="preserve">Interets</t>
  </si>
  <si>
    <t xml:space="preserve">Frais De Gestion</t>
  </si>
  <si>
    <t xml:space="preserve">Frais Banque Etrangere</t>
  </si>
  <si>
    <t xml:space="preserve">Cotisation</t>
  </si>
  <si>
    <t xml:space="preserve">Frais De Change</t>
  </si>
  <si>
    <t xml:space="preserve">Frais Virement International</t>
  </si>
  <si>
    <t xml:space="preserve">Fonds De Garantie</t>
  </si>
  <si>
    <t xml:space="preserve">Frais Concours</t>
  </si>
  <si>
    <t xml:space="preserve">Frais Tenue De Compte</t>
  </si>
  <si>
    <t xml:space="preserve">Frais Transaction Carte</t>
  </si>
  <si>
    <t xml:space="preserve">Frais Virement International Taxable</t>
  </si>
  <si>
    <t xml:space="preserve">Cotisation Bred Garantie Homme Cle</t>
  </si>
  <si>
    <t xml:space="preserve">Frais Avis D'Opere</t>
  </si>
  <si>
    <t xml:space="preserve">Achat Parts Sociales</t>
  </si>
  <si>
    <t xml:space="preserve">Oper. Sur Titres</t>
  </si>
  <si>
    <t xml:space="preserve">Mutuelle / prévoyance salariés — détail par organisme (2026)</t>
  </si>
  <si>
    <t xml:space="preserve">Macif Idf Production-Macif</t>
  </si>
  <si>
    <t xml:space="preserve">Msp Cot Sante Des Entreprises-Macif Sante Prevoyance</t>
  </si>
  <si>
    <t xml:space="preserve">Amm Cot Sante Des Entreprises-Macif Sante Prevoyance</t>
  </si>
  <si>
    <t xml:space="preserve">Cep Treso Sante Prev</t>
  </si>
  <si>
    <t xml:space="preserve">Amm Cot Sante Des Entreprises-Apivia Macif Mutuelle</t>
  </si>
  <si>
    <t xml:space="preserve">Fournitures bureau / colis / achats en ligne — détail par prestataire (2026)</t>
  </si>
  <si>
    <t xml:space="preserve">Amazon Payments</t>
  </si>
  <si>
    <t xml:space="preserve">Boulanger</t>
  </si>
  <si>
    <t xml:space="preserve">Office Depot</t>
  </si>
  <si>
    <t xml:space="preserve">Aliexpress</t>
  </si>
  <si>
    <t xml:space="preserve">Aramex Emirates</t>
  </si>
  <si>
    <t xml:space="preserve">Pk Novedad Onli</t>
  </si>
  <si>
    <t xml:space="preserve">Action 4632</t>
  </si>
  <si>
    <t xml:space="preserve">Fnac - Nfc</t>
  </si>
  <si>
    <t xml:space="preserve">Bricorama</t>
  </si>
  <si>
    <t xml:space="preserve">Transport / livraison (colis, courrier) — détail par prestataire (2026)</t>
  </si>
  <si>
    <t xml:space="preserve">Ifs</t>
  </si>
  <si>
    <t xml:space="preserve">La Poste.Fr</t>
  </si>
  <si>
    <t xml:space="preserve">Dhl Internat. Exp France</t>
  </si>
  <si>
    <t xml:space="preserve">Prêt professionnel — détail (2026)</t>
  </si>
  <si>
    <t xml:space="preserve">Pret Professionnel Equipement (N°07113890)</t>
  </si>
  <si>
    <t xml:space="preserve">Saisie administrative — détail (2026)</t>
  </si>
  <si>
    <t xml:space="preserve">Reglement Saisie (Amende)</t>
  </si>
  <si>
    <t xml:space="preserve">Frais Bancaires Saisie</t>
  </si>
  <si>
    <t xml:space="preserve">Alimentation / supermarché — détail par enseigne (2026)</t>
  </si>
  <si>
    <t xml:space="preserve">Supermarche L'</t>
  </si>
  <si>
    <t xml:space="preserve">Carrefour Dac V</t>
  </si>
  <si>
    <t xml:space="preserve">E.Leclerc</t>
  </si>
  <si>
    <t xml:space="preserve">Intermarche Cha</t>
  </si>
  <si>
    <t xml:space="preserve">Assurances — détail (2026)</t>
  </si>
  <si>
    <t xml:space="preserve">Swisslife Assurance De Biens</t>
  </si>
  <si>
    <t xml:space="preserve">Carburant, péages, parking, leasing — détail par poste (2026)</t>
  </si>
  <si>
    <t xml:space="preserve">Regroupe carburant (par enseigne), péages, abonnements télépéage, parking et le crédit/leasing véhicule (VW Bank).</t>
  </si>
  <si>
    <t xml:space="preserve">Leasing / crédit véhicule (VW Bank)</t>
  </si>
  <si>
    <t xml:space="preserve">Carburant — Total</t>
  </si>
  <si>
    <t xml:space="preserve">Prestataires :</t>
  </si>
  <si>
    <t xml:space="preserve">Total, Total Nb000698</t>
  </si>
  <si>
    <t xml:space="preserve">Carburant — Esso</t>
  </si>
  <si>
    <t xml:space="preserve">Esso Champigny, Esso St Thibaul, Esso Valfontena, Esso Eragnybell, Esso Champilava, Esso Attainvill, Esso Joinville, Esso Rdam Stadh, Esso Asseviller, Esso Dac Verdun, Esso Vironvaysu</t>
  </si>
  <si>
    <t xml:space="preserve">Carburant — Avia</t>
  </si>
  <si>
    <t xml:space="preserve">Carburant — Shell</t>
  </si>
  <si>
    <t xml:space="preserve">Carburant — Certas</t>
  </si>
  <si>
    <t xml:space="preserve">Péages</t>
  </si>
  <si>
    <t xml:space="preserve">Sanef Autoroute, Sanef, Cofiroute, Aprr, Aprr Nfc, Autoroutes Du S, Sapn, Rocadis</t>
  </si>
  <si>
    <t xml:space="preserve">Abonnements télépéage</t>
  </si>
  <si>
    <t xml:space="preserve">Bipandgo, Bipandgo-Bip   Go, Roole-Identicar-Identicar</t>
  </si>
  <si>
    <t xml:space="preserve">Parking</t>
  </si>
  <si>
    <t xml:space="preserve">Park Casino Ros, Viparis Pdv Pkg, Bsm Ap Marina P, Indigo 941401, Indigo 750108, Indigo 940006, Park Pte Versai, Adp Ory P3 Cbbs, Adp Roissy Pef, Effia Park, H P P E</t>
  </si>
  <si>
    <t xml:space="preserve">Frais de véhicule (entretien, réparation) — détail par prestataire (2026)</t>
  </si>
  <si>
    <t xml:space="preserve">Jfc By Mary Automobiles</t>
  </si>
  <si>
    <t xml:space="preserve">Easy Pneus</t>
  </si>
  <si>
    <t xml:space="preserve">Speedy Champign</t>
  </si>
  <si>
    <t xml:space="preserve">Lm Auto Parts</t>
  </si>
  <si>
    <t xml:space="preserve">Autolook Rapid</t>
  </si>
  <si>
    <t xml:space="preserve">Lavage Auto</t>
  </si>
  <si>
    <t xml:space="preserve">Jet Servicio</t>
  </si>
  <si>
    <t xml:space="preserve">Restauration — détail par enseigne (2026)</t>
  </si>
  <si>
    <t xml:space="preserve">Mcdonald'S</t>
  </si>
  <si>
    <t xml:space="preserve">Subway</t>
  </si>
  <si>
    <t xml:space="preserve">Andrea Pappada'</t>
  </si>
  <si>
    <t xml:space="preserve">Horeto Paris</t>
  </si>
  <si>
    <t xml:space="preserve">Deliveroo</t>
  </si>
  <si>
    <t xml:space="preserve">Ravi Rs</t>
  </si>
  <si>
    <t xml:space="preserve">Chicken Et Comp</t>
  </si>
  <si>
    <t xml:space="preserve">G La Dalle Cham</t>
  </si>
  <si>
    <t xml:space="preserve">Alice Pizza Neg</t>
  </si>
  <si>
    <t xml:space="preserve">Maison Pradier</t>
  </si>
  <si>
    <t xml:space="preserve">Au Sourire De P</t>
  </si>
  <si>
    <t xml:space="preserve">Date</t>
  </si>
  <si>
    <t xml:space="preserve">Référence</t>
  </si>
  <si>
    <t xml:space="preserve">Type d'opération</t>
  </si>
  <si>
    <t xml:space="preserve">Fournisseur / Libellé</t>
  </si>
  <si>
    <t xml:space="preserve">Montant (€)</t>
  </si>
  <si>
    <t xml:space="preserve">0000935</t>
  </si>
  <si>
    <t xml:space="preserve">CARTE</t>
  </si>
  <si>
    <t xml:space="preserve">GOOGLE WORKSPACE</t>
  </si>
  <si>
    <t xml:space="preserve">2835991</t>
  </si>
  <si>
    <t xml:space="preserve">PRELEVEMENT SEPA</t>
  </si>
  <si>
    <t xml:space="preserve">VW BANK FRANCE</t>
  </si>
  <si>
    <t xml:space="preserve">2837774</t>
  </si>
  <si>
    <t xml:space="preserve">VIREMENT SEPA RECU</t>
  </si>
  <si>
    <t xml:space="preserve">STRIPE</t>
  </si>
  <si>
    <t xml:space="preserve">Encaissement (hors périmètre charges)</t>
  </si>
  <si>
    <t xml:space="preserve">2005520</t>
  </si>
  <si>
    <t xml:space="preserve">2837770</t>
  </si>
  <si>
    <t xml:space="preserve">AMM COT SANTE DES ENTREPRISES-APIVIA MACIF MUTUELLE</t>
  </si>
  <si>
    <t xml:space="preserve">1518638</t>
  </si>
  <si>
    <t xml:space="preserve">VIREMENT INTERNATIONAL RECU</t>
  </si>
  <si>
    <t xml:space="preserve">SARL JADE CREATION                  SALGDZALXXX</t>
  </si>
  <si>
    <t xml:space="preserve">9001928</t>
  </si>
  <si>
    <t xml:space="preserve">VIREMENT SEPA EMIS</t>
  </si>
  <si>
    <t xml:space="preserve">MR BOUDJADA SAID</t>
  </si>
  <si>
    <t xml:space="preserve">2837771</t>
  </si>
  <si>
    <t xml:space="preserve">TOTALENERGIES ELECTRICITE ET GAZ FRANCE</t>
  </si>
  <si>
    <t xml:space="preserve">2838249</t>
  </si>
  <si>
    <t xml:space="preserve">OVH SAS</t>
  </si>
  <si>
    <t xml:space="preserve">2304611</t>
  </si>
  <si>
    <t xml:space="preserve">CCIP DFCE GEFI</t>
  </si>
  <si>
    <t xml:space="preserve">2304621</t>
  </si>
  <si>
    <t xml:space="preserve">2839970</t>
  </si>
  <si>
    <t xml:space="preserve">8574366</t>
  </si>
  <si>
    <t xml:space="preserve">PAIEMENT DE CHEQUE</t>
  </si>
  <si>
    <t xml:space="preserve">6006154</t>
  </si>
  <si>
    <t xml:space="preserve">LA POSTE.FR</t>
  </si>
  <si>
    <t xml:space="preserve">1058078</t>
  </si>
  <si>
    <t xml:space="preserve">APPLE</t>
  </si>
  <si>
    <t xml:space="preserve">6008331</t>
  </si>
  <si>
    <t xml:space="preserve">0001034</t>
  </si>
  <si>
    <t xml:space="preserve">FRAIS TRANSACTION CARTE</t>
  </si>
  <si>
    <t xml:space="preserve">SHOPIFY</t>
  </si>
  <si>
    <t xml:space="preserve">3009029</t>
  </si>
  <si>
    <t xml:space="preserve">ESSO CHAMPIGNY</t>
  </si>
  <si>
    <t xml:space="preserve">2843041</t>
  </si>
  <si>
    <t xml:space="preserve">MACIF IDF PRODUCTION-MACIF</t>
  </si>
  <si>
    <t xml:space="preserve">2018330</t>
  </si>
  <si>
    <t xml:space="preserve">3801950</t>
  </si>
  <si>
    <t xml:space="preserve">NB EVOLUTION FZCO</t>
  </si>
  <si>
    <t xml:space="preserve">3801940</t>
  </si>
  <si>
    <t xml:space="preserve">ALMUFTAH MARKETING</t>
  </si>
  <si>
    <t xml:space="preserve">2037013</t>
  </si>
  <si>
    <t xml:space="preserve">INTERETS</t>
  </si>
  <si>
    <t xml:space="preserve">FRAIS AVIS D'OPERE</t>
  </si>
  <si>
    <t xml:space="preserve">(DONT HORS TAXE E.1,00  TVA TAUX 20,00 % E.0,20)</t>
  </si>
  <si>
    <t xml:space="preserve">2843139</t>
  </si>
  <si>
    <t xml:space="preserve">3801944</t>
  </si>
  <si>
    <t xml:space="preserve">3009049</t>
  </si>
  <si>
    <t xml:space="preserve">2839273</t>
  </si>
  <si>
    <t xml:space="preserve">SWISSLIFE ASSURANCE DE BIENS</t>
  </si>
  <si>
    <t xml:space="preserve">1970096</t>
  </si>
  <si>
    <t xml:space="preserve">FRAIS VIREMENT INTERNATIONAL</t>
  </si>
  <si>
    <t xml:space="preserve">(DONT HORS TAXE E.13,00  TVA TAUX 20,00 % E.2,60)</t>
  </si>
  <si>
    <t xml:space="preserve">2035140</t>
  </si>
  <si>
    <t xml:space="preserve">COFIROUTE</t>
  </si>
  <si>
    <t xml:space="preserve">9003848</t>
  </si>
  <si>
    <t xml:space="preserve">GS1 FRANCE</t>
  </si>
  <si>
    <t xml:space="preserve">9003811</t>
  </si>
  <si>
    <t xml:space="preserve">FRANCE CONDITIONNEMENT PARFUM</t>
  </si>
  <si>
    <t xml:space="preserve">9003691</t>
  </si>
  <si>
    <t xml:space="preserve">AROMASCENT</t>
  </si>
  <si>
    <t xml:space="preserve">9003888</t>
  </si>
  <si>
    <t xml:space="preserve">BRUNEAU</t>
  </si>
  <si>
    <t xml:space="preserve">9003640</t>
  </si>
  <si>
    <t xml:space="preserve">SLEEVE CONCEPT</t>
  </si>
  <si>
    <t xml:space="preserve">9003529</t>
  </si>
  <si>
    <t xml:space="preserve">IFS</t>
  </si>
  <si>
    <t xml:space="preserve">VIREMENT INTERNATIONAL EMIS</t>
  </si>
  <si>
    <t xml:space="preserve">LEADERS  HARDWARE PLASTIC CO LIMIT</t>
  </si>
  <si>
    <t xml:space="preserve">FRAIS BANQUE ETRANGERE</t>
  </si>
  <si>
    <t xml:space="preserve">(DONT HORS TAXE E.24,00  TVA TAUX 20,00 % E.4,80)</t>
  </si>
  <si>
    <t xml:space="preserve">9003740</t>
  </si>
  <si>
    <t xml:space="preserve">CARTONNAGES  DU VAL D ORGE</t>
  </si>
  <si>
    <t xml:space="preserve">FRAIS DE CHANGE</t>
  </si>
  <si>
    <t xml:space="preserve">2033230</t>
  </si>
  <si>
    <t xml:space="preserve">9003951</t>
  </si>
  <si>
    <t xml:space="preserve">TUV RHEINLAND FRANCE SAS</t>
  </si>
  <si>
    <t xml:space="preserve">0510702</t>
  </si>
  <si>
    <t xml:space="preserve">ISTANBUL 62</t>
  </si>
  <si>
    <t xml:space="preserve">2065191</t>
  </si>
  <si>
    <t xml:space="preserve">3012604</t>
  </si>
  <si>
    <t xml:space="preserve">MCDONALD'S</t>
  </si>
  <si>
    <t xml:space="preserve">2013580</t>
  </si>
  <si>
    <t xml:space="preserve">PARK CASINO ROS</t>
  </si>
  <si>
    <t xml:space="preserve">2845280</t>
  </si>
  <si>
    <t xml:space="preserve">SIE MARNE ET BOIS</t>
  </si>
  <si>
    <t xml:space="preserve">0002198</t>
  </si>
  <si>
    <t xml:space="preserve">COTISATION</t>
  </si>
  <si>
    <t xml:space="preserve">COTISATION BREDACCES PRO</t>
  </si>
  <si>
    <t xml:space="preserve">2844724</t>
  </si>
  <si>
    <t xml:space="preserve">CABINET SAS DARAN</t>
  </si>
  <si>
    <t xml:space="preserve">1020984</t>
  </si>
  <si>
    <t xml:space="preserve">2844470</t>
  </si>
  <si>
    <t xml:space="preserve">ORANGE SA</t>
  </si>
  <si>
    <t xml:space="preserve">6015218</t>
  </si>
  <si>
    <t xml:space="preserve">2083600</t>
  </si>
  <si>
    <t xml:space="preserve">COTISATION BRED GARANTIE HOMME CLE</t>
  </si>
  <si>
    <t xml:space="preserve">2847589</t>
  </si>
  <si>
    <t xml:space="preserve">9003285</t>
  </si>
  <si>
    <t xml:space="preserve">2848080</t>
  </si>
  <si>
    <t xml:space="preserve">UZDAROJI AKCINE BENDROVE "VILARTINA"</t>
  </si>
  <si>
    <t xml:space="preserve">0066143</t>
  </si>
  <si>
    <t xml:space="preserve">CHICKEN ET COMP</t>
  </si>
  <si>
    <t xml:space="preserve">1040836</t>
  </si>
  <si>
    <t xml:space="preserve">2069870</t>
  </si>
  <si>
    <t xml:space="preserve">SANEF</t>
  </si>
  <si>
    <t xml:space="preserve">2846911</t>
  </si>
  <si>
    <t xml:space="preserve">URSSAF D'ILE DE FRANCE</t>
  </si>
  <si>
    <t xml:space="preserve">1042875</t>
  </si>
  <si>
    <t xml:space="preserve">FACTURE CB CREDIT</t>
  </si>
  <si>
    <t xml:space="preserve">2069880</t>
  </si>
  <si>
    <t xml:space="preserve">2099451</t>
  </si>
  <si>
    <t xml:space="preserve">2019543</t>
  </si>
  <si>
    <t xml:space="preserve">2001070</t>
  </si>
  <si>
    <t xml:space="preserve">2017971</t>
  </si>
  <si>
    <t xml:space="preserve">1524850</t>
  </si>
  <si>
    <t xml:space="preserve">2082181</t>
  </si>
  <si>
    <t xml:space="preserve">2849354</t>
  </si>
  <si>
    <t xml:space="preserve">2020868</t>
  </si>
  <si>
    <t xml:space="preserve">3019387</t>
  </si>
  <si>
    <t xml:space="preserve">6020178</t>
  </si>
  <si>
    <t xml:space="preserve">SUPERMARCHE L'</t>
  </si>
  <si>
    <t xml:space="preserve">0000692</t>
  </si>
  <si>
    <t xml:space="preserve">UBER</t>
  </si>
  <si>
    <t xml:space="preserve">6514527</t>
  </si>
  <si>
    <t xml:space="preserve">NYX*EGFRANCESAS</t>
  </si>
  <si>
    <t xml:space="preserve">6514514</t>
  </si>
  <si>
    <t xml:space="preserve">1816230</t>
  </si>
  <si>
    <t xml:space="preserve">SPEEDY CHAMPIGN</t>
  </si>
  <si>
    <t xml:space="preserve">3020107</t>
  </si>
  <si>
    <t xml:space="preserve">ESSO VALFONTENA</t>
  </si>
  <si>
    <t xml:space="preserve">9004428</t>
  </si>
  <si>
    <t xml:space="preserve">EATON TECHNOLOGIES GMBH</t>
  </si>
  <si>
    <t xml:space="preserve">0066544</t>
  </si>
  <si>
    <t xml:space="preserve">SASU MAIDE</t>
  </si>
  <si>
    <t xml:space="preserve">9001845</t>
  </si>
  <si>
    <t xml:space="preserve">CPL AROMAS FRANCE</t>
  </si>
  <si>
    <t xml:space="preserve">3019008</t>
  </si>
  <si>
    <t xml:space="preserve">ESSO CHAMPILAVA</t>
  </si>
  <si>
    <t xml:space="preserve">2056530</t>
  </si>
  <si>
    <t xml:space="preserve">9001868</t>
  </si>
  <si>
    <t xml:space="preserve">1083391</t>
  </si>
  <si>
    <t xml:space="preserve">2849960</t>
  </si>
  <si>
    <t xml:space="preserve">CEP TRESO SANTE PREV</t>
  </si>
  <si>
    <t xml:space="preserve">2848941</t>
  </si>
  <si>
    <t xml:space="preserve">PRELEVEMENT SEPA INTERENTREPRISE</t>
  </si>
  <si>
    <t xml:space="preserve">DIRECTION GENERALE DES FINANCES PUBLIQUES (DGFIP)</t>
  </si>
  <si>
    <t xml:space="preserve">9002077</t>
  </si>
  <si>
    <t xml:space="preserve">SCENTIS</t>
  </si>
  <si>
    <t xml:space="preserve">ESSO ATTAINVILL</t>
  </si>
  <si>
    <t xml:space="preserve">9002092</t>
  </si>
  <si>
    <t xml:space="preserve">WEB PRINT SERVICES</t>
  </si>
  <si>
    <t xml:space="preserve">2021208</t>
  </si>
  <si>
    <t xml:space="preserve">9002123</t>
  </si>
  <si>
    <t xml:space="preserve">0026799</t>
  </si>
  <si>
    <t xml:space="preserve">COMMANDE</t>
  </si>
  <si>
    <t xml:space="preserve">1524204</t>
  </si>
  <si>
    <t xml:space="preserve">SANEF AUTOROUTE</t>
  </si>
  <si>
    <t xml:space="preserve">1524203</t>
  </si>
  <si>
    <t xml:space="preserve">2060670</t>
  </si>
  <si>
    <t xml:space="preserve">2851474</t>
  </si>
  <si>
    <t xml:space="preserve">9100370</t>
  </si>
  <si>
    <t xml:space="preserve">EMIRATES</t>
  </si>
  <si>
    <t xml:space="preserve">2849644</t>
  </si>
  <si>
    <t xml:space="preserve">3023724</t>
  </si>
  <si>
    <t xml:space="preserve">3026595</t>
  </si>
  <si>
    <t xml:space="preserve">ESSO ST THIBAUL</t>
  </si>
  <si>
    <t xml:space="preserve">6024194</t>
  </si>
  <si>
    <t xml:space="preserve">6539522</t>
  </si>
  <si>
    <t xml:space="preserve">6539469</t>
  </si>
  <si>
    <t xml:space="preserve">2851866</t>
  </si>
  <si>
    <t xml:space="preserve">AG2R REUNICA</t>
  </si>
  <si>
    <t xml:space="preserve">2852805</t>
  </si>
  <si>
    <t xml:space="preserve">2304831</t>
  </si>
  <si>
    <t xml:space="preserve">2853131</t>
  </si>
  <si>
    <t xml:space="preserve">ROOLE-IDENTICAR-IDENTICAR</t>
  </si>
  <si>
    <t xml:space="preserve">0001048</t>
  </si>
  <si>
    <t xml:space="preserve">MICROSOFT</t>
  </si>
  <si>
    <t xml:space="preserve">2081350</t>
  </si>
  <si>
    <t xml:space="preserve">APRR NFC</t>
  </si>
  <si>
    <t xml:space="preserve">1526814</t>
  </si>
  <si>
    <t xml:space="preserve">APRR</t>
  </si>
  <si>
    <t xml:space="preserve">2073280</t>
  </si>
  <si>
    <t xml:space="preserve">6039619</t>
  </si>
  <si>
    <t xml:space="preserve">6027320</t>
  </si>
  <si>
    <t xml:space="preserve">2855478</t>
  </si>
  <si>
    <t xml:space="preserve">0005138</t>
  </si>
  <si>
    <t xml:space="preserve">ADOBE</t>
  </si>
  <si>
    <t xml:space="preserve">1975630</t>
  </si>
  <si>
    <t xml:space="preserve">FU HUI PAPER PRODUCT LIMITED</t>
  </si>
  <si>
    <t xml:space="preserve">9100040</t>
  </si>
  <si>
    <t xml:space="preserve">9006537</t>
  </si>
  <si>
    <t xml:space="preserve">MR BOUDJADA MOUNIR</t>
  </si>
  <si>
    <t xml:space="preserve">9006560</t>
  </si>
  <si>
    <t xml:space="preserve">MME MACHADO NATALI</t>
  </si>
  <si>
    <t xml:space="preserve">3490961</t>
  </si>
  <si>
    <t xml:space="preserve">GRAINE DU SUD</t>
  </si>
  <si>
    <t xml:space="preserve">(DONT HORS TAXE E.18,00  TVA TAUX 20,00 % E.3,60)</t>
  </si>
  <si>
    <t xml:space="preserve">9006520</t>
  </si>
  <si>
    <t xml:space="preserve">MR BOUDAJA NASSIM</t>
  </si>
  <si>
    <t xml:space="preserve">2856494</t>
  </si>
  <si>
    <t xml:space="preserve">2853749</t>
  </si>
  <si>
    <t xml:space="preserve">0011076</t>
  </si>
  <si>
    <t xml:space="preserve">2303521</t>
  </si>
  <si>
    <t xml:space="preserve">2033070</t>
  </si>
  <si>
    <t xml:space="preserve">2303531</t>
  </si>
  <si>
    <t xml:space="preserve">3809453</t>
  </si>
  <si>
    <t xml:space="preserve">2858332</t>
  </si>
  <si>
    <t xml:space="preserve">3034082</t>
  </si>
  <si>
    <t xml:space="preserve">1003071</t>
  </si>
  <si>
    <t xml:space="preserve">1003068</t>
  </si>
  <si>
    <t xml:space="preserve">2005130</t>
  </si>
  <si>
    <t xml:space="preserve">2859974</t>
  </si>
  <si>
    <t xml:space="preserve">ALFA GROUP SRLS</t>
  </si>
  <si>
    <t xml:space="preserve">2002380</t>
  </si>
  <si>
    <t xml:space="preserve">2860439</t>
  </si>
  <si>
    <t xml:space="preserve">2067590</t>
  </si>
  <si>
    <t xml:space="preserve">2859621</t>
  </si>
  <si>
    <t xml:space="preserve">AMM COT SANTE DES ENTREPRISES-MACIF SANTE PREVOYANCE</t>
  </si>
  <si>
    <t xml:space="preserve">2084350</t>
  </si>
  <si>
    <t xml:space="preserve">2859409</t>
  </si>
  <si>
    <t xml:space="preserve">6036207</t>
  </si>
  <si>
    <t xml:space="preserve">2067580</t>
  </si>
  <si>
    <t xml:space="preserve">8210800</t>
  </si>
  <si>
    <t xml:space="preserve">PARK PTE VERSAI</t>
  </si>
  <si>
    <t xml:space="preserve">3036510</t>
  </si>
  <si>
    <t xml:space="preserve">0001151</t>
  </si>
  <si>
    <t xml:space="preserve">3040442</t>
  </si>
  <si>
    <t xml:space="preserve">INDIGO 941401</t>
  </si>
  <si>
    <t xml:space="preserve">6037346</t>
  </si>
  <si>
    <t xml:space="preserve">2859761</t>
  </si>
  <si>
    <t xml:space="preserve">2862819</t>
  </si>
  <si>
    <t xml:space="preserve">2863603</t>
  </si>
  <si>
    <t xml:space="preserve">2862656</t>
  </si>
  <si>
    <t xml:space="preserve">2862171</t>
  </si>
  <si>
    <t xml:space="preserve">3496839</t>
  </si>
  <si>
    <t xml:space="preserve">SOGESCO SAS</t>
  </si>
  <si>
    <t xml:space="preserve">1035549</t>
  </si>
  <si>
    <t xml:space="preserve">2043150</t>
  </si>
  <si>
    <t xml:space="preserve">2057010</t>
  </si>
  <si>
    <t xml:space="preserve">3042104</t>
  </si>
  <si>
    <t xml:space="preserve">2864499</t>
  </si>
  <si>
    <t xml:space="preserve">EBP FRANCE-E B P INFORMATIQUE</t>
  </si>
  <si>
    <t xml:space="preserve">2057230</t>
  </si>
  <si>
    <t xml:space="preserve">1979554</t>
  </si>
  <si>
    <t xml:space="preserve">1979852</t>
  </si>
  <si>
    <t xml:space="preserve">ZHEJIANG BI INDUSTRIAL CO LTD</t>
  </si>
  <si>
    <t xml:space="preserve">2865244</t>
  </si>
  <si>
    <t xml:space="preserve">4024306</t>
  </si>
  <si>
    <t xml:space="preserve">0006742</t>
  </si>
  <si>
    <t xml:space="preserve">3044400</t>
  </si>
  <si>
    <t xml:space="preserve">ESSO ERAGNYBELL</t>
  </si>
  <si>
    <t xml:space="preserve">2867382</t>
  </si>
  <si>
    <t xml:space="preserve">2091770</t>
  </si>
  <si>
    <t xml:space="preserve">3047058</t>
  </si>
  <si>
    <t xml:space="preserve">4012313</t>
  </si>
  <si>
    <t xml:space="preserve">3047163</t>
  </si>
  <si>
    <t xml:space="preserve">FNAC - NFC</t>
  </si>
  <si>
    <t xml:space="preserve">3049138</t>
  </si>
  <si>
    <t xml:space="preserve">3054188</t>
  </si>
  <si>
    <t xml:space="preserve">AMAZON PAYMENTS</t>
  </si>
  <si>
    <t xml:space="preserve">3054554</t>
  </si>
  <si>
    <t xml:space="preserve">2871959</t>
  </si>
  <si>
    <t xml:space="preserve">2871035</t>
  </si>
  <si>
    <t xml:space="preserve">2068390</t>
  </si>
  <si>
    <t xml:space="preserve">2870148</t>
  </si>
  <si>
    <t xml:space="preserve">9005921</t>
  </si>
  <si>
    <t xml:space="preserve">9005946</t>
  </si>
  <si>
    <t xml:space="preserve">2872314</t>
  </si>
  <si>
    <t xml:space="preserve">2003880</t>
  </si>
  <si>
    <t xml:space="preserve">1097547</t>
  </si>
  <si>
    <t xml:space="preserve">3814642</t>
  </si>
  <si>
    <t xml:space="preserve">FRAIS VIREMENT INTERNATIONAL TAXABLE</t>
  </si>
  <si>
    <t xml:space="preserve">(DONT HORS TAXE E.12,20  TVA TAUX 20,00 % E.2,44)</t>
  </si>
  <si>
    <t xml:space="preserve">1540084</t>
  </si>
  <si>
    <t xml:space="preserve">2021600</t>
  </si>
  <si>
    <t xml:space="preserve">8574368</t>
  </si>
  <si>
    <t xml:space="preserve">PLOMBIER</t>
  </si>
  <si>
    <t xml:space="preserve">9007013</t>
  </si>
  <si>
    <t xml:space="preserve">8574369</t>
  </si>
  <si>
    <t xml:space="preserve">9007404</t>
  </si>
  <si>
    <t xml:space="preserve">9007112</t>
  </si>
  <si>
    <t xml:space="preserve">9007435</t>
  </si>
  <si>
    <t xml:space="preserve">9007080</t>
  </si>
  <si>
    <t xml:space="preserve">9012062</t>
  </si>
  <si>
    <t xml:space="preserve">AKTO</t>
  </si>
  <si>
    <t xml:space="preserve">5817800</t>
  </si>
  <si>
    <t xml:space="preserve">BRICORAMA</t>
  </si>
  <si>
    <t xml:space="preserve">2874491</t>
  </si>
  <si>
    <t xml:space="preserve">9007383</t>
  </si>
  <si>
    <t xml:space="preserve">DHL INTERNAT. EXP FRANCE</t>
  </si>
  <si>
    <t xml:space="preserve">9007165</t>
  </si>
  <si>
    <t xml:space="preserve">9007206</t>
  </si>
  <si>
    <t xml:space="preserve">2873805</t>
  </si>
  <si>
    <t xml:space="preserve">2076240</t>
  </si>
  <si>
    <t xml:space="preserve">6416356</t>
  </si>
  <si>
    <t xml:space="preserve">2076250</t>
  </si>
  <si>
    <t xml:space="preserve">0030904</t>
  </si>
  <si>
    <t xml:space="preserve">1000176</t>
  </si>
  <si>
    <t xml:space="preserve">2364710</t>
  </si>
  <si>
    <t xml:space="preserve">SHELL DAC</t>
  </si>
  <si>
    <t xml:space="preserve">2876085</t>
  </si>
  <si>
    <t xml:space="preserve">1542452</t>
  </si>
  <si>
    <t xml:space="preserve">2064820</t>
  </si>
  <si>
    <t xml:space="preserve">1542451</t>
  </si>
  <si>
    <t xml:space="preserve">2045060</t>
  </si>
  <si>
    <t xml:space="preserve">1067507</t>
  </si>
  <si>
    <t xml:space="preserve">2335871</t>
  </si>
  <si>
    <t xml:space="preserve">3816549</t>
  </si>
  <si>
    <t xml:space="preserve">2877057</t>
  </si>
  <si>
    <t xml:space="preserve">6063161</t>
  </si>
  <si>
    <t xml:space="preserve">2879138</t>
  </si>
  <si>
    <t xml:space="preserve">2878461</t>
  </si>
  <si>
    <t xml:space="preserve">3064541</t>
  </si>
  <si>
    <t xml:space="preserve">2880462</t>
  </si>
  <si>
    <t xml:space="preserve">5001</t>
  </si>
  <si>
    <t xml:space="preserve">JFC BY MARY AUTOMOBILES</t>
  </si>
  <si>
    <t xml:space="preserve">3064500</t>
  </si>
  <si>
    <t xml:space="preserve">1986127</t>
  </si>
  <si>
    <t xml:space="preserve">LEADERS HARDWARE PLASTIC CO LIMITED</t>
  </si>
  <si>
    <t xml:space="preserve">0017113890</t>
  </si>
  <si>
    <t xml:space="preserve">FRAIS CONCOURS</t>
  </si>
  <si>
    <t xml:space="preserve">(DONT HORS TAXE E.156,45  TVA TAUX 20,00 % E.31,29)</t>
  </si>
  <si>
    <t xml:space="preserve">FRAIS DE GESTION</t>
  </si>
  <si>
    <t xml:space="preserve">ACHAT PARTS SOCIALES</t>
  </si>
  <si>
    <t xml:space="preserve">2880451</t>
  </si>
  <si>
    <t xml:space="preserve">FONDS DE GARANTIE</t>
  </si>
  <si>
    <t xml:space="preserve">3065295</t>
  </si>
  <si>
    <t xml:space="preserve">6066158</t>
  </si>
  <si>
    <t xml:space="preserve">3de3819</t>
  </si>
  <si>
    <t xml:space="preserve">VIREMENT INSTANTANE RECU</t>
  </si>
  <si>
    <t xml:space="preserve">STF PERFUMERIA DE AUTOR SL</t>
  </si>
  <si>
    <t xml:space="preserve">2881848</t>
  </si>
  <si>
    <t xml:space="preserve">3068432</t>
  </si>
  <si>
    <t xml:space="preserve">0001097</t>
  </si>
  <si>
    <t xml:space="preserve">2876901</t>
  </si>
  <si>
    <t xml:space="preserve">2881415</t>
  </si>
  <si>
    <t xml:space="preserve">8210640</t>
  </si>
  <si>
    <t xml:space="preserve">SUBWAY</t>
  </si>
  <si>
    <t xml:space="preserve">3068365</t>
  </si>
  <si>
    <t xml:space="preserve">6068294</t>
  </si>
  <si>
    <t xml:space="preserve">2878507</t>
  </si>
  <si>
    <t xml:space="preserve">1032505</t>
  </si>
  <si>
    <t xml:space="preserve">2090750</t>
  </si>
  <si>
    <t xml:space="preserve">3818571</t>
  </si>
  <si>
    <t xml:space="preserve">2012200</t>
  </si>
  <si>
    <t xml:space="preserve">1987830</t>
  </si>
  <si>
    <t xml:space="preserve">1547276</t>
  </si>
  <si>
    <t xml:space="preserve">2067180</t>
  </si>
  <si>
    <t xml:space="preserve">0009157</t>
  </si>
  <si>
    <t xml:space="preserve">6073221</t>
  </si>
  <si>
    <t xml:space="preserve">2884119</t>
  </si>
  <si>
    <t xml:space="preserve">6104378</t>
  </si>
  <si>
    <t xml:space="preserve">2078290</t>
  </si>
  <si>
    <t xml:space="preserve">2362381</t>
  </si>
  <si>
    <t xml:space="preserve">3075326</t>
  </si>
  <si>
    <t xml:space="preserve">9200497</t>
  </si>
  <si>
    <t xml:space="preserve">1988595</t>
  </si>
  <si>
    <t xml:space="preserve">2057000</t>
  </si>
  <si>
    <t xml:space="preserve">2886348</t>
  </si>
  <si>
    <t xml:space="preserve">2096490</t>
  </si>
  <si>
    <t xml:space="preserve">2096480</t>
  </si>
  <si>
    <t xml:space="preserve">3076313</t>
  </si>
  <si>
    <t xml:space="preserve">ESSO VIRONVAYSU</t>
  </si>
  <si>
    <t xml:space="preserve">3076246</t>
  </si>
  <si>
    <t xml:space="preserve">1549594</t>
  </si>
  <si>
    <t xml:space="preserve">1097076</t>
  </si>
  <si>
    <t xml:space="preserve">2888714</t>
  </si>
  <si>
    <t xml:space="preserve">9001440</t>
  </si>
  <si>
    <t xml:space="preserve">2053541</t>
  </si>
  <si>
    <t xml:space="preserve">2043250</t>
  </si>
  <si>
    <t xml:space="preserve">2890919</t>
  </si>
  <si>
    <t xml:space="preserve">1990610</t>
  </si>
  <si>
    <t xml:space="preserve">3821047</t>
  </si>
  <si>
    <t xml:space="preserve">GOLD ROCK COMPANY LIMITED</t>
  </si>
  <si>
    <t xml:space="preserve">2890123</t>
  </si>
  <si>
    <t xml:space="preserve">1061633</t>
  </si>
  <si>
    <t xml:space="preserve">3083181</t>
  </si>
  <si>
    <t xml:space="preserve">2888818</t>
  </si>
  <si>
    <t xml:space="preserve">2891086</t>
  </si>
  <si>
    <t xml:space="preserve">1991771</t>
  </si>
  <si>
    <t xml:space="preserve">8447950</t>
  </si>
  <si>
    <t xml:space="preserve">AIR FRANCE</t>
  </si>
  <si>
    <t xml:space="preserve">0000685</t>
  </si>
  <si>
    <t xml:space="preserve">9200056</t>
  </si>
  <si>
    <t xml:space="preserve">SUMUP *TNS DEP</t>
  </si>
  <si>
    <t xml:space="preserve">9200161</t>
  </si>
  <si>
    <t xml:space="preserve">2067240</t>
  </si>
  <si>
    <t xml:space="preserve">1000130</t>
  </si>
  <si>
    <t xml:space="preserve">2893893</t>
  </si>
  <si>
    <t xml:space="preserve">1554105</t>
  </si>
  <si>
    <t xml:space="preserve">9011943</t>
  </si>
  <si>
    <t xml:space="preserve">3086255</t>
  </si>
  <si>
    <t xml:space="preserve">6088155</t>
  </si>
  <si>
    <t xml:space="preserve">9011929</t>
  </si>
  <si>
    <t xml:space="preserve">6414296</t>
  </si>
  <si>
    <t xml:space="preserve">9011912</t>
  </si>
  <si>
    <t xml:space="preserve">3089304</t>
  </si>
  <si>
    <t xml:space="preserve">ESSO ASSEVILLER</t>
  </si>
  <si>
    <t xml:space="preserve">FRAIS TENUE DE COMPTE</t>
  </si>
  <si>
    <t xml:space="preserve">(DONT HORS TAXE E.62,00  TVA TAUX 20,00 % E.12,40)</t>
  </si>
  <si>
    <t xml:space="preserve">3089062</t>
  </si>
  <si>
    <t xml:space="preserve">2367481</t>
  </si>
  <si>
    <t xml:space="preserve">6090134</t>
  </si>
  <si>
    <t xml:space="preserve">3089305</t>
  </si>
  <si>
    <t xml:space="preserve">ESSO JOINVILLE</t>
  </si>
  <si>
    <t xml:space="preserve">2895265</t>
  </si>
  <si>
    <t xml:space="preserve">0019013</t>
  </si>
  <si>
    <t xml:space="preserve">HOTEL AT BOOKIN</t>
  </si>
  <si>
    <t xml:space="preserve">2894845</t>
  </si>
  <si>
    <t xml:space="preserve">2363601</t>
  </si>
  <si>
    <t xml:space="preserve">3823393</t>
  </si>
  <si>
    <t xml:space="preserve">ALMUFTAH TRADING AND CONT CO.</t>
  </si>
  <si>
    <t xml:space="preserve">2527632</t>
  </si>
  <si>
    <t xml:space="preserve">ESSO RDAM STADH</t>
  </si>
  <si>
    <t xml:space="preserve">1027642</t>
  </si>
  <si>
    <t xml:space="preserve">2015100</t>
  </si>
  <si>
    <t xml:space="preserve">2363591</t>
  </si>
  <si>
    <t xml:space="preserve">2893051</t>
  </si>
  <si>
    <t xml:space="preserve">IOP6591</t>
  </si>
  <si>
    <t xml:space="preserve">TOAST.S</t>
  </si>
  <si>
    <t xml:space="preserve">1555905</t>
  </si>
  <si>
    <t xml:space="preserve">3090033</t>
  </si>
  <si>
    <t xml:space="preserve">0037142</t>
  </si>
  <si>
    <t xml:space="preserve">6092174</t>
  </si>
  <si>
    <t xml:space="preserve">1556361</t>
  </si>
  <si>
    <t xml:space="preserve">6092173</t>
  </si>
  <si>
    <t xml:space="preserve">1606943</t>
  </si>
  <si>
    <t xml:space="preserve">TOTAL NB000698</t>
  </si>
  <si>
    <t xml:space="preserve">2065060</t>
  </si>
  <si>
    <t xml:space="preserve">2045620</t>
  </si>
  <si>
    <t xml:space="preserve">3092551</t>
  </si>
  <si>
    <t xml:space="preserve">6093174</t>
  </si>
  <si>
    <t xml:space="preserve">3091244</t>
  </si>
  <si>
    <t xml:space="preserve">9002687</t>
  </si>
  <si>
    <t xml:space="preserve">3096592</t>
  </si>
  <si>
    <t xml:space="preserve">2897971</t>
  </si>
  <si>
    <t xml:space="preserve">3093065</t>
  </si>
  <si>
    <t xml:space="preserve">6094404</t>
  </si>
  <si>
    <t xml:space="preserve">AUTOLOOK RAPID</t>
  </si>
  <si>
    <t xml:space="preserve">2897844</t>
  </si>
  <si>
    <t xml:space="preserve">MSP COT SANTE DES ENTREPRISES-MACIF SANTE PREVOYANCE</t>
  </si>
  <si>
    <t xml:space="preserve">9002160</t>
  </si>
  <si>
    <t xml:space="preserve">9004311</t>
  </si>
  <si>
    <t xml:space="preserve">9004433</t>
  </si>
  <si>
    <t xml:space="preserve">AMIVAL</t>
  </si>
  <si>
    <t xml:space="preserve">9004415</t>
  </si>
  <si>
    <t xml:space="preserve">2045611</t>
  </si>
  <si>
    <t xml:space="preserve">SAPN</t>
  </si>
  <si>
    <t xml:space="preserve">3097145</t>
  </si>
  <si>
    <t xml:space="preserve">2900004</t>
  </si>
  <si>
    <t xml:space="preserve">1063698</t>
  </si>
  <si>
    <t xml:space="preserve">3522852</t>
  </si>
  <si>
    <t xml:space="preserve">ATLANTIS</t>
  </si>
  <si>
    <t xml:space="preserve">3825464</t>
  </si>
  <si>
    <t xml:space="preserve">3097627</t>
  </si>
  <si>
    <t xml:space="preserve">1072800</t>
  </si>
  <si>
    <t xml:space="preserve">0001058</t>
  </si>
  <si>
    <t xml:space="preserve">2901560</t>
  </si>
  <si>
    <t xml:space="preserve">2314131</t>
  </si>
  <si>
    <t xml:space="preserve">0000000</t>
  </si>
  <si>
    <t xml:space="preserve">PRET</t>
  </si>
  <si>
    <t xml:space="preserve">PRET PROFESSIONNEL EQUIPEMENT (N°07113890)</t>
  </si>
  <si>
    <t xml:space="preserve">3098028</t>
  </si>
  <si>
    <t xml:space="preserve">ESSO DAC VERDUN</t>
  </si>
  <si>
    <t xml:space="preserve">2901680</t>
  </si>
  <si>
    <t xml:space="preserve">2901455</t>
  </si>
  <si>
    <t xml:space="preserve">BIPANDGO</t>
  </si>
  <si>
    <t xml:space="preserve">2900294</t>
  </si>
  <si>
    <t xml:space="preserve">2902520</t>
  </si>
  <si>
    <t xml:space="preserve">2902275</t>
  </si>
  <si>
    <t xml:space="preserve">2898934</t>
  </si>
  <si>
    <t xml:space="preserve">1560288</t>
  </si>
  <si>
    <t xml:space="preserve">6100157</t>
  </si>
  <si>
    <t xml:space="preserve">6101165</t>
  </si>
  <si>
    <t xml:space="preserve">3100543</t>
  </si>
  <si>
    <t xml:space="preserve">2903671</t>
  </si>
  <si>
    <t xml:space="preserve">2092170</t>
  </si>
  <si>
    <t xml:space="preserve">0211524</t>
  </si>
  <si>
    <t xml:space="preserve">HOTEL LE ROYAL</t>
  </si>
  <si>
    <t xml:space="preserve">0003225</t>
  </si>
  <si>
    <t xml:space="preserve">AIRBNB</t>
  </si>
  <si>
    <t xml:space="preserve">1561797</t>
  </si>
  <si>
    <t xml:space="preserve">2097971</t>
  </si>
  <si>
    <t xml:space="preserve">0003980</t>
  </si>
  <si>
    <t xml:space="preserve">2030690</t>
  </si>
  <si>
    <t xml:space="preserve">CEVM NFC</t>
  </si>
  <si>
    <t xml:space="preserve">3103197</t>
  </si>
  <si>
    <t xml:space="preserve">2009310</t>
  </si>
  <si>
    <t xml:space="preserve">3103166</t>
  </si>
  <si>
    <t xml:space="preserve">2100394</t>
  </si>
  <si>
    <t xml:space="preserve">AP. PG GRACIA-M</t>
  </si>
  <si>
    <t xml:space="preserve">0182425</t>
  </si>
  <si>
    <t xml:space="preserve">BSM AP MARINA P</t>
  </si>
  <si>
    <t xml:space="preserve">2100812</t>
  </si>
  <si>
    <t xml:space="preserve">JET SERVICIO</t>
  </si>
  <si>
    <t xml:space="preserve">0182762</t>
  </si>
  <si>
    <t xml:space="preserve">E.S. RACC</t>
  </si>
  <si>
    <t xml:space="preserve">2049380</t>
  </si>
  <si>
    <t xml:space="preserve">AUTOROUTES DU S</t>
  </si>
  <si>
    <t xml:space="preserve">6104181</t>
  </si>
  <si>
    <t xml:space="preserve">2009041</t>
  </si>
  <si>
    <t xml:space="preserve">0182627</t>
  </si>
  <si>
    <t xml:space="preserve">7259601</t>
  </si>
  <si>
    <t xml:space="preserve">STATION AVIA</t>
  </si>
  <si>
    <t xml:space="preserve">2904392</t>
  </si>
  <si>
    <t xml:space="preserve">2096450</t>
  </si>
  <si>
    <t xml:space="preserve">2017380</t>
  </si>
  <si>
    <t xml:space="preserve">4088632</t>
  </si>
  <si>
    <t xml:space="preserve">2100516</t>
  </si>
  <si>
    <t xml:space="preserve">PK NOVEDAD ONLI</t>
  </si>
  <si>
    <t xml:space="preserve">0182061</t>
  </si>
  <si>
    <t xml:space="preserve">2100806</t>
  </si>
  <si>
    <t xml:space="preserve">2100609</t>
  </si>
  <si>
    <t xml:space="preserve">3100336</t>
  </si>
  <si>
    <t xml:space="preserve">4094584</t>
  </si>
  <si>
    <t xml:space="preserve">2100061</t>
  </si>
  <si>
    <t xml:space="preserve">2100102</t>
  </si>
  <si>
    <t xml:space="preserve">2100506</t>
  </si>
  <si>
    <t xml:space="preserve">2100435</t>
  </si>
  <si>
    <t xml:space="preserve">0182465</t>
  </si>
  <si>
    <t xml:space="preserve">0182051</t>
  </si>
  <si>
    <t xml:space="preserve">2906144</t>
  </si>
  <si>
    <t xml:space="preserve">2093560</t>
  </si>
  <si>
    <t xml:space="preserve">6105396</t>
  </si>
  <si>
    <t xml:space="preserve">RELAIS MILLAU L</t>
  </si>
  <si>
    <t xml:space="preserve">2100813</t>
  </si>
  <si>
    <t xml:space="preserve">1997677</t>
  </si>
  <si>
    <t xml:space="preserve">0182637</t>
  </si>
  <si>
    <t xml:space="preserve">2905577</t>
  </si>
  <si>
    <t xml:space="preserve">2054780</t>
  </si>
  <si>
    <t xml:space="preserve">7297741</t>
  </si>
  <si>
    <t xml:space="preserve">6143297</t>
  </si>
  <si>
    <t xml:space="preserve">1563131</t>
  </si>
  <si>
    <t xml:space="preserve">COMPAGNIE EIFFA</t>
  </si>
  <si>
    <t xml:space="preserve">2100445</t>
  </si>
  <si>
    <t xml:space="preserve">1000174</t>
  </si>
  <si>
    <t xml:space="preserve">RX* REED EXHIBI</t>
  </si>
  <si>
    <t xml:space="preserve">1000316</t>
  </si>
  <si>
    <t xml:space="preserve">2905160</t>
  </si>
  <si>
    <t xml:space="preserve">0000695</t>
  </si>
  <si>
    <t xml:space="preserve">1563639</t>
  </si>
  <si>
    <t xml:space="preserve">HORETO PARIS</t>
  </si>
  <si>
    <t xml:space="preserve">6107153</t>
  </si>
  <si>
    <t xml:space="preserve">1399213</t>
  </si>
  <si>
    <t xml:space="preserve">ROCADIS</t>
  </si>
  <si>
    <t xml:space="preserve">3527271</t>
  </si>
  <si>
    <t xml:space="preserve">VIPARIS PDV PKG</t>
  </si>
  <si>
    <t xml:space="preserve">7291770</t>
  </si>
  <si>
    <t xml:space="preserve">7078141</t>
  </si>
  <si>
    <t xml:space="preserve">3106112</t>
  </si>
  <si>
    <t xml:space="preserve">6108200</t>
  </si>
  <si>
    <t xml:space="preserve">2078000</t>
  </si>
  <si>
    <t xml:space="preserve">3110402</t>
  </si>
  <si>
    <t xml:space="preserve">2081511</t>
  </si>
  <si>
    <t xml:space="preserve">3106646</t>
  </si>
  <si>
    <t xml:space="preserve">1564315</t>
  </si>
  <si>
    <t xml:space="preserve">RAVI RS</t>
  </si>
  <si>
    <t xml:space="preserve">0009548</t>
  </si>
  <si>
    <t xml:space="preserve">0001229</t>
  </si>
  <si>
    <t xml:space="preserve">2093890</t>
  </si>
  <si>
    <t xml:space="preserve">3790883</t>
  </si>
  <si>
    <t xml:space="preserve">3529187</t>
  </si>
  <si>
    <t xml:space="preserve">LAVAGE AUTO</t>
  </si>
  <si>
    <t xml:space="preserve">2908330</t>
  </si>
  <si>
    <t xml:space="preserve">9002754</t>
  </si>
  <si>
    <t xml:space="preserve">6112160</t>
  </si>
  <si>
    <t xml:space="preserve">9002726</t>
  </si>
  <si>
    <t xml:space="preserve">6112105</t>
  </si>
  <si>
    <t xml:space="preserve">4df0695</t>
  </si>
  <si>
    <t xml:space="preserve">4060220</t>
  </si>
  <si>
    <t xml:space="preserve">1999670</t>
  </si>
  <si>
    <t xml:space="preserve">7037290</t>
  </si>
  <si>
    <t xml:space="preserve">ADP ORY P3 CBBS</t>
  </si>
  <si>
    <t xml:space="preserve">2004330</t>
  </si>
  <si>
    <t xml:space="preserve">2910165</t>
  </si>
  <si>
    <t xml:space="preserve">6113159</t>
  </si>
  <si>
    <t xml:space="preserve">2016870</t>
  </si>
  <si>
    <t xml:space="preserve">6114151</t>
  </si>
  <si>
    <t xml:space="preserve">2910318</t>
  </si>
  <si>
    <t xml:space="preserve">0029694</t>
  </si>
  <si>
    <t xml:space="preserve">8574370</t>
  </si>
  <si>
    <t xml:space="preserve">IZI CONFORT</t>
  </si>
  <si>
    <t xml:space="preserve">9200145</t>
  </si>
  <si>
    <t xml:space="preserve">2911681</t>
  </si>
  <si>
    <t xml:space="preserve">3117388</t>
  </si>
  <si>
    <t xml:space="preserve">0995865</t>
  </si>
  <si>
    <t xml:space="preserve">2909147</t>
  </si>
  <si>
    <t xml:space="preserve">4090110</t>
  </si>
  <si>
    <t xml:space="preserve">2014800</t>
  </si>
  <si>
    <t xml:space="preserve">2015480</t>
  </si>
  <si>
    <t xml:space="preserve">2069500</t>
  </si>
  <si>
    <t xml:space="preserve">6166893</t>
  </si>
  <si>
    <t xml:space="preserve">6118151</t>
  </si>
  <si>
    <t xml:space="preserve">gOP0UTB</t>
  </si>
  <si>
    <t xml:space="preserve">ODA PRESTIGE</t>
  </si>
  <si>
    <t xml:space="preserve">2913158</t>
  </si>
  <si>
    <t xml:space="preserve">2014790</t>
  </si>
  <si>
    <t xml:space="preserve">6118152</t>
  </si>
  <si>
    <t xml:space="preserve">1001200</t>
  </si>
  <si>
    <t xml:space="preserve">ANTHROPIC / CLAUDE.AI</t>
  </si>
  <si>
    <t xml:space="preserve">9006405</t>
  </si>
  <si>
    <t xml:space="preserve">4025855</t>
  </si>
  <si>
    <t xml:space="preserve">3831655</t>
  </si>
  <si>
    <t xml:space="preserve">7116271</t>
  </si>
  <si>
    <t xml:space="preserve">3118492</t>
  </si>
  <si>
    <t xml:space="preserve">3118548</t>
  </si>
  <si>
    <t xml:space="preserve">7116301</t>
  </si>
  <si>
    <t xml:space="preserve">9006424</t>
  </si>
  <si>
    <t xml:space="preserve">2913150</t>
  </si>
  <si>
    <t xml:space="preserve">3118526</t>
  </si>
  <si>
    <t xml:space="preserve">9006440</t>
  </si>
  <si>
    <t xml:space="preserve">6414626</t>
  </si>
  <si>
    <t xml:space="preserve">0880681</t>
  </si>
  <si>
    <t xml:space="preserve">DUBAI MARINA HO</t>
  </si>
  <si>
    <t xml:space="preserve">6120P0R</t>
  </si>
  <si>
    <t xml:space="preserve">TRESSORIA MB</t>
  </si>
  <si>
    <t xml:space="preserve">9008697</t>
  </si>
  <si>
    <t xml:space="preserve">9008834</t>
  </si>
  <si>
    <t xml:space="preserve">9008775</t>
  </si>
  <si>
    <t xml:space="preserve">SLEEVE  CONCEPT</t>
  </si>
  <si>
    <t xml:space="preserve">6120162</t>
  </si>
  <si>
    <t xml:space="preserve">9008420</t>
  </si>
  <si>
    <t xml:space="preserve">9008638</t>
  </si>
  <si>
    <t xml:space="preserve">9008878</t>
  </si>
  <si>
    <t xml:space="preserve">2914425</t>
  </si>
  <si>
    <t xml:space="preserve">8574371</t>
  </si>
  <si>
    <t xml:space="preserve">3534136</t>
  </si>
  <si>
    <t xml:space="preserve">2911316</t>
  </si>
  <si>
    <t xml:space="preserve">6120337</t>
  </si>
  <si>
    <t xml:space="preserve">ARAMEX EMIRATES</t>
  </si>
  <si>
    <t xml:space="preserve">2005300</t>
  </si>
  <si>
    <t xml:space="preserve">3120126</t>
  </si>
  <si>
    <t xml:space="preserve">0027682</t>
  </si>
  <si>
    <t xml:space="preserve">2377931</t>
  </si>
  <si>
    <t xml:space="preserve">0000017</t>
  </si>
  <si>
    <t xml:space="preserve">9007866</t>
  </si>
  <si>
    <t xml:space="preserve">2916705</t>
  </si>
  <si>
    <t xml:space="preserve">3124723</t>
  </si>
  <si>
    <t xml:space="preserve">2916212</t>
  </si>
  <si>
    <t xml:space="preserve">2916097</t>
  </si>
  <si>
    <t xml:space="preserve">6125306</t>
  </si>
  <si>
    <t xml:space="preserve">H P P E</t>
  </si>
  <si>
    <t xml:space="preserve">IWmh6TJ</t>
  </si>
  <si>
    <t xml:space="preserve">FLASHCONNECT</t>
  </si>
  <si>
    <t xml:space="preserve">3124406</t>
  </si>
  <si>
    <t xml:space="preserve">4094566</t>
  </si>
  <si>
    <t xml:space="preserve">6126198</t>
  </si>
  <si>
    <t xml:space="preserve">2917297</t>
  </si>
  <si>
    <t xml:space="preserve">3126642</t>
  </si>
  <si>
    <t xml:space="preserve">3833874</t>
  </si>
  <si>
    <t xml:space="preserve">3833869</t>
  </si>
  <si>
    <t xml:space="preserve">9200290</t>
  </si>
  <si>
    <t xml:space="preserve">0037778</t>
  </si>
  <si>
    <t xml:space="preserve">BOULANGER</t>
  </si>
  <si>
    <t xml:space="preserve">TxJTQQM</t>
  </si>
  <si>
    <t xml:space="preserve">4020437</t>
  </si>
  <si>
    <t xml:space="preserve">2916704</t>
  </si>
  <si>
    <t xml:space="preserve">6305630</t>
  </si>
  <si>
    <t xml:space="preserve">INSTITUT DU MON</t>
  </si>
  <si>
    <t xml:space="preserve">2013820</t>
  </si>
  <si>
    <t xml:space="preserve">2098531</t>
  </si>
  <si>
    <t xml:space="preserve">9019477</t>
  </si>
  <si>
    <t xml:space="preserve">9019441</t>
  </si>
  <si>
    <t xml:space="preserve">3131360</t>
  </si>
  <si>
    <t xml:space="preserve">2919660</t>
  </si>
  <si>
    <t xml:space="preserve">9019506</t>
  </si>
  <si>
    <t xml:space="preserve">9016347</t>
  </si>
  <si>
    <t xml:space="preserve">FIRMENICH</t>
  </si>
  <si>
    <t xml:space="preserve">2920803</t>
  </si>
  <si>
    <t xml:space="preserve">0001246</t>
  </si>
  <si>
    <t xml:space="preserve">2920603</t>
  </si>
  <si>
    <t xml:space="preserve">1811610</t>
  </si>
  <si>
    <t xml:space="preserve">G LA DALLE CHAM</t>
  </si>
  <si>
    <t xml:space="preserve">2379781</t>
  </si>
  <si>
    <t xml:space="preserve">1000362</t>
  </si>
  <si>
    <t xml:space="preserve">SITE WEB EMMANUELLEJANE.COM</t>
  </si>
  <si>
    <t xml:space="preserve">3132059</t>
  </si>
  <si>
    <t xml:space="preserve">4061087</t>
  </si>
  <si>
    <t xml:space="preserve">9200118</t>
  </si>
  <si>
    <t xml:space="preserve">SUMUP *ULTIME</t>
  </si>
  <si>
    <t xml:space="preserve">0000714</t>
  </si>
  <si>
    <t xml:space="preserve">0004270</t>
  </si>
  <si>
    <t xml:space="preserve">2924454</t>
  </si>
  <si>
    <t xml:space="preserve">2047680</t>
  </si>
  <si>
    <t xml:space="preserve">1000992</t>
  </si>
  <si>
    <t xml:space="preserve">1576252</t>
  </si>
  <si>
    <t xml:space="preserve">REX ATRIUM</t>
  </si>
  <si>
    <t xml:space="preserve">2922076</t>
  </si>
  <si>
    <t xml:space="preserve">4086490</t>
  </si>
  <si>
    <t xml:space="preserve">6182318</t>
  </si>
  <si>
    <t xml:space="preserve">9003526</t>
  </si>
  <si>
    <t xml:space="preserve">2924747</t>
  </si>
  <si>
    <t xml:space="preserve">6136158</t>
  </si>
  <si>
    <t xml:space="preserve">3138693</t>
  </si>
  <si>
    <t xml:space="preserve">1805579</t>
  </si>
  <si>
    <t xml:space="preserve">REMISE CHEQUE(S)</t>
  </si>
  <si>
    <t xml:space="preserve">2924359</t>
  </si>
  <si>
    <t xml:space="preserve">BIPANDGO-BIP   GO</t>
  </si>
  <si>
    <t xml:space="preserve">0518612</t>
  </si>
  <si>
    <t xml:space="preserve">FRAIS SAISIE ADM TIERS DETENTEUR</t>
  </si>
  <si>
    <t xml:space="preserve">FRAIS BANCAIRES SAISIE</t>
  </si>
  <si>
    <t xml:space="preserve">2925323</t>
  </si>
  <si>
    <t xml:space="preserve">9006961</t>
  </si>
  <si>
    <t xml:space="preserve">4024560</t>
  </si>
  <si>
    <t xml:space="preserve">3138324</t>
  </si>
  <si>
    <t xml:space="preserve">6139170</t>
  </si>
  <si>
    <t xml:space="preserve">EFFIA PARK</t>
  </si>
  <si>
    <t xml:space="preserve">3138323</t>
  </si>
  <si>
    <t xml:space="preserve">4027510</t>
  </si>
  <si>
    <t xml:space="preserve">6140159</t>
  </si>
  <si>
    <t xml:space="preserve">4002486</t>
  </si>
  <si>
    <t xml:space="preserve">6140152</t>
  </si>
  <si>
    <t xml:space="preserve">6141110</t>
  </si>
  <si>
    <t xml:space="preserve">INTERMARCHE CHA</t>
  </si>
  <si>
    <t xml:space="preserve">3837134</t>
  </si>
  <si>
    <t xml:space="preserve">2926883</t>
  </si>
  <si>
    <t xml:space="preserve">JADE CREATION SARL</t>
  </si>
  <si>
    <t xml:space="preserve">1908563</t>
  </si>
  <si>
    <t xml:space="preserve">8574372</t>
  </si>
  <si>
    <t xml:space="preserve">9002642</t>
  </si>
  <si>
    <t xml:space="preserve">2056460</t>
  </si>
  <si>
    <t xml:space="preserve">2390991</t>
  </si>
  <si>
    <t xml:space="preserve">2057510</t>
  </si>
  <si>
    <t xml:space="preserve">3543924</t>
  </si>
  <si>
    <t xml:space="preserve">2043490</t>
  </si>
  <si>
    <t xml:space="preserve">6143215</t>
  </si>
  <si>
    <t xml:space="preserve">3837770</t>
  </si>
  <si>
    <t xml:space="preserve">6143164</t>
  </si>
  <si>
    <t xml:space="preserve">3145022</t>
  </si>
  <si>
    <t xml:space="preserve">9003327</t>
  </si>
  <si>
    <t xml:space="preserve">9003452</t>
  </si>
  <si>
    <t xml:space="preserve">2926715</t>
  </si>
  <si>
    <t xml:space="preserve">2929494</t>
  </si>
  <si>
    <t xml:space="preserve">9003376</t>
  </si>
  <si>
    <t xml:space="preserve">1000077</t>
  </si>
  <si>
    <t xml:space="preserve">2055560</t>
  </si>
  <si>
    <t xml:space="preserve">9009790</t>
  </si>
  <si>
    <t xml:space="preserve">MME SABRINA MAHMOUDI</t>
  </si>
  <si>
    <t xml:space="preserve">NASMIR EUROPE FRAGRANCES</t>
  </si>
  <si>
    <t xml:space="preserve">9004163</t>
  </si>
  <si>
    <t xml:space="preserve">3546361</t>
  </si>
  <si>
    <t xml:space="preserve">E.LECLERC</t>
  </si>
  <si>
    <t xml:space="preserve">4063368</t>
  </si>
  <si>
    <t xml:space="preserve">9004215</t>
  </si>
  <si>
    <t xml:space="preserve">0026467</t>
  </si>
  <si>
    <t xml:space="preserve">9004194</t>
  </si>
  <si>
    <t xml:space="preserve">sXjZFRr</t>
  </si>
  <si>
    <t xml:space="preserve">GLOBAL AUTO 94</t>
  </si>
  <si>
    <t xml:space="preserve">2931433</t>
  </si>
  <si>
    <t xml:space="preserve">2931937</t>
  </si>
  <si>
    <t xml:space="preserve">2931021</t>
  </si>
  <si>
    <t xml:space="preserve">3146561</t>
  </si>
  <si>
    <t xml:space="preserve">8218750</t>
  </si>
  <si>
    <t xml:space="preserve">EASY PNEUS</t>
  </si>
  <si>
    <t xml:space="preserve">1753600</t>
  </si>
  <si>
    <t xml:space="preserve">CARREFOUR DAC V</t>
  </si>
  <si>
    <t xml:space="preserve">6149J6P</t>
  </si>
  <si>
    <t xml:space="preserve">1001287</t>
  </si>
  <si>
    <t xml:space="preserve">2932273</t>
  </si>
  <si>
    <t xml:space="preserve">6411806</t>
  </si>
  <si>
    <t xml:space="preserve">IOP6649</t>
  </si>
  <si>
    <t xml:space="preserve">2004630</t>
  </si>
  <si>
    <t xml:space="preserve">2931035</t>
  </si>
  <si>
    <t xml:space="preserve">2932902</t>
  </si>
  <si>
    <t xml:space="preserve">4011067</t>
  </si>
  <si>
    <t xml:space="preserve">6150105</t>
  </si>
  <si>
    <t xml:space="preserve">1810460</t>
  </si>
  <si>
    <t xml:space="preserve">OFFICE DEPOT</t>
  </si>
  <si>
    <t xml:space="preserve">3152218</t>
  </si>
  <si>
    <t xml:space="preserve">1HNLT5O</t>
  </si>
  <si>
    <t xml:space="preserve">PARFUMERIE RHEDS</t>
  </si>
  <si>
    <t xml:space="preserve">OPER. SUR TITRES</t>
  </si>
  <si>
    <t xml:space="preserve">VERSEMENT INTERETS PARTS BRED</t>
  </si>
  <si>
    <t xml:space="preserve">2394661</t>
  </si>
  <si>
    <t xml:space="preserve">CERTAS ESSOF241</t>
  </si>
  <si>
    <t xml:space="preserve">0034479</t>
  </si>
  <si>
    <t xml:space="preserve">1911513</t>
  </si>
  <si>
    <t xml:space="preserve">4036827</t>
  </si>
  <si>
    <t xml:space="preserve">2396241</t>
  </si>
  <si>
    <t xml:space="preserve">3153006</t>
  </si>
  <si>
    <t xml:space="preserve">3153571</t>
  </si>
  <si>
    <t xml:space="preserve">3152479</t>
  </si>
  <si>
    <t xml:space="preserve">3153030</t>
  </si>
  <si>
    <t xml:space="preserve">0018800</t>
  </si>
  <si>
    <t xml:space="preserve">ARDA</t>
  </si>
  <si>
    <t xml:space="preserve">2135132</t>
  </si>
  <si>
    <t xml:space="preserve">VIVATICKET.COM</t>
  </si>
  <si>
    <t xml:space="preserve">0000711</t>
  </si>
  <si>
    <t xml:space="preserve">6155237</t>
  </si>
  <si>
    <t xml:space="preserve">3840634</t>
  </si>
  <si>
    <t xml:space="preserve">9200260</t>
  </si>
  <si>
    <t xml:space="preserve">2935726</t>
  </si>
  <si>
    <t xml:space="preserve">2935175</t>
  </si>
  <si>
    <t xml:space="preserve">9825140</t>
  </si>
  <si>
    <t xml:space="preserve">ANDREA PAPPADA'</t>
  </si>
  <si>
    <t xml:space="preserve">0027972</t>
  </si>
  <si>
    <t xml:space="preserve">ALIEXPRESS</t>
  </si>
  <si>
    <t xml:space="preserve">0660044</t>
  </si>
  <si>
    <t xml:space="preserve">2937059</t>
  </si>
  <si>
    <t xml:space="preserve">8450658</t>
  </si>
  <si>
    <t xml:space="preserve">2465844</t>
  </si>
  <si>
    <t xml:space="preserve">0021477</t>
  </si>
  <si>
    <t xml:space="preserve">6156167</t>
  </si>
  <si>
    <t xml:space="preserve">1000066</t>
  </si>
  <si>
    <t xml:space="preserve">DELIVEROO</t>
  </si>
  <si>
    <t xml:space="preserve">2465841</t>
  </si>
  <si>
    <t xml:space="preserve">3155274</t>
  </si>
  <si>
    <t xml:space="preserve">0219620</t>
  </si>
  <si>
    <t xml:space="preserve">DOUBLETREE BY H</t>
  </si>
  <si>
    <t xml:space="preserve">0027762</t>
  </si>
  <si>
    <t xml:space="preserve">3155023</t>
  </si>
  <si>
    <t xml:space="preserve">MAISON PRADIER</t>
  </si>
  <si>
    <t xml:space="preserve">0001695</t>
  </si>
  <si>
    <t xml:space="preserve">HRwgzRK</t>
  </si>
  <si>
    <t xml:space="preserve">0536408</t>
  </si>
  <si>
    <t xml:space="preserve">ALICE PIZZA NEG</t>
  </si>
  <si>
    <t xml:space="preserve">0000871</t>
  </si>
  <si>
    <t xml:space="preserve">3159232</t>
  </si>
  <si>
    <t xml:space="preserve">3159282</t>
  </si>
  <si>
    <t xml:space="preserve">INDIGO 750108</t>
  </si>
  <si>
    <t xml:space="preserve">0042145</t>
  </si>
  <si>
    <t xml:space="preserve">TERME MILANO S.</t>
  </si>
  <si>
    <t xml:space="preserve">0027764</t>
  </si>
  <si>
    <t xml:space="preserve">0000875</t>
  </si>
  <si>
    <t xml:space="preserve">MICO - CASSE</t>
  </si>
  <si>
    <t xml:space="preserve">6229661</t>
  </si>
  <si>
    <t xml:space="preserve">TREE SRL</t>
  </si>
  <si>
    <t xml:space="preserve">0000872</t>
  </si>
  <si>
    <t xml:space="preserve">0000594</t>
  </si>
  <si>
    <t xml:space="preserve">4086334</t>
  </si>
  <si>
    <t xml:space="preserve">3156121</t>
  </si>
  <si>
    <t xml:space="preserve">3159440</t>
  </si>
  <si>
    <t xml:space="preserve">9002049</t>
  </si>
  <si>
    <t xml:space="preserve">2937172</t>
  </si>
  <si>
    <t xml:space="preserve">2940306</t>
  </si>
  <si>
    <t xml:space="preserve">9002081</t>
  </si>
  <si>
    <t xml:space="preserve">2940194</t>
  </si>
  <si>
    <t xml:space="preserve">1754189</t>
  </si>
  <si>
    <t xml:space="preserve">2024420</t>
  </si>
  <si>
    <t xml:space="preserve">7040100</t>
  </si>
  <si>
    <t xml:space="preserve">LM AUTO PARTS</t>
  </si>
  <si>
    <t xml:space="preserve">3161071</t>
  </si>
  <si>
    <t xml:space="preserve">2023580</t>
  </si>
  <si>
    <t xml:space="preserve">6163165</t>
  </si>
  <si>
    <t xml:space="preserve">7423950</t>
  </si>
  <si>
    <t xml:space="preserve">4053358</t>
  </si>
  <si>
    <t xml:space="preserve">6233174</t>
  </si>
  <si>
    <t xml:space="preserve">2942881</t>
  </si>
  <si>
    <t xml:space="preserve">2943693</t>
  </si>
  <si>
    <t xml:space="preserve">3793140</t>
  </si>
  <si>
    <t xml:space="preserve">7423914</t>
  </si>
  <si>
    <t xml:space="preserve">3166211</t>
  </si>
  <si>
    <t xml:space="preserve">1815730</t>
  </si>
  <si>
    <t xml:space="preserve">AU SOURIRE DE P</t>
  </si>
  <si>
    <t xml:space="preserve">3166441</t>
  </si>
  <si>
    <t xml:space="preserve">2941816</t>
  </si>
  <si>
    <t xml:space="preserve">1640815</t>
  </si>
  <si>
    <t xml:space="preserve">FIVE LUXE HOTEL</t>
  </si>
  <si>
    <t xml:space="preserve">7423974</t>
  </si>
  <si>
    <t xml:space="preserve">2025670</t>
  </si>
  <si>
    <t xml:space="preserve">0292464</t>
  </si>
  <si>
    <t xml:space="preserve">0016386</t>
  </si>
  <si>
    <t xml:space="preserve">9002507</t>
  </si>
  <si>
    <t xml:space="preserve">2944021</t>
  </si>
  <si>
    <t xml:space="preserve">9002603</t>
  </si>
  <si>
    <t xml:space="preserve">2944458</t>
  </si>
  <si>
    <t xml:space="preserve">REGLEMENT SAISIE ADM TIERS DETENTEUR</t>
  </si>
  <si>
    <t xml:space="preserve">REGLEMENT SAISIE (AMENDE)</t>
  </si>
  <si>
    <t xml:space="preserve">6168150</t>
  </si>
  <si>
    <t xml:space="preserve">6169162</t>
  </si>
  <si>
    <t xml:space="preserve">2946212</t>
  </si>
  <si>
    <t xml:space="preserve">2947155</t>
  </si>
  <si>
    <t xml:space="preserve">3170213</t>
  </si>
  <si>
    <t xml:space="preserve">0292883</t>
  </si>
  <si>
    <t xml:space="preserve">0032183</t>
  </si>
  <si>
    <t xml:space="preserve">FIVERR</t>
  </si>
  <si>
    <t xml:space="preserve">6171176</t>
  </si>
  <si>
    <t xml:space="preserve">1693965</t>
  </si>
  <si>
    <t xml:space="preserve">SPF JUSTICE</t>
  </si>
  <si>
    <t xml:space="preserve">2948678</t>
  </si>
  <si>
    <t xml:space="preserve">2948943</t>
  </si>
  <si>
    <t xml:space="preserve">2947668</t>
  </si>
  <si>
    <t xml:space="preserve">2026100</t>
  </si>
  <si>
    <t xml:space="preserve">3844661</t>
  </si>
  <si>
    <t xml:space="preserve">2949439</t>
  </si>
  <si>
    <t xml:space="preserve">3844790</t>
  </si>
  <si>
    <t xml:space="preserve">3175028</t>
  </si>
  <si>
    <t xml:space="preserve">A600DXQ</t>
  </si>
  <si>
    <t xml:space="preserve">2950712</t>
  </si>
  <si>
    <t xml:space="preserve">6176227</t>
  </si>
  <si>
    <t xml:space="preserve">6176159</t>
  </si>
  <si>
    <t xml:space="preserve">2090290</t>
  </si>
  <si>
    <t xml:space="preserve">5004</t>
  </si>
  <si>
    <t xml:space="preserve">2947688</t>
  </si>
  <si>
    <t xml:space="preserve">9004365</t>
  </si>
  <si>
    <t xml:space="preserve">9004507</t>
  </si>
  <si>
    <t xml:space="preserve">NASMIR  EUROPE FRAGRANCES</t>
  </si>
  <si>
    <t xml:space="preserve">8451418</t>
  </si>
  <si>
    <t xml:space="preserve">9004457</t>
  </si>
  <si>
    <t xml:space="preserve">9004122</t>
  </si>
  <si>
    <t xml:space="preserve">9004399</t>
  </si>
  <si>
    <t xml:space="preserve">2340651</t>
  </si>
  <si>
    <t xml:space="preserve">9004034</t>
  </si>
  <si>
    <t xml:space="preserve">9004242</t>
  </si>
  <si>
    <t xml:space="preserve">NEROLI FRANCE</t>
  </si>
  <si>
    <t xml:space="preserve">9004317</t>
  </si>
  <si>
    <t xml:space="preserve">9004707</t>
  </si>
  <si>
    <t xml:space="preserve">ASSISTANCE DEMARCHES</t>
  </si>
  <si>
    <t xml:space="preserve">9004050</t>
  </si>
  <si>
    <t xml:space="preserve">9004148</t>
  </si>
  <si>
    <t xml:space="preserve">3177557</t>
  </si>
  <si>
    <t xml:space="preserve">6415746</t>
  </si>
  <si>
    <t xml:space="preserve">2087450</t>
  </si>
  <si>
    <t xml:space="preserve">6258437</t>
  </si>
  <si>
    <t xml:space="preserve">2099890</t>
  </si>
  <si>
    <t xml:space="preserve">2951799</t>
  </si>
  <si>
    <t xml:space="preserve">1001214</t>
  </si>
  <si>
    <t xml:space="preserve">2952973</t>
  </si>
  <si>
    <t xml:space="preserve">2080340</t>
  </si>
  <si>
    <t xml:space="preserve">T60090T</t>
  </si>
  <si>
    <t xml:space="preserve">2951257</t>
  </si>
  <si>
    <t xml:space="preserve">3181567</t>
  </si>
  <si>
    <t xml:space="preserve">2080350</t>
  </si>
  <si>
    <t xml:space="preserve">8574375</t>
  </si>
  <si>
    <t xml:space="preserve">NOTAIRE</t>
  </si>
  <si>
    <t xml:space="preserve">2953513</t>
  </si>
  <si>
    <t xml:space="preserve">2955237</t>
  </si>
  <si>
    <t xml:space="preserve">0048699</t>
  </si>
  <si>
    <t xml:space="preserve">6183172</t>
  </si>
  <si>
    <t xml:space="preserve">9001911</t>
  </si>
  <si>
    <t xml:space="preserve">8574376</t>
  </si>
  <si>
    <t xml:space="preserve">2956234</t>
  </si>
  <si>
    <t xml:space="preserve">8451674</t>
  </si>
  <si>
    <t xml:space="preserve">2956596</t>
  </si>
  <si>
    <t xml:space="preserve">0034321</t>
  </si>
  <si>
    <t xml:space="preserve">ACTION 4632</t>
  </si>
  <si>
    <t xml:space="preserve">2956223</t>
  </si>
  <si>
    <t xml:space="preserve">2957402</t>
  </si>
  <si>
    <t xml:space="preserve">3183748</t>
  </si>
  <si>
    <t xml:space="preserve">INDIGO 940006</t>
  </si>
  <si>
    <t xml:space="preserve">7286050</t>
  </si>
  <si>
    <t xml:space="preserve">ADP ROISSY PEF</t>
  </si>
  <si>
    <t xml:space="preserve">2956620</t>
  </si>
  <si>
    <t xml:space="preserve">1811930</t>
  </si>
  <si>
    <t xml:space="preserve">C600Q9Y</t>
  </si>
  <si>
    <t xml:space="preserve">ARZUM GROUP MMC</t>
  </si>
  <si>
    <t xml:space="preserve">0001207</t>
  </si>
  <si>
    <t xml:space="preserve">3188519</t>
  </si>
  <si>
    <t xml:space="preserve">4049875</t>
  </si>
  <si>
    <t xml:space="preserve">9200370</t>
  </si>
  <si>
    <t xml:space="preserve">2329811</t>
  </si>
  <si>
    <t xml:space="preserve">2098111</t>
  </si>
  <si>
    <t xml:space="preserve">1890803</t>
  </si>
  <si>
    <t xml:space="preserve">9009876</t>
  </si>
  <si>
    <t xml:space="preserve">NATURAL SOLTER</t>
  </si>
  <si>
    <t xml:space="preserve">6190246</t>
  </si>
  <si>
    <t xml:space="preserve">9200270</t>
  </si>
  <si>
    <t xml:space="preserve">2960619</t>
  </si>
  <si>
    <t xml:space="preserve">2959049</t>
  </si>
  <si>
    <t xml:space="preserve">6191217</t>
  </si>
  <si>
    <t xml:space="preserve">2059341</t>
  </si>
  <si>
    <t xml:space="preserve">Payeur (nom banque)</t>
  </si>
  <si>
    <t xml:space="preserve">Catégorie revenu</t>
  </si>
  <si>
    <t xml:space="preserve">nan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</si>
</sst>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[RED]\-#,##0.00&quot; €&quot;"/>
    <numFmt numFmtId="166" formatCode="0.0%"/>
    <numFmt numFmtId="167" formatCode="#,##0.00&quot; €&quot;"/>
    <numFmt numFmtId="168" formatCode="#,##0&quot; €&quot;"/>
    <numFmt numFmtId="169" formatCode="#,##0&quot; €&quot;;[RED]\-#,##0&quot; €&quot;"/>
    <numFmt numFmtId="170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6B3D"/>
      <name val="Arial"/>
      <family val="0"/>
      <charset val="1"/>
    </font>
    <font>
      <b val="true"/>
      <sz val="12"/>
      <color rgb="FF0F6B3D"/>
      <name val="Arial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b val="true"/>
      <sz val="13"/>
      <color rgb="FF0F6B3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0F6B3D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F6B3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B3D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tailRevenus2026" displayName="DetailRevenus2026" ref="A1:F70" headerRowCount="1" totalsRowCount="0" totalsRowShown="0">
  <autoFilter ref="A1:F70"/>
  <tableColumns count="6">
    <tableColumn id="1" name="Date"/>
    <tableColumn id="2" name="Référence"/>
    <tableColumn id="3" name="Type d'opération"/>
    <tableColumn id="4" name="Payeur (nom banque)"/>
    <tableColumn id="5" name="Montant (€)"/>
    <tableColumn id="6" name="Catégorie revenu"/>
  </tableColumns>
</table>
</file>

<file path=xl/tables/table2.xml><?xml version="1.0" encoding="utf-8"?>
<table xmlns="http://schemas.openxmlformats.org/spreadsheetml/2006/main" id="2" name="DetailTable" displayName="DetailTable" ref="A1:F890" headerRowCount="1" totalsRowCount="0" totalsRowShown="0">
  <autoFilter ref="A1:F890"/>
  <tableColumns count="6">
    <tableColumn id="1" name="Date"/>
    <tableColumn id="2" name="Référence"/>
    <tableColumn id="3" name="Type d'opération"/>
    <tableColumn id="4" name="Fournisseur / Libellé"/>
    <tableColumn id="5" name="Montant (€)"/>
    <tableColumn id="6" name="Catégori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SUMIF(Détail!F:F,"Encaissement*",Détail!E:E)</f>
        <v>643902.63</v>
      </c>
    </row>
    <row r="5" customFormat="false" ht="15" hidden="false" customHeight="true" outlineLevel="0" collapsed="false">
      <c r="A5" s="4" t="s">
        <v>3</v>
      </c>
      <c r="B5" s="5" t="n">
        <f aca="false">SUMIFS(Détail!E:E,Détail!F:F,"&lt;&gt;Encaissement (hors périmètre charges)",Détail!F:F,"&lt;&gt;Paiement par chèque (à vérifier)",Détail!F:F,"&lt;&gt;Saisie administrative")</f>
        <v>-636709.75</v>
      </c>
    </row>
    <row r="6" customFormat="false" ht="15" hidden="false" customHeight="true" outlineLevel="0" collapsed="false">
      <c r="A6" s="4" t="s">
        <v>4</v>
      </c>
      <c r="B6" s="5" t="n">
        <f aca="false">SUMIF(Détail!F:F,"&lt;&gt;",Détail!E:E)</f>
        <v>5217.87999999999</v>
      </c>
    </row>
    <row r="8" customFormat="false" ht="15" hidden="false" customHeight="true" outlineLevel="0" collapsed="false">
      <c r="A8" s="6" t="s">
        <v>5</v>
      </c>
    </row>
    <row r="9" customFormat="false" ht="1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</row>
    <row r="10" customFormat="false" ht="15" hidden="false" customHeight="true" outlineLevel="0" collapsed="false">
      <c r="A10" s="8" t="s">
        <v>10</v>
      </c>
      <c r="B10" s="8" t="n">
        <f aca="false">COUNTIF(Détail!F:F,A10)</f>
        <v>24</v>
      </c>
      <c r="C10" s="9" t="n">
        <f aca="false">SUMIF(Détail!F:F,A10,Détail!E:E)</f>
        <v>-244170.98</v>
      </c>
      <c r="D10" s="10" t="n">
        <f aca="false">C10/$B$5</f>
        <v>0.383488677533209</v>
      </c>
    </row>
    <row r="11" customFormat="false" ht="15" hidden="false" customHeight="true" outlineLevel="0" collapsed="false">
      <c r="A11" s="8" t="s">
        <v>11</v>
      </c>
      <c r="B11" s="8" t="n">
        <f aca="false">COUNTIF(Détail!F:F,A11)</f>
        <v>12</v>
      </c>
      <c r="C11" s="9" t="n">
        <f aca="false">SUMIF(Détail!F:F,A11,Détail!E:E)</f>
        <v>-136758.73</v>
      </c>
      <c r="D11" s="10" t="n">
        <f aca="false">C11/$B$5</f>
        <v>0.214789753101786</v>
      </c>
    </row>
    <row r="12" customFormat="false" ht="15" hidden="false" customHeight="true" outlineLevel="0" collapsed="false">
      <c r="A12" s="8" t="s">
        <v>12</v>
      </c>
      <c r="B12" s="8" t="n">
        <f aca="false">COUNTIF(Détail!F:F,A12)</f>
        <v>13</v>
      </c>
      <c r="C12" s="9" t="n">
        <f aca="false">SUMIF(Détail!F:F,A12,Détail!E:E)</f>
        <v>-57342.97</v>
      </c>
      <c r="D12" s="10" t="n">
        <f aca="false">C12/$B$5</f>
        <v>0.0900613976776702</v>
      </c>
    </row>
    <row r="13" customFormat="false" ht="15" hidden="false" customHeight="true" outlineLevel="0" collapsed="false">
      <c r="A13" s="8" t="s">
        <v>13</v>
      </c>
      <c r="B13" s="8" t="n">
        <f aca="false">COUNTIF(Détail!F:F,A13)</f>
        <v>48</v>
      </c>
      <c r="C13" s="9" t="n">
        <f aca="false">SUMIF(Détail!F:F,A13,Détail!E:E)</f>
        <v>-42914.9</v>
      </c>
      <c r="D13" s="10" t="n">
        <f aca="false">C13/$B$5</f>
        <v>0.0674010410552061</v>
      </c>
    </row>
    <row r="14" customFormat="false" ht="15" hidden="false" customHeight="true" outlineLevel="0" collapsed="false">
      <c r="A14" s="8" t="s">
        <v>14</v>
      </c>
      <c r="B14" s="8" t="n">
        <f aca="false">COUNTIF(Détail!F:F,A14)</f>
        <v>25</v>
      </c>
      <c r="C14" s="9" t="n">
        <f aca="false">SUMIF(Détail!F:F,A14,Détail!E:E)</f>
        <v>-33658.99</v>
      </c>
      <c r="D14" s="10" t="n">
        <f aca="false">C14/$B$5</f>
        <v>0.0528639462486635</v>
      </c>
    </row>
    <row r="15" customFormat="false" ht="15" hidden="false" customHeight="true" outlineLevel="0" collapsed="false">
      <c r="A15" s="8" t="s">
        <v>15</v>
      </c>
      <c r="B15" s="8" t="n">
        <f aca="false">COUNTIF(Détail!F:F,A15)</f>
        <v>24</v>
      </c>
      <c r="C15" s="9" t="n">
        <f aca="false">SUMIF(Détail!F:F,A15,Détail!E:E)</f>
        <v>-25681.14</v>
      </c>
      <c r="D15" s="10" t="n">
        <f aca="false">C15/$B$5</f>
        <v>0.0403341396923795</v>
      </c>
    </row>
    <row r="16" customFormat="false" ht="15" hidden="false" customHeight="true" outlineLevel="0" collapsed="false">
      <c r="A16" s="8" t="s">
        <v>16</v>
      </c>
      <c r="B16" s="8" t="n">
        <f aca="false">COUNTIF(Détail!F:F,A16)</f>
        <v>11</v>
      </c>
      <c r="C16" s="9" t="n">
        <f aca="false">SUMIF(Détail!F:F,A16,Détail!E:E)</f>
        <v>-24300</v>
      </c>
      <c r="D16" s="10" t="n">
        <f aca="false">C16/$B$5</f>
        <v>0.0381649566384055</v>
      </c>
    </row>
    <row r="17" customFormat="false" ht="15" hidden="false" customHeight="true" outlineLevel="0" collapsed="false">
      <c r="A17" s="8" t="s">
        <v>17</v>
      </c>
      <c r="B17" s="8" t="n">
        <f aca="false">COUNTIF(Détail!F:F,A17)</f>
        <v>197</v>
      </c>
      <c r="C17" s="9" t="n">
        <f aca="false">SUMIF(Détail!F:F,A17,Détail!E:E)</f>
        <v>-13245.95</v>
      </c>
      <c r="D17" s="10" t="n">
        <f aca="false">C17/$B$5</f>
        <v>0.0208037492750818</v>
      </c>
    </row>
    <row r="18" customFormat="false" ht="15" hidden="false" customHeight="true" outlineLevel="0" collapsed="false">
      <c r="A18" s="8" t="s">
        <v>18</v>
      </c>
      <c r="B18" s="8" t="n">
        <f aca="false">COUNTIF(Détail!F:F,A18)</f>
        <v>55</v>
      </c>
      <c r="C18" s="9" t="n">
        <f aca="false">SUMIF(Détail!F:F,A18,Détail!E:E)</f>
        <v>-12908.5</v>
      </c>
      <c r="D18" s="10" t="n">
        <f aca="false">C18/$B$5</f>
        <v>0.0202737589615991</v>
      </c>
    </row>
    <row r="19" customFormat="false" ht="15" hidden="false" customHeight="true" outlineLevel="0" collapsed="false">
      <c r="A19" s="8" t="s">
        <v>19</v>
      </c>
      <c r="B19" s="8" t="n">
        <f aca="false">COUNTIF(Détail!F:F,A19)</f>
        <v>44</v>
      </c>
      <c r="C19" s="9" t="n">
        <f aca="false">SUMIF(Détail!F:F,A19,Détail!E:E)</f>
        <v>-10275.06</v>
      </c>
      <c r="D19" s="10" t="n">
        <f aca="false">C19/$B$5</f>
        <v>0.016137745652552</v>
      </c>
    </row>
    <row r="20" customFormat="false" ht="15" hidden="false" customHeight="true" outlineLevel="0" collapsed="false">
      <c r="A20" s="8" t="s">
        <v>20</v>
      </c>
      <c r="B20" s="8" t="n">
        <f aca="false">COUNTIF(Détail!F:F,A20)</f>
        <v>99</v>
      </c>
      <c r="C20" s="9" t="n">
        <f aca="false">SUMIF(Détail!F:F,A20,Détail!E:E)</f>
        <v>-7501.73</v>
      </c>
      <c r="D20" s="10" t="n">
        <f aca="false">C20/$B$5</f>
        <v>0.0117820246980669</v>
      </c>
    </row>
    <row r="21" customFormat="false" ht="15" hidden="false" customHeight="true" outlineLevel="0" collapsed="false">
      <c r="A21" s="8" t="s">
        <v>21</v>
      </c>
      <c r="B21" s="8" t="n">
        <f aca="false">COUNTIF(Détail!F:F,A21)</f>
        <v>13</v>
      </c>
      <c r="C21" s="9" t="n">
        <f aca="false">SUMIF(Détail!F:F,A21,Détail!E:E)</f>
        <v>-5559.55</v>
      </c>
      <c r="D21" s="10" t="n">
        <f aca="false">C21/$B$5</f>
        <v>0.00873168661230647</v>
      </c>
    </row>
    <row r="22" customFormat="false" ht="15" hidden="false" customHeight="true" outlineLevel="0" collapsed="false">
      <c r="A22" s="8" t="s">
        <v>22</v>
      </c>
      <c r="B22" s="8" t="n">
        <f aca="false">COUNTIF(Détail!F:F,A22)</f>
        <v>9</v>
      </c>
      <c r="C22" s="9" t="n">
        <f aca="false">SUMIF(Détail!F:F,A22,Détail!E:E)</f>
        <v>-4426.16</v>
      </c>
      <c r="D22" s="10" t="n">
        <f aca="false">C22/$B$5</f>
        <v>0.00695161335286604</v>
      </c>
    </row>
    <row r="23" customFormat="false" ht="15" hidden="false" customHeight="true" outlineLevel="0" collapsed="false">
      <c r="A23" s="8" t="s">
        <v>23</v>
      </c>
      <c r="B23" s="8" t="n">
        <f aca="false">COUNTIF(Détail!F:F,A23)</f>
        <v>7</v>
      </c>
      <c r="C23" s="9" t="n">
        <f aca="false">SUMIF(Détail!F:F,A23,Détail!E:E)</f>
        <v>-3684</v>
      </c>
      <c r="D23" s="10" t="n">
        <f aca="false">C23/$B$5</f>
        <v>0.00578599589530394</v>
      </c>
    </row>
    <row r="24" customFormat="false" ht="15" hidden="false" customHeight="true" outlineLevel="0" collapsed="false">
      <c r="A24" s="8" t="s">
        <v>24</v>
      </c>
      <c r="B24" s="8" t="n">
        <f aca="false">COUNTIF(Détail!F:F,A24)</f>
        <v>47</v>
      </c>
      <c r="C24" s="9" t="n">
        <f aca="false">SUMIF(Détail!F:F,A24,Détail!E:E)</f>
        <v>-3670.72</v>
      </c>
      <c r="D24" s="10" t="n">
        <f aca="false">C24/$B$5</f>
        <v>0.00576513866797234</v>
      </c>
    </row>
    <row r="25" customFormat="false" ht="15" hidden="false" customHeight="true" outlineLevel="0" collapsed="false">
      <c r="A25" s="8" t="s">
        <v>25</v>
      </c>
      <c r="B25" s="8" t="n">
        <f aca="false">COUNTIF(Détail!F:F,A25)</f>
        <v>123</v>
      </c>
      <c r="C25" s="9" t="n">
        <f aca="false">SUMIF(Détail!F:F,A25,Détail!E:E)</f>
        <v>-3550.09</v>
      </c>
      <c r="D25" s="10" t="n">
        <f aca="false">C25/$B$5</f>
        <v>0.00557568028446243</v>
      </c>
    </row>
    <row r="26" customFormat="false" ht="15" hidden="false" customHeight="true" outlineLevel="0" collapsed="false">
      <c r="A26" s="8" t="s">
        <v>26</v>
      </c>
      <c r="B26" s="8" t="n">
        <f aca="false">COUNTIF(Détail!F:F,A26)</f>
        <v>23</v>
      </c>
      <c r="C26" s="9" t="n">
        <f aca="false">SUMIF(Détail!F:F,A26,Détail!E:E)</f>
        <v>-3193.98</v>
      </c>
      <c r="D26" s="10" t="n">
        <f aca="false">C26/$B$5</f>
        <v>0.00501638305365985</v>
      </c>
    </row>
    <row r="27" customFormat="false" ht="15" hidden="false" customHeight="true" outlineLevel="0" collapsed="false">
      <c r="A27" s="8" t="s">
        <v>27</v>
      </c>
      <c r="B27" s="8" t="n">
        <f aca="false">COUNTIF(Détail!F:F,A27)</f>
        <v>4</v>
      </c>
      <c r="C27" s="9" t="n">
        <f aca="false">SUMIF(Détail!F:F,A27,Détail!E:E)</f>
        <v>-2232.96</v>
      </c>
      <c r="D27" s="10" t="n">
        <f aca="false">C27/$B$5</f>
        <v>0.00350702969445654</v>
      </c>
    </row>
    <row r="28" customFormat="false" ht="15" hidden="false" customHeight="true" outlineLevel="0" collapsed="false">
      <c r="A28" s="8" t="s">
        <v>28</v>
      </c>
      <c r="B28" s="8" t="n">
        <f aca="false">COUNTIF(Détail!F:F,A28)</f>
        <v>2</v>
      </c>
      <c r="C28" s="9" t="n">
        <f aca="false">SUMIF(Détail!F:F,A28,Détail!E:E)</f>
        <v>-1975</v>
      </c>
      <c r="D28" s="10" t="n">
        <f aca="false">C28/$B$5</f>
        <v>0.00310188433583748</v>
      </c>
    </row>
    <row r="29" customFormat="false" ht="15" hidden="false" customHeight="true" outlineLevel="0" collapsed="false">
      <c r="A29" s="8" t="s">
        <v>29</v>
      </c>
      <c r="B29" s="8" t="n">
        <f aca="false">COUNTIF(Détail!F:F,A29)</f>
        <v>15</v>
      </c>
      <c r="C29" s="9" t="n">
        <f aca="false">SUMIF(Détail!F:F,A29,Détail!E:E)</f>
        <v>-673.33</v>
      </c>
      <c r="D29" s="10" t="n">
        <f aca="false">C29/$B$5</f>
        <v>0.00105751482524023</v>
      </c>
    </row>
    <row r="30" customFormat="false" ht="15" hidden="false" customHeight="true" outlineLevel="0" collapsed="false">
      <c r="A30" s="8" t="s">
        <v>30</v>
      </c>
      <c r="B30" s="8" t="n">
        <f aca="false">COUNTIF(Détail!F:F,A30)</f>
        <v>7</v>
      </c>
      <c r="C30" s="9" t="n">
        <f aca="false">SUMIF(Détail!F:F,A30,Détail!E:E)</f>
        <v>-549.22</v>
      </c>
      <c r="D30" s="10" t="n">
        <f aca="false">C30/$B$5</f>
        <v>0.000862590843001854</v>
      </c>
    </row>
    <row r="31" customFormat="false" ht="15" hidden="false" customHeight="true" outlineLevel="0" collapsed="false">
      <c r="A31" s="8" t="s">
        <v>31</v>
      </c>
      <c r="B31" s="8" t="n">
        <f aca="false">COUNTIF(Détail!F:F,A31)</f>
        <v>18</v>
      </c>
      <c r="C31" s="9" t="n">
        <f aca="false">SUMIF(Détail!F:F,A31,Détail!E:E)</f>
        <v>-410.79</v>
      </c>
      <c r="D31" s="10" t="n">
        <f aca="false">C31/$B$5</f>
        <v>0.000645176236110724</v>
      </c>
    </row>
    <row r="32" customFormat="false" ht="15" hidden="false" customHeight="true" outlineLevel="0" collapsed="false">
      <c r="A32" s="4" t="s">
        <v>32</v>
      </c>
      <c r="B32" s="4" t="n">
        <f aca="false">SUM(B10:B31)</f>
        <v>820</v>
      </c>
      <c r="C32" s="5" t="n">
        <f aca="false">SUM(C10:C31)</f>
        <v>-638684.75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11" t="s">
        <v>33</v>
      </c>
    </row>
    <row r="2" customFormat="false" ht="15" hidden="false" customHeight="true" outlineLevel="0" collapsed="false">
      <c r="A2" s="3" t="s">
        <v>34</v>
      </c>
    </row>
    <row r="4" customFormat="false" ht="15" hidden="false" customHeight="true" outlineLevel="0" collapsed="false">
      <c r="A4" s="4" t="s">
        <v>2</v>
      </c>
      <c r="B4" s="12" t="n">
        <f aca="false">SUM('Détail Revenus'!E:E)</f>
        <v>643902.63</v>
      </c>
    </row>
    <row r="6" customFormat="false" ht="15" hidden="false" customHeight="true" outlineLevel="0" collapsed="false">
      <c r="A6" s="13" t="s">
        <v>35</v>
      </c>
    </row>
    <row r="7" customFormat="false" ht="15" hidden="false" customHeight="true" outlineLevel="0" collapsed="false">
      <c r="A7" s="14" t="s">
        <v>36</v>
      </c>
      <c r="B7" s="14" t="s">
        <v>7</v>
      </c>
      <c r="C7" s="14" t="s">
        <v>8</v>
      </c>
      <c r="D7" s="14" t="s">
        <v>37</v>
      </c>
    </row>
    <row r="8" customFormat="false" ht="15" hidden="false" customHeight="true" outlineLevel="0" collapsed="false">
      <c r="A8" s="8" t="s">
        <v>38</v>
      </c>
      <c r="B8" s="8" t="n">
        <f aca="false">COUNTIF('Détail Revenus'!F:F,A8)</f>
        <v>16</v>
      </c>
      <c r="C8" s="15" t="n">
        <f aca="false">SUMIF('Détail Revenus'!F:F,A8,'Détail Revenus'!E:E)</f>
        <v>395976.38</v>
      </c>
      <c r="D8" s="10" t="n">
        <f aca="false">C8/$B$4</f>
        <v>0.614963135031767</v>
      </c>
    </row>
    <row r="9" customFormat="false" ht="15" hidden="false" customHeight="true" outlineLevel="0" collapsed="false">
      <c r="A9" s="8" t="s">
        <v>39</v>
      </c>
      <c r="B9" s="8" t="n">
        <f aca="false">COUNTIF('Détail Revenus'!F:F,A9)</f>
        <v>5</v>
      </c>
      <c r="C9" s="15" t="n">
        <f aca="false">SUMIF('Détail Revenus'!F:F,A9,'Détail Revenus'!E:E)</f>
        <v>101673.36</v>
      </c>
      <c r="D9" s="10" t="n">
        <f aca="false">C9/$B$4</f>
        <v>0.157901762258682</v>
      </c>
    </row>
    <row r="10" customFormat="false" ht="15" hidden="false" customHeight="true" outlineLevel="0" collapsed="false">
      <c r="A10" s="8" t="s">
        <v>40</v>
      </c>
      <c r="B10" s="8" t="n">
        <f aca="false">COUNTIF('Détail Revenus'!F:F,A10)</f>
        <v>3</v>
      </c>
      <c r="C10" s="15" t="n">
        <f aca="false">SUMIF('Détail Revenus'!F:F,A10,'Détail Revenus'!E:E)</f>
        <v>71936.54</v>
      </c>
      <c r="D10" s="10" t="n">
        <f aca="false">C10/$B$4</f>
        <v>0.111719593380136</v>
      </c>
    </row>
    <row r="11" customFormat="false" ht="15" hidden="false" customHeight="true" outlineLevel="0" collapsed="false">
      <c r="A11" s="8" t="s">
        <v>41</v>
      </c>
      <c r="B11" s="8" t="n">
        <f aca="false">COUNTIF('Détail Revenus'!F:F,A11)</f>
        <v>0</v>
      </c>
      <c r="C11" s="15" t="n">
        <f aca="false">SUMIF('Détail Revenus'!F:F,A11,'Détail Revenus'!E:E)</f>
        <v>0</v>
      </c>
      <c r="D11" s="10" t="n">
        <f aca="false">C11/$B$4</f>
        <v>0</v>
      </c>
    </row>
    <row r="12" customFormat="false" ht="15" hidden="false" customHeight="true" outlineLevel="0" collapsed="false">
      <c r="A12" s="8" t="s">
        <v>42</v>
      </c>
      <c r="B12" s="8" t="n">
        <f aca="false">COUNTIF('Détail Revenus'!F:F,A12)</f>
        <v>0</v>
      </c>
      <c r="C12" s="15" t="n">
        <f aca="false">SUMIF('Détail Revenus'!F:F,A12,'Détail Revenus'!E:E)</f>
        <v>0</v>
      </c>
      <c r="D12" s="10" t="n">
        <f aca="false">C12/$B$4</f>
        <v>0</v>
      </c>
    </row>
    <row r="13" customFormat="false" ht="15" hidden="false" customHeight="true" outlineLevel="0" collapsed="false">
      <c r="A13" s="8" t="s">
        <v>43</v>
      </c>
      <c r="B13" s="8" t="n">
        <f aca="false">COUNTIF('Détail Revenus'!F:F,A13)</f>
        <v>1</v>
      </c>
      <c r="C13" s="15" t="n">
        <f aca="false">SUMIF('Détail Revenus'!F:F,A13,'Détail Revenus'!E:E)</f>
        <v>10142</v>
      </c>
      <c r="D13" s="10" t="n">
        <f aca="false">C13/$B$4</f>
        <v>0.0157508286617807</v>
      </c>
    </row>
    <row r="14" customFormat="false" ht="15" hidden="false" customHeight="true" outlineLevel="0" collapsed="false">
      <c r="A14" s="8" t="s">
        <v>44</v>
      </c>
      <c r="B14" s="8" t="n">
        <f aca="false">COUNTIF('Détail Revenus'!F:F,A14)</f>
        <v>7</v>
      </c>
      <c r="C14" s="15" t="n">
        <f aca="false">SUMIF('Détail Revenus'!F:F,A14,'Détail Revenus'!E:E)</f>
        <v>37140</v>
      </c>
      <c r="D14" s="10" t="n">
        <f aca="false">C14/$B$4</f>
        <v>0.0576795283473217</v>
      </c>
    </row>
    <row r="15" customFormat="false" ht="15" hidden="false" customHeight="true" outlineLevel="0" collapsed="false">
      <c r="A15" s="8" t="s">
        <v>45</v>
      </c>
      <c r="B15" s="8" t="n">
        <f aca="false">COUNTIF('Détail Revenus'!F:F,A15)</f>
        <v>3</v>
      </c>
      <c r="C15" s="15" t="n">
        <f aca="false">SUMIF('Détail Revenus'!F:F,A15,'Détail Revenus'!E:E)</f>
        <v>13067</v>
      </c>
      <c r="D15" s="10" t="n">
        <f aca="false">C15/$B$4</f>
        <v>0.0202934409508469</v>
      </c>
    </row>
    <row r="16" customFormat="false" ht="15" hidden="false" customHeight="true" outlineLevel="0" collapsed="false">
      <c r="A16" s="8" t="s">
        <v>46</v>
      </c>
      <c r="B16" s="8" t="n">
        <f aca="false">COUNTIF('Détail Revenus'!F:F,A16)</f>
        <v>2</v>
      </c>
      <c r="C16" s="15" t="n">
        <f aca="false">SUMIF('Détail Revenus'!F:F,A16,'Détail Revenus'!E:E)</f>
        <v>2777</v>
      </c>
      <c r="D16" s="10" t="n">
        <f aca="false">C16/$B$4</f>
        <v>0.00431276387238859</v>
      </c>
    </row>
    <row r="17" customFormat="false" ht="15" hidden="false" customHeight="true" outlineLevel="0" collapsed="false">
      <c r="A17" s="8" t="s">
        <v>47</v>
      </c>
      <c r="B17" s="8" t="n">
        <f aca="false">COUNTIF('Détail Revenus'!F:F,A17)</f>
        <v>1</v>
      </c>
      <c r="C17" s="15" t="n">
        <f aca="false">SUMIF('Détail Revenus'!F:F,A17,'Détail Revenus'!E:E)</f>
        <v>2394</v>
      </c>
      <c r="D17" s="10" t="n">
        <f aca="false">C17/$B$4</f>
        <v>0.00371795344274335</v>
      </c>
    </row>
    <row r="18" customFormat="false" ht="15" hidden="false" customHeight="true" outlineLevel="0" collapsed="false">
      <c r="A18" s="8" t="s">
        <v>48</v>
      </c>
      <c r="B18" s="8" t="n">
        <f aca="false">COUNTIF('Détail Revenus'!F:F,A18)</f>
        <v>28</v>
      </c>
      <c r="C18" s="15" t="n">
        <f aca="false">SUMIF('Détail Revenus'!F:F,A18,'Détail Revenus'!E:E)</f>
        <v>1638.75</v>
      </c>
      <c r="D18" s="10" t="n">
        <f aca="false">C18/$B$4</f>
        <v>0.00254502765425884</v>
      </c>
    </row>
    <row r="19" customFormat="false" ht="15" hidden="false" customHeight="true" outlineLevel="0" collapsed="false">
      <c r="A19" s="8" t="s">
        <v>49</v>
      </c>
      <c r="B19" s="8" t="n">
        <f aca="false">COUNTIF('Détail Revenus'!F:F,A19)</f>
        <v>1</v>
      </c>
      <c r="C19" s="15" t="n">
        <f aca="false">SUMIF('Détail Revenus'!F:F,A19,'Détail Revenus'!E:E)</f>
        <v>624</v>
      </c>
      <c r="D19" s="10" t="n">
        <f aca="false">C19/$B$4</f>
        <v>0.000969090621667441</v>
      </c>
    </row>
    <row r="20" customFormat="false" ht="15" hidden="false" customHeight="true" outlineLevel="0" collapsed="false">
      <c r="A20" s="8" t="s">
        <v>50</v>
      </c>
      <c r="B20" s="8" t="n">
        <f aca="false">COUNTIF('Détail Revenus'!F:F,A20)</f>
        <v>1</v>
      </c>
      <c r="C20" s="15" t="n">
        <f aca="false">SUMIF('Détail Revenus'!F:F,A20,'Détail Revenus'!E:E)</f>
        <v>6230</v>
      </c>
      <c r="D20" s="10" t="n">
        <f aca="false">C20/$B$4</f>
        <v>0.00967537591825025</v>
      </c>
    </row>
    <row r="21" customFormat="false" ht="15" hidden="false" customHeight="false" outlineLevel="0" collapsed="false">
      <c r="A21" s="8" t="s">
        <v>51</v>
      </c>
      <c r="B21" s="8" t="n">
        <f aca="false">COUNTIF('Détail Revenus'!F:F,A21)</f>
        <v>1</v>
      </c>
      <c r="C21" s="15" t="n">
        <f aca="false">SUMIF('Détail Revenus'!F:F,A21,'Détail Revenus'!E:E)</f>
        <v>303.6</v>
      </c>
      <c r="D21" s="10" t="n">
        <f aca="false">C21/$B$4</f>
        <v>0.000471499860157428</v>
      </c>
    </row>
    <row r="22" customFormat="false" ht="15" hidden="false" customHeight="true" outlineLevel="0" collapsed="false">
      <c r="A22" s="16" t="s">
        <v>32</v>
      </c>
      <c r="B22" s="17" t="n">
        <f aca="false">SUM(B8:B21)</f>
        <v>69</v>
      </c>
      <c r="C22" s="18" t="n">
        <f aca="false">SUM(C8:C21)</f>
        <v>643902.63</v>
      </c>
    </row>
    <row r="24" customFormat="false" ht="15" hidden="false" customHeight="false" outlineLevel="0" collapsed="false">
      <c r="A24" s="1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0" t="s">
        <v>53</v>
      </c>
    </row>
    <row r="3" customFormat="false" ht="15" hidden="false" customHeight="true" outlineLevel="0" collapsed="false">
      <c r="A3" s="21" t="s">
        <v>38</v>
      </c>
      <c r="B3" s="21"/>
      <c r="C3" s="22" t="n">
        <f aca="false">SUMIF('Détail Revenus'!$F:$F,"NB Evolution FZCO (factures NB...)",'Détail Revenus'!$E:$E)</f>
        <v>395976.38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24" t="n">
        <f aca="false">SUMIFS('Détail Revenus'!$E:$E,'Détail Revenus'!$F:$F,"NB Evolution FZCO (factures NB...)",'Détail Revenus'!$A:$A,"&gt;="&amp;DATE(2026,1,1),'Détail Revenus'!$A:$A,"&lt;"&amp;EDATE(DATE(2026,1,1),1))</f>
        <v>45807.68</v>
      </c>
    </row>
    <row r="6" customFormat="false" ht="15" hidden="false" customHeight="true" outlineLevel="0" collapsed="false">
      <c r="A6" s="8" t="s">
        <v>57</v>
      </c>
      <c r="B6" s="24" t="n">
        <f aca="false">SUMIFS('Détail Revenus'!$E:$E,'Détail Revenus'!$F:$F,"NB Evolution FZCO (factures NB...)",'Détail Revenus'!$A:$A,"&gt;="&amp;DATE(2026,2,1),'Détail Revenus'!$A:$A,"&lt;"&amp;EDATE(DATE(2026,2,1),1))</f>
        <v>55968.7</v>
      </c>
    </row>
    <row r="7" customFormat="false" ht="15" hidden="false" customHeight="true" outlineLevel="0" collapsed="false">
      <c r="A7" s="8" t="s">
        <v>58</v>
      </c>
      <c r="B7" s="24" t="n">
        <f aca="false">SUMIFS('Détail Revenus'!$E:$E,'Détail Revenus'!$F:$F,"NB Evolution FZCO (factures NB...)",'Détail Revenus'!$A:$A,"&gt;="&amp;DATE(2026,3,1),'Détail Revenus'!$A:$A,"&lt;"&amp;EDATE(DATE(2026,3,1),1))</f>
        <v>48000</v>
      </c>
    </row>
    <row r="8" customFormat="false" ht="15" hidden="false" customHeight="true" outlineLevel="0" collapsed="false">
      <c r="A8" s="8" t="s">
        <v>59</v>
      </c>
      <c r="B8" s="24" t="n">
        <f aca="false">SUMIFS('Détail Revenus'!$E:$E,'Détail Revenus'!$F:$F,"NB Evolution FZCO (factures NB...)",'Détail Revenus'!$A:$A,"&gt;="&amp;DATE(2026,4,1),'Détail Revenus'!$A:$A,"&lt;"&amp;EDATE(DATE(2026,4,1),1))</f>
        <v>72200</v>
      </c>
    </row>
    <row r="9" customFormat="false" ht="15" hidden="false" customHeight="true" outlineLevel="0" collapsed="false">
      <c r="A9" s="8" t="s">
        <v>60</v>
      </c>
      <c r="B9" s="24" t="n">
        <f aca="false">SUMIFS('Détail Revenus'!$E:$E,'Détail Revenus'!$F:$F,"NB Evolution FZCO (factures NB...)",'Détail Revenus'!$A:$A,"&gt;="&amp;DATE(2026,5,1),'Détail Revenus'!$A:$A,"&lt;"&amp;EDATE(DATE(2026,5,1),1))</f>
        <v>59200</v>
      </c>
    </row>
    <row r="10" customFormat="false" ht="15" hidden="false" customHeight="true" outlineLevel="0" collapsed="false">
      <c r="A10" s="8" t="s">
        <v>61</v>
      </c>
      <c r="B10" s="24" t="n">
        <f aca="false">SUMIFS('Détail Revenus'!$E:$E,'Détail Revenus'!$F:$F,"NB Evolution FZCO (factures NB...)",'Détail Revenus'!$A:$A,"&gt;="&amp;DATE(2026,6,1),'Détail Revenus'!$A:$A,"&lt;"&amp;EDATE(DATE(2026,6,1),1))</f>
        <v>94800</v>
      </c>
    </row>
    <row r="11" customFormat="false" ht="15" hidden="false" customHeight="true" outlineLevel="0" collapsed="false">
      <c r="A11" s="8" t="s">
        <v>62</v>
      </c>
      <c r="B11" s="24" t="n">
        <f aca="false">SUMIFS('Détail Revenus'!$E:$E,'Détail Revenus'!$F:$F,"NB Evolution FZCO (factures NB...)",'Détail Revenus'!$A:$A,"&gt;="&amp;DATE(2026,7,1),'Détail Revenus'!$A:$A,"&lt;"&amp;EDATE(DATE(2026,7,1),1))</f>
        <v>20000</v>
      </c>
    </row>
    <row r="14" customFormat="false" ht="15" hidden="false" customHeight="true" outlineLevel="0" collapsed="false">
      <c r="A14" s="21" t="s">
        <v>39</v>
      </c>
      <c r="B14" s="21"/>
      <c r="C14" s="22" t="n">
        <f aca="false">SUMIF('Détail Revenus'!$F:$F,"Usine Algérie (Jade Création — sans marge)",'Détail Revenus'!$E:$E)</f>
        <v>101673.36</v>
      </c>
    </row>
    <row r="15" customFormat="false" ht="15" hidden="false" customHeight="true" outlineLevel="0" collapsed="false">
      <c r="A15" s="25" t="s">
        <v>63</v>
      </c>
      <c r="B15" s="25" t="s">
        <v>64</v>
      </c>
    </row>
    <row r="16" customFormat="false" ht="15" hidden="false" customHeight="true" outlineLevel="0" collapsed="false">
      <c r="A16" s="23" t="s">
        <v>54</v>
      </c>
      <c r="B16" s="23" t="s">
        <v>55</v>
      </c>
    </row>
    <row r="17" customFormat="false" ht="15" hidden="false" customHeight="true" outlineLevel="0" collapsed="false">
      <c r="A17" s="8" t="s">
        <v>56</v>
      </c>
      <c r="B17" s="24" t="n">
        <f aca="false">SUMIFS('Détail Revenus'!$E:$E,'Détail Revenus'!$F:$F,"Usine Algérie (Jade Création — sans marge)",'Détail Revenus'!$A:$A,"&gt;="&amp;DATE(2026,1,1),'Détail Revenus'!$A:$A,"&lt;"&amp;EDATE(DATE(2026,1,1),1))</f>
        <v>5284.36</v>
      </c>
    </row>
    <row r="18" customFormat="false" ht="15" hidden="false" customHeight="true" outlineLevel="0" collapsed="false">
      <c r="A18" s="8" t="s">
        <v>57</v>
      </c>
      <c r="B18" s="24" t="n">
        <f aca="false">SUMIFS('Détail Revenus'!$E:$E,'Détail Revenus'!$F:$F,"Usine Algérie (Jade Création — sans marge)",'Détail Revenus'!$A:$A,"&gt;="&amp;DATE(2026,2,1),'Détail Revenus'!$A:$A,"&lt;"&amp;EDATE(DATE(2026,2,1),1))</f>
        <v>0</v>
      </c>
    </row>
    <row r="19" customFormat="false" ht="15" hidden="false" customHeight="true" outlineLevel="0" collapsed="false">
      <c r="A19" s="8" t="s">
        <v>58</v>
      </c>
      <c r="B19" s="24" t="n">
        <f aca="false">SUMIFS('Détail Revenus'!$E:$E,'Détail Revenus'!$F:$F,"Usine Algérie (Jade Création — sans marge)",'Détail Revenus'!$A:$A,"&gt;="&amp;DATE(2026,3,1),'Détail Revenus'!$A:$A,"&lt;"&amp;EDATE(DATE(2026,3,1),1))</f>
        <v>0</v>
      </c>
    </row>
    <row r="20" customFormat="false" ht="15" hidden="false" customHeight="true" outlineLevel="0" collapsed="false">
      <c r="A20" s="8" t="s">
        <v>59</v>
      </c>
      <c r="B20" s="24" t="n">
        <f aca="false">SUMIFS('Détail Revenus'!$E:$E,'Détail Revenus'!$F:$F,"Usine Algérie (Jade Création — sans marge)",'Détail Revenus'!$A:$A,"&gt;="&amp;DATE(2026,4,1),'Détail Revenus'!$A:$A,"&lt;"&amp;EDATE(DATE(2026,4,1),1))</f>
        <v>0</v>
      </c>
    </row>
    <row r="21" customFormat="false" ht="15" hidden="false" customHeight="true" outlineLevel="0" collapsed="false">
      <c r="A21" s="8" t="s">
        <v>60</v>
      </c>
      <c r="B21" s="24" t="n">
        <f aca="false">SUMIFS('Détail Revenus'!$E:$E,'Détail Revenus'!$F:$F,"Usine Algérie (Jade Création — sans marge)",'Détail Revenus'!$A:$A,"&gt;="&amp;DATE(2026,5,1),'Détail Revenus'!$A:$A,"&lt;"&amp;EDATE(DATE(2026,5,1),1))</f>
        <v>46714</v>
      </c>
    </row>
    <row r="22" customFormat="false" ht="15" hidden="false" customHeight="true" outlineLevel="0" collapsed="false">
      <c r="A22" s="8" t="s">
        <v>61</v>
      </c>
      <c r="B22" s="24" t="n">
        <f aca="false">SUMIFS('Détail Revenus'!$E:$E,'Détail Revenus'!$F:$F,"Usine Algérie (Jade Création — sans marge)",'Détail Revenus'!$A:$A,"&gt;="&amp;DATE(2026,6,1),'Détail Revenus'!$A:$A,"&lt;"&amp;EDATE(DATE(2026,6,1),1))</f>
        <v>49675</v>
      </c>
    </row>
    <row r="23" customFormat="false" ht="15" hidden="false" customHeight="true" outlineLevel="0" collapsed="false">
      <c r="A23" s="8" t="s">
        <v>62</v>
      </c>
      <c r="B23" s="24" t="n">
        <f aca="false">SUMIFS('Détail Revenus'!$E:$E,'Détail Revenus'!$F:$F,"Usine Algérie (Jade Création — sans marge)",'Détail Revenus'!$A:$A,"&gt;="&amp;DATE(2026,7,1),'Détail Revenus'!$A:$A,"&lt;"&amp;EDATE(DATE(2026,7,1),1))</f>
        <v>0</v>
      </c>
    </row>
    <row r="26" customFormat="false" ht="15" hidden="false" customHeight="true" outlineLevel="0" collapsed="false">
      <c r="A26" s="21" t="s">
        <v>40</v>
      </c>
      <c r="B26" s="21"/>
      <c r="C26" s="22" t="n">
        <f aca="false">SUMIF('Détail Revenus'!$F:$F,"Al Muftah",'Détail Revenus'!$E:$E)</f>
        <v>71936.54</v>
      </c>
    </row>
    <row r="27" customFormat="false" ht="15" hidden="false" customHeight="true" outlineLevel="0" collapsed="false">
      <c r="A27" s="25" t="s">
        <v>63</v>
      </c>
      <c r="B27" s="25" t="s">
        <v>65</v>
      </c>
    </row>
    <row r="28" customFormat="false" ht="15" hidden="false" customHeight="true" outlineLevel="0" collapsed="false">
      <c r="A28" s="23" t="s">
        <v>54</v>
      </c>
      <c r="B28" s="23" t="s">
        <v>55</v>
      </c>
    </row>
    <row r="29" customFormat="false" ht="15" hidden="false" customHeight="true" outlineLevel="0" collapsed="false">
      <c r="A29" s="8" t="s">
        <v>56</v>
      </c>
      <c r="B29" s="24" t="n">
        <f aca="false">SUMIFS('Détail Revenus'!$E:$E,'Détail Revenus'!$F:$F,"Al Muftah",'Détail Revenus'!$A:$A,"&gt;="&amp;DATE(2026,1,1),'Détail Revenus'!$A:$A,"&lt;"&amp;EDATE(DATE(2026,1,1),1))</f>
        <v>21555.14</v>
      </c>
    </row>
    <row r="30" customFormat="false" ht="15" hidden="false" customHeight="true" outlineLevel="0" collapsed="false">
      <c r="A30" s="8" t="s">
        <v>57</v>
      </c>
      <c r="B30" s="24" t="n">
        <f aca="false">SUMIFS('Détail Revenus'!$E:$E,'Détail Revenus'!$F:$F,"Al Muftah",'Détail Revenus'!$A:$A,"&gt;="&amp;DATE(2026,2,1),'Détail Revenus'!$A:$A,"&lt;"&amp;EDATE(DATE(2026,2,1),1))</f>
        <v>0</v>
      </c>
    </row>
    <row r="31" customFormat="false" ht="15" hidden="false" customHeight="true" outlineLevel="0" collapsed="false">
      <c r="A31" s="8" t="s">
        <v>58</v>
      </c>
      <c r="B31" s="24" t="n">
        <f aca="false">SUMIFS('Détail Revenus'!$E:$E,'Détail Revenus'!$F:$F,"Al Muftah",'Détail Revenus'!$A:$A,"&gt;="&amp;DATE(2026,3,1),'Détail Revenus'!$A:$A,"&lt;"&amp;EDATE(DATE(2026,3,1),1))</f>
        <v>0</v>
      </c>
    </row>
    <row r="32" customFormat="false" ht="15" hidden="false" customHeight="true" outlineLevel="0" collapsed="false">
      <c r="A32" s="8" t="s">
        <v>59</v>
      </c>
      <c r="B32" s="24" t="n">
        <f aca="false">SUMIFS('Détail Revenus'!$E:$E,'Détail Revenus'!$F:$F,"Al Muftah",'Détail Revenus'!$A:$A,"&gt;="&amp;DATE(2026,4,1),'Détail Revenus'!$A:$A,"&lt;"&amp;EDATE(DATE(2026,4,1),1))</f>
        <v>25223</v>
      </c>
    </row>
    <row r="33" customFormat="false" ht="15" hidden="false" customHeight="true" outlineLevel="0" collapsed="false">
      <c r="A33" s="8" t="s">
        <v>60</v>
      </c>
      <c r="B33" s="24" t="n">
        <f aca="false">SUMIFS('Détail Revenus'!$E:$E,'Détail Revenus'!$F:$F,"Al Muftah",'Détail Revenus'!$A:$A,"&gt;="&amp;DATE(2026,5,1),'Détail Revenus'!$A:$A,"&lt;"&amp;EDATE(DATE(2026,5,1),1))</f>
        <v>0</v>
      </c>
    </row>
    <row r="34" customFormat="false" ht="15" hidden="false" customHeight="true" outlineLevel="0" collapsed="false">
      <c r="A34" s="8" t="s">
        <v>61</v>
      </c>
      <c r="B34" s="24" t="n">
        <f aca="false">SUMIFS('Détail Revenus'!$E:$E,'Détail Revenus'!$F:$F,"Al Muftah",'Détail Revenus'!$A:$A,"&gt;="&amp;DATE(2026,6,1),'Détail Revenus'!$A:$A,"&lt;"&amp;EDATE(DATE(2026,6,1),1))</f>
        <v>25158.4</v>
      </c>
    </row>
    <row r="35" customFormat="false" ht="15" hidden="false" customHeight="true" outlineLevel="0" collapsed="false">
      <c r="A35" s="8" t="s">
        <v>62</v>
      </c>
      <c r="B35" s="24" t="n">
        <f aca="false">SUMIFS('Détail Revenus'!$E:$E,'Détail Revenus'!$F:$F,"Al Muftah",'Détail Revenus'!$A:$A,"&gt;="&amp;DATE(2026,7,1),'Détail Revenus'!$A:$A,"&lt;"&amp;EDATE(DATE(2026,7,1),1))</f>
        <v>0</v>
      </c>
    </row>
    <row r="38" customFormat="false" ht="15" hidden="false" customHeight="true" outlineLevel="0" collapsed="false">
      <c r="A38" s="21" t="s">
        <v>41</v>
      </c>
      <c r="B38" s="21"/>
      <c r="C38" s="22" t="n">
        <f aca="false">SUMIF('Détail Revenus'!$F:$F,"Autres clients (probables, non confirmés)",'Détail Revenus'!$E:$E)</f>
        <v>0</v>
      </c>
    </row>
    <row r="39" customFormat="false" ht="15" hidden="false" customHeight="true" outlineLevel="0" collapsed="false">
      <c r="A39" s="25" t="s">
        <v>63</v>
      </c>
      <c r="B39" s="25" t="s">
        <v>66</v>
      </c>
    </row>
    <row r="40" customFormat="false" ht="15" hidden="false" customHeight="true" outlineLevel="0" collapsed="false">
      <c r="A40" s="23" t="s">
        <v>54</v>
      </c>
      <c r="B40" s="23" t="s">
        <v>55</v>
      </c>
    </row>
    <row r="41" customFormat="false" ht="15" hidden="false" customHeight="true" outlineLevel="0" collapsed="false">
      <c r="A41" s="8" t="s">
        <v>56</v>
      </c>
      <c r="B41" s="24" t="n">
        <f aca="false">SUMIFS('Détail Revenus'!$E:$E,'Détail Revenus'!$F:$F,"Autres clients (probables, non confirmés)",'Détail Revenus'!$A:$A,"&gt;="&amp;DATE(2026,1,1),'Détail Revenus'!$A:$A,"&lt;"&amp;EDATE(DATE(2026,1,1),1))</f>
        <v>0</v>
      </c>
    </row>
    <row r="42" customFormat="false" ht="15" hidden="false" customHeight="true" outlineLevel="0" collapsed="false">
      <c r="A42" s="8" t="s">
        <v>57</v>
      </c>
      <c r="B42" s="24" t="n">
        <f aca="false">SUMIFS('Détail Revenus'!$E:$E,'Détail Revenus'!$F:$F,"Autres clients (probables, non confirmés)",'Détail Revenus'!$A:$A,"&gt;="&amp;DATE(2026,2,1),'Détail Revenus'!$A:$A,"&lt;"&amp;EDATE(DATE(2026,2,1),1))</f>
        <v>0</v>
      </c>
    </row>
    <row r="43" customFormat="false" ht="15" hidden="false" customHeight="true" outlineLevel="0" collapsed="false">
      <c r="A43" s="8" t="s">
        <v>58</v>
      </c>
      <c r="B43" s="24" t="n">
        <f aca="false">SUMIFS('Détail Revenus'!$E:$E,'Détail Revenus'!$F:$F,"Autres clients (probables, non confirmés)",'Détail Revenus'!$A:$A,"&gt;="&amp;DATE(2026,3,1),'Détail Revenus'!$A:$A,"&lt;"&amp;EDATE(DATE(2026,3,1),1))</f>
        <v>0</v>
      </c>
    </row>
    <row r="44" customFormat="false" ht="15" hidden="false" customHeight="true" outlineLevel="0" collapsed="false">
      <c r="A44" s="8" t="s">
        <v>59</v>
      </c>
      <c r="B44" s="24" t="n">
        <f aca="false">SUMIFS('Détail Revenus'!$E:$E,'Détail Revenus'!$F:$F,"Autres clients (probables, non confirmés)",'Détail Revenus'!$A:$A,"&gt;="&amp;DATE(2026,4,1),'Détail Revenus'!$A:$A,"&lt;"&amp;EDATE(DATE(2026,4,1),1))</f>
        <v>0</v>
      </c>
    </row>
    <row r="45" customFormat="false" ht="15" hidden="false" customHeight="true" outlineLevel="0" collapsed="false">
      <c r="A45" s="8" t="s">
        <v>60</v>
      </c>
      <c r="B45" s="24" t="n">
        <f aca="false">SUMIFS('Détail Revenus'!$E:$E,'Détail Revenus'!$F:$F,"Autres clients (probables, non confirmés)",'Détail Revenus'!$A:$A,"&gt;="&amp;DATE(2026,5,1),'Détail Revenus'!$A:$A,"&lt;"&amp;EDATE(DATE(2026,5,1),1))</f>
        <v>0</v>
      </c>
    </row>
    <row r="46" customFormat="false" ht="15" hidden="false" customHeight="true" outlineLevel="0" collapsed="false">
      <c r="A46" s="8" t="s">
        <v>61</v>
      </c>
      <c r="B46" s="24" t="n">
        <f aca="false">SUMIFS('Détail Revenus'!$E:$E,'Détail Revenus'!$F:$F,"Autres clients (probables, non confirmés)",'Détail Revenus'!$A:$A,"&gt;="&amp;DATE(2026,6,1),'Détail Revenus'!$A:$A,"&lt;"&amp;EDATE(DATE(2026,6,1),1))</f>
        <v>0</v>
      </c>
    </row>
    <row r="47" customFormat="false" ht="15" hidden="false" customHeight="true" outlineLevel="0" collapsed="false">
      <c r="A47" s="8" t="s">
        <v>62</v>
      </c>
      <c r="B47" s="24" t="n">
        <f aca="false">SUMIFS('Détail Revenus'!$E:$E,'Détail Revenus'!$F:$F,"Autres clients (probables, non confirmés)",'Détail Revenus'!$A:$A,"&gt;="&amp;DATE(2026,7,1),'Détail Revenus'!$A:$A,"&lt;"&amp;EDATE(DATE(2026,7,1),1))</f>
        <v>0</v>
      </c>
    </row>
    <row r="50" customFormat="false" ht="15" hidden="false" customHeight="true" outlineLevel="0" collapsed="false">
      <c r="A50" s="21" t="s">
        <v>42</v>
      </c>
      <c r="B50" s="21"/>
      <c r="C50" s="22" t="n">
        <f aca="false">SUMIF('Détail Revenus'!$F:$F,"Encaissements non identifiés",'Détail Revenus'!$E:$E)</f>
        <v>0</v>
      </c>
    </row>
    <row r="51" customFormat="false" ht="15" hidden="false" customHeight="true" outlineLevel="0" collapsed="false">
      <c r="A51" s="25" t="s">
        <v>63</v>
      </c>
      <c r="B51" s="25" t="s">
        <v>67</v>
      </c>
    </row>
    <row r="52" customFormat="false" ht="15" hidden="false" customHeight="true" outlineLevel="0" collapsed="false">
      <c r="A52" s="23" t="s">
        <v>54</v>
      </c>
      <c r="B52" s="23" t="s">
        <v>55</v>
      </c>
    </row>
    <row r="53" customFormat="false" ht="15" hidden="false" customHeight="true" outlineLevel="0" collapsed="false">
      <c r="A53" s="8" t="s">
        <v>56</v>
      </c>
      <c r="B53" s="24" t="n">
        <f aca="false">SUMIFS('Détail Revenus'!$E:$E,'Détail Revenus'!$F:$F,"Encaissements non identifiés",'Détail Revenus'!$A:$A,"&gt;="&amp;DATE(2026,1,1),'Détail Revenus'!$A:$A,"&lt;"&amp;EDATE(DATE(2026,1,1),1))</f>
        <v>0</v>
      </c>
    </row>
    <row r="54" customFormat="false" ht="15" hidden="false" customHeight="true" outlineLevel="0" collapsed="false">
      <c r="A54" s="8" t="s">
        <v>57</v>
      </c>
      <c r="B54" s="24" t="n">
        <f aca="false">SUMIFS('Détail Revenus'!$E:$E,'Détail Revenus'!$F:$F,"Encaissements non identifiés",'Détail Revenus'!$A:$A,"&gt;="&amp;DATE(2026,2,1),'Détail Revenus'!$A:$A,"&lt;"&amp;EDATE(DATE(2026,2,1),1))</f>
        <v>0</v>
      </c>
    </row>
    <row r="55" customFormat="false" ht="15" hidden="false" customHeight="true" outlineLevel="0" collapsed="false">
      <c r="A55" s="8" t="s">
        <v>58</v>
      </c>
      <c r="B55" s="24" t="n">
        <f aca="false">SUMIFS('Détail Revenus'!$E:$E,'Détail Revenus'!$F:$F,"Encaissements non identifiés",'Détail Revenus'!$A:$A,"&gt;="&amp;DATE(2026,3,1),'Détail Revenus'!$A:$A,"&lt;"&amp;EDATE(DATE(2026,3,1),1))</f>
        <v>0</v>
      </c>
    </row>
    <row r="56" customFormat="false" ht="15" hidden="false" customHeight="true" outlineLevel="0" collapsed="false">
      <c r="A56" s="8" t="s">
        <v>59</v>
      </c>
      <c r="B56" s="24" t="n">
        <f aca="false">SUMIFS('Détail Revenus'!$E:$E,'Détail Revenus'!$F:$F,"Encaissements non identifiés",'Détail Revenus'!$A:$A,"&gt;="&amp;DATE(2026,4,1),'Détail Revenus'!$A:$A,"&lt;"&amp;EDATE(DATE(2026,4,1),1))</f>
        <v>0</v>
      </c>
    </row>
    <row r="57" customFormat="false" ht="15" hidden="false" customHeight="true" outlineLevel="0" collapsed="false">
      <c r="A57" s="8" t="s">
        <v>60</v>
      </c>
      <c r="B57" s="24" t="n">
        <f aca="false">SUMIFS('Détail Revenus'!$E:$E,'Détail Revenus'!$F:$F,"Encaissements non identifiés",'Détail Revenus'!$A:$A,"&gt;="&amp;DATE(2026,5,1),'Détail Revenus'!$A:$A,"&lt;"&amp;EDATE(DATE(2026,5,1),1))</f>
        <v>0</v>
      </c>
    </row>
    <row r="58" customFormat="false" ht="15" hidden="false" customHeight="true" outlineLevel="0" collapsed="false">
      <c r="A58" s="8" t="s">
        <v>61</v>
      </c>
      <c r="B58" s="24" t="n">
        <f aca="false">SUMIFS('Détail Revenus'!$E:$E,'Détail Revenus'!$F:$F,"Encaissements non identifiés",'Détail Revenus'!$A:$A,"&gt;="&amp;DATE(2026,6,1),'Détail Revenus'!$A:$A,"&lt;"&amp;EDATE(DATE(2026,6,1),1))</f>
        <v>0</v>
      </c>
    </row>
    <row r="59" customFormat="false" ht="15" hidden="false" customHeight="true" outlineLevel="0" collapsed="false">
      <c r="A59" s="8" t="s">
        <v>62</v>
      </c>
      <c r="B59" s="24" t="n">
        <f aca="false">SUMIFS('Détail Revenus'!$E:$E,'Détail Revenus'!$F:$F,"Encaissements non identifiés",'Détail Revenus'!$A:$A,"&gt;="&amp;DATE(2026,7,1),'Détail Revenus'!$A:$A,"&lt;"&amp;EDATE(DATE(2026,7,1),1))</f>
        <v>0</v>
      </c>
    </row>
    <row r="62" customFormat="false" ht="15" hidden="false" customHeight="true" outlineLevel="0" collapsed="false">
      <c r="A62" s="21" t="s">
        <v>43</v>
      </c>
      <c r="B62" s="21"/>
      <c r="C62" s="22" t="n">
        <f aca="false">SUMIF('Détail Revenus'!$F:$F,"Arzum Group Mmc",'Détail Revenus'!$E:$E)</f>
        <v>10142</v>
      </c>
    </row>
    <row r="63" customFormat="false" ht="15" hidden="false" customHeight="true" outlineLevel="0" collapsed="false">
      <c r="A63" s="23" t="s">
        <v>54</v>
      </c>
      <c r="B63" s="23" t="s">
        <v>55</v>
      </c>
    </row>
    <row r="64" customFormat="false" ht="15" hidden="false" customHeight="true" outlineLevel="0" collapsed="false">
      <c r="A64" s="8" t="s">
        <v>56</v>
      </c>
      <c r="B64" s="24" t="n">
        <f aca="false">SUMIFS('Détail Revenus'!$E:$E,'Détail Revenus'!$F:$F,"Arzum Group Mmc",'Détail Revenus'!$A:$A,"&gt;="&amp;DATE(2026,1,1),'Détail Revenus'!$A:$A,"&lt;"&amp;EDATE(DATE(2026,1,1),1))</f>
        <v>0</v>
      </c>
    </row>
    <row r="65" customFormat="false" ht="15" hidden="false" customHeight="true" outlineLevel="0" collapsed="false">
      <c r="A65" s="8" t="s">
        <v>57</v>
      </c>
      <c r="B65" s="24" t="n">
        <f aca="false">SUMIFS('Détail Revenus'!$E:$E,'Détail Revenus'!$F:$F,"Arzum Group Mmc",'Détail Revenus'!$A:$A,"&gt;="&amp;DATE(2026,2,1),'Détail Revenus'!$A:$A,"&lt;"&amp;EDATE(DATE(2026,2,1),1))</f>
        <v>0</v>
      </c>
    </row>
    <row r="66" customFormat="false" ht="15" hidden="false" customHeight="true" outlineLevel="0" collapsed="false">
      <c r="A66" s="8" t="s">
        <v>58</v>
      </c>
      <c r="B66" s="24" t="n">
        <f aca="false">SUMIFS('Détail Revenus'!$E:$E,'Détail Revenus'!$F:$F,"Arzum Group Mmc",'Détail Revenus'!$A:$A,"&gt;="&amp;DATE(2026,3,1),'Détail Revenus'!$A:$A,"&lt;"&amp;EDATE(DATE(2026,3,1),1))</f>
        <v>0</v>
      </c>
    </row>
    <row r="67" customFormat="false" ht="15" hidden="false" customHeight="true" outlineLevel="0" collapsed="false">
      <c r="A67" s="8" t="s">
        <v>59</v>
      </c>
      <c r="B67" s="24" t="n">
        <f aca="false">SUMIFS('Détail Revenus'!$E:$E,'Détail Revenus'!$F:$F,"Arzum Group Mmc",'Détail Revenus'!$A:$A,"&gt;="&amp;DATE(2026,4,1),'Détail Revenus'!$A:$A,"&lt;"&amp;EDATE(DATE(2026,4,1),1))</f>
        <v>0</v>
      </c>
    </row>
    <row r="68" customFormat="false" ht="15" hidden="false" customHeight="true" outlineLevel="0" collapsed="false">
      <c r="A68" s="8" t="s">
        <v>60</v>
      </c>
      <c r="B68" s="24" t="n">
        <f aca="false">SUMIFS('Détail Revenus'!$E:$E,'Détail Revenus'!$F:$F,"Arzum Group Mmc",'Détail Revenus'!$A:$A,"&gt;="&amp;DATE(2026,5,1),'Détail Revenus'!$A:$A,"&lt;"&amp;EDATE(DATE(2026,5,1),1))</f>
        <v>0</v>
      </c>
    </row>
    <row r="69" customFormat="false" ht="15" hidden="false" customHeight="true" outlineLevel="0" collapsed="false">
      <c r="A69" s="8" t="s">
        <v>61</v>
      </c>
      <c r="B69" s="24" t="n">
        <f aca="false">SUMIFS('Détail Revenus'!$E:$E,'Détail Revenus'!$F:$F,"Arzum Group Mmc",'Détail Revenus'!$A:$A,"&gt;="&amp;DATE(2026,6,1),'Détail Revenus'!$A:$A,"&lt;"&amp;EDATE(DATE(2026,6,1),1))</f>
        <v>0</v>
      </c>
    </row>
    <row r="70" customFormat="false" ht="15" hidden="false" customHeight="true" outlineLevel="0" collapsed="false">
      <c r="A70" s="8" t="s">
        <v>62</v>
      </c>
      <c r="B70" s="24" t="n">
        <f aca="false">SUMIFS('Détail Revenus'!$E:$E,'Détail Revenus'!$F:$F,"Arzum Group Mmc",'Détail Revenus'!$A:$A,"&gt;="&amp;DATE(2026,7,1),'Détail Revenus'!$A:$A,"&lt;"&amp;EDATE(DATE(2026,7,1),1))</f>
        <v>10142</v>
      </c>
    </row>
    <row r="73" customFormat="false" ht="15" hidden="false" customHeight="true" outlineLevel="0" collapsed="false">
      <c r="A73" s="21" t="s">
        <v>44</v>
      </c>
      <c r="B73" s="21"/>
      <c r="C73" s="22" t="n">
        <f aca="false">SUMIF('Détail Revenus'!$F:$F,"Passion Parfum",'Détail Revenus'!$E:$E)</f>
        <v>37140</v>
      </c>
    </row>
    <row r="74" customFormat="false" ht="15" hidden="false" customHeight="true" outlineLevel="0" collapsed="false">
      <c r="A74" s="23" t="s">
        <v>54</v>
      </c>
      <c r="B74" s="23" t="s">
        <v>55</v>
      </c>
    </row>
    <row r="75" customFormat="false" ht="15" hidden="false" customHeight="true" outlineLevel="0" collapsed="false">
      <c r="A75" s="8" t="s">
        <v>56</v>
      </c>
      <c r="B75" s="24" t="n">
        <f aca="false">SUMIFS('Détail Revenus'!$E:$E,'Détail Revenus'!$F:$F,"Passion Parfum",'Détail Revenus'!$A:$A,"&gt;="&amp;DATE(2026,1,1),'Détail Revenus'!$A:$A,"&lt;"&amp;EDATE(DATE(2026,1,1),1))</f>
        <v>0</v>
      </c>
    </row>
    <row r="76" customFormat="false" ht="15" hidden="false" customHeight="true" outlineLevel="0" collapsed="false">
      <c r="A76" s="8" t="s">
        <v>57</v>
      </c>
      <c r="B76" s="24" t="n">
        <f aca="false">SUMIFS('Détail Revenus'!$E:$E,'Détail Revenus'!$F:$F,"Passion Parfum",'Détail Revenus'!$A:$A,"&gt;="&amp;DATE(2026,2,1),'Détail Revenus'!$A:$A,"&lt;"&amp;EDATE(DATE(2026,2,1),1))</f>
        <v>0</v>
      </c>
    </row>
    <row r="77" customFormat="false" ht="15" hidden="false" customHeight="true" outlineLevel="0" collapsed="false">
      <c r="A77" s="8" t="s">
        <v>58</v>
      </c>
      <c r="B77" s="24" t="n">
        <f aca="false">SUMIFS('Détail Revenus'!$E:$E,'Détail Revenus'!$F:$F,"Passion Parfum",'Détail Revenus'!$A:$A,"&gt;="&amp;DATE(2026,3,1),'Détail Revenus'!$A:$A,"&lt;"&amp;EDATE(DATE(2026,3,1),1))</f>
        <v>0</v>
      </c>
    </row>
    <row r="78" customFormat="false" ht="15" hidden="false" customHeight="true" outlineLevel="0" collapsed="false">
      <c r="A78" s="8" t="s">
        <v>59</v>
      </c>
      <c r="B78" s="24" t="n">
        <f aca="false">SUMIFS('Détail Revenus'!$E:$E,'Détail Revenus'!$F:$F,"Passion Parfum",'Détail Revenus'!$A:$A,"&gt;="&amp;DATE(2026,4,1),'Détail Revenus'!$A:$A,"&lt;"&amp;EDATE(DATE(2026,4,1),1))</f>
        <v>8420</v>
      </c>
    </row>
    <row r="79" customFormat="false" ht="15" hidden="false" customHeight="true" outlineLevel="0" collapsed="false">
      <c r="A79" s="8" t="s">
        <v>60</v>
      </c>
      <c r="B79" s="24" t="n">
        <f aca="false">SUMIFS('Détail Revenus'!$E:$E,'Détail Revenus'!$F:$F,"Passion Parfum",'Détail Revenus'!$A:$A,"&gt;="&amp;DATE(2026,5,1),'Détail Revenus'!$A:$A,"&lt;"&amp;EDATE(DATE(2026,5,1),1))</f>
        <v>23720</v>
      </c>
    </row>
    <row r="80" customFormat="false" ht="15" hidden="false" customHeight="true" outlineLevel="0" collapsed="false">
      <c r="A80" s="8" t="s">
        <v>61</v>
      </c>
      <c r="B80" s="24" t="n">
        <f aca="false">SUMIFS('Détail Revenus'!$E:$E,'Détail Revenus'!$F:$F,"Passion Parfum",'Détail Revenus'!$A:$A,"&gt;="&amp;DATE(2026,6,1),'Détail Revenus'!$A:$A,"&lt;"&amp;EDATE(DATE(2026,6,1),1))</f>
        <v>5000</v>
      </c>
    </row>
    <row r="81" customFormat="false" ht="15" hidden="false" customHeight="true" outlineLevel="0" collapsed="false">
      <c r="A81" s="8" t="s">
        <v>62</v>
      </c>
      <c r="B81" s="24" t="n">
        <f aca="false">SUMIFS('Détail Revenus'!$E:$E,'Détail Revenus'!$F:$F,"Passion Parfum",'Détail Revenus'!$A:$A,"&gt;="&amp;DATE(2026,7,1),'Détail Revenus'!$A:$A,"&lt;"&amp;EDATE(DATE(2026,7,1),1))</f>
        <v>0</v>
      </c>
    </row>
    <row r="84" customFormat="false" ht="15" hidden="false" customHeight="true" outlineLevel="0" collapsed="false">
      <c r="A84" s="21" t="s">
        <v>45</v>
      </c>
      <c r="B84" s="21"/>
      <c r="C84" s="22" t="n">
        <f aca="false">SUMIF('Détail Revenus'!$F:$F,"Mb Tressoria",'Détail Revenus'!$E:$E)</f>
        <v>13067</v>
      </c>
    </row>
    <row r="85" customFormat="false" ht="15" hidden="false" customHeight="true" outlineLevel="0" collapsed="false">
      <c r="A85" s="23" t="s">
        <v>54</v>
      </c>
      <c r="B85" s="23" t="s">
        <v>55</v>
      </c>
    </row>
    <row r="86" customFormat="false" ht="15" hidden="false" customHeight="true" outlineLevel="0" collapsed="false">
      <c r="A86" s="8" t="s">
        <v>56</v>
      </c>
      <c r="B86" s="24" t="n">
        <f aca="false">SUMIFS('Détail Revenus'!$E:$E,'Détail Revenus'!$F:$F,"Mb Tressoria",'Détail Revenus'!$A:$A,"&gt;="&amp;DATE(2026,1,1),'Détail Revenus'!$A:$A,"&lt;"&amp;EDATE(DATE(2026,1,1),1))</f>
        <v>6186</v>
      </c>
    </row>
    <row r="87" customFormat="false" ht="15" hidden="false" customHeight="true" outlineLevel="0" collapsed="false">
      <c r="A87" s="8" t="s">
        <v>57</v>
      </c>
      <c r="B87" s="24" t="n">
        <f aca="false">SUMIFS('Détail Revenus'!$E:$E,'Détail Revenus'!$F:$F,"Mb Tressoria",'Détail Revenus'!$A:$A,"&gt;="&amp;DATE(2026,2,1),'Détail Revenus'!$A:$A,"&lt;"&amp;EDATE(DATE(2026,2,1),1))</f>
        <v>0</v>
      </c>
    </row>
    <row r="88" customFormat="false" ht="15" hidden="false" customHeight="true" outlineLevel="0" collapsed="false">
      <c r="A88" s="8" t="s">
        <v>58</v>
      </c>
      <c r="B88" s="24" t="n">
        <f aca="false">SUMIFS('Détail Revenus'!$E:$E,'Détail Revenus'!$F:$F,"Mb Tressoria",'Détail Revenus'!$A:$A,"&gt;="&amp;DATE(2026,3,1),'Détail Revenus'!$A:$A,"&lt;"&amp;EDATE(DATE(2026,3,1),1))</f>
        <v>0</v>
      </c>
    </row>
    <row r="89" customFormat="false" ht="15" hidden="false" customHeight="true" outlineLevel="0" collapsed="false">
      <c r="A89" s="8" t="s">
        <v>59</v>
      </c>
      <c r="B89" s="24" t="n">
        <f aca="false">SUMIFS('Détail Revenus'!$E:$E,'Détail Revenus'!$F:$F,"Mb Tressoria",'Détail Revenus'!$A:$A,"&gt;="&amp;DATE(2026,4,1),'Détail Revenus'!$A:$A,"&lt;"&amp;EDATE(DATE(2026,4,1),1))</f>
        <v>4786</v>
      </c>
    </row>
    <row r="90" customFormat="false" ht="15" hidden="false" customHeight="true" outlineLevel="0" collapsed="false">
      <c r="A90" s="8" t="s">
        <v>60</v>
      </c>
      <c r="B90" s="24" t="n">
        <f aca="false">SUMIFS('Détail Revenus'!$E:$E,'Détail Revenus'!$F:$F,"Mb Tressoria",'Détail Revenus'!$A:$A,"&gt;="&amp;DATE(2026,5,1),'Détail Revenus'!$A:$A,"&lt;"&amp;EDATE(DATE(2026,5,1),1))</f>
        <v>2095</v>
      </c>
    </row>
    <row r="91" customFormat="false" ht="15" hidden="false" customHeight="true" outlineLevel="0" collapsed="false">
      <c r="A91" s="8" t="s">
        <v>61</v>
      </c>
      <c r="B91" s="24" t="n">
        <f aca="false">SUMIFS('Détail Revenus'!$E:$E,'Détail Revenus'!$F:$F,"Mb Tressoria",'Détail Revenus'!$A:$A,"&gt;="&amp;DATE(2026,6,1),'Détail Revenus'!$A:$A,"&lt;"&amp;EDATE(DATE(2026,6,1),1))</f>
        <v>0</v>
      </c>
    </row>
    <row r="92" customFormat="false" ht="15" hidden="false" customHeight="true" outlineLevel="0" collapsed="false">
      <c r="A92" s="8" t="s">
        <v>62</v>
      </c>
      <c r="B92" s="24" t="n">
        <f aca="false">SUMIFS('Détail Revenus'!$E:$E,'Détail Revenus'!$F:$F,"Mb Tressoria",'Détail Revenus'!$A:$A,"&gt;="&amp;DATE(2026,7,1),'Détail Revenus'!$A:$A,"&lt;"&amp;EDATE(DATE(2026,7,1),1))</f>
        <v>0</v>
      </c>
    </row>
    <row r="95" customFormat="false" ht="15" hidden="false" customHeight="true" outlineLevel="0" collapsed="false">
      <c r="A95" s="21" t="s">
        <v>46</v>
      </c>
      <c r="B95" s="21"/>
      <c r="C95" s="22" t="n">
        <f aca="false">SUMIF('Détail Revenus'!$F:$F,"Stf Perfumeria",'Détail Revenus'!$E:$E)</f>
        <v>2777</v>
      </c>
    </row>
    <row r="96" customFormat="false" ht="15" hidden="false" customHeight="true" outlineLevel="0" collapsed="false">
      <c r="A96" s="23" t="s">
        <v>54</v>
      </c>
      <c r="B96" s="23" t="s">
        <v>55</v>
      </c>
    </row>
    <row r="97" customFormat="false" ht="15" hidden="false" customHeight="true" outlineLevel="0" collapsed="false">
      <c r="A97" s="8" t="s">
        <v>56</v>
      </c>
      <c r="B97" s="24" t="n">
        <f aca="false">SUMIFS('Détail Revenus'!$E:$E,'Détail Revenus'!$F:$F,"Stf Perfumeria",'Détail Revenus'!$A:$A,"&gt;="&amp;DATE(2026,1,1),'Détail Revenus'!$A:$A,"&lt;"&amp;EDATE(DATE(2026,1,1),1))</f>
        <v>0</v>
      </c>
    </row>
    <row r="98" customFormat="false" ht="15" hidden="false" customHeight="true" outlineLevel="0" collapsed="false">
      <c r="A98" s="8" t="s">
        <v>57</v>
      </c>
      <c r="B98" s="24" t="n">
        <f aca="false">SUMIFS('Détail Revenus'!$E:$E,'Détail Revenus'!$F:$F,"Stf Perfumeria",'Détail Revenus'!$A:$A,"&gt;="&amp;DATE(2026,2,1),'Détail Revenus'!$A:$A,"&lt;"&amp;EDATE(DATE(2026,2,1),1))</f>
        <v>0</v>
      </c>
    </row>
    <row r="99" customFormat="false" ht="15" hidden="false" customHeight="true" outlineLevel="0" collapsed="false">
      <c r="A99" s="8" t="s">
        <v>58</v>
      </c>
      <c r="B99" s="24" t="n">
        <f aca="false">SUMIFS('Détail Revenus'!$E:$E,'Détail Revenus'!$F:$F,"Stf Perfumeria",'Détail Revenus'!$A:$A,"&gt;="&amp;DATE(2026,3,1),'Détail Revenus'!$A:$A,"&lt;"&amp;EDATE(DATE(2026,3,1),1))</f>
        <v>1048</v>
      </c>
    </row>
    <row r="100" customFormat="false" ht="15" hidden="false" customHeight="true" outlineLevel="0" collapsed="false">
      <c r="A100" s="8" t="s">
        <v>59</v>
      </c>
      <c r="B100" s="24" t="n">
        <f aca="false">SUMIFS('Détail Revenus'!$E:$E,'Détail Revenus'!$F:$F,"Stf Perfumeria",'Détail Revenus'!$A:$A,"&gt;="&amp;DATE(2026,4,1),'Détail Revenus'!$A:$A,"&lt;"&amp;EDATE(DATE(2026,4,1),1))</f>
        <v>1729</v>
      </c>
    </row>
    <row r="101" customFormat="false" ht="15" hidden="false" customHeight="true" outlineLevel="0" collapsed="false">
      <c r="A101" s="8" t="s">
        <v>60</v>
      </c>
      <c r="B101" s="24" t="n">
        <f aca="false">SUMIFS('Détail Revenus'!$E:$E,'Détail Revenus'!$F:$F,"Stf Perfumeria",'Détail Revenus'!$A:$A,"&gt;="&amp;DATE(2026,5,1),'Détail Revenus'!$A:$A,"&lt;"&amp;EDATE(DATE(2026,5,1),1))</f>
        <v>0</v>
      </c>
    </row>
    <row r="102" customFormat="false" ht="15" hidden="false" customHeight="true" outlineLevel="0" collapsed="false">
      <c r="A102" s="8" t="s">
        <v>61</v>
      </c>
      <c r="B102" s="24" t="n">
        <f aca="false">SUMIFS('Détail Revenus'!$E:$E,'Détail Revenus'!$F:$F,"Stf Perfumeria",'Détail Revenus'!$A:$A,"&gt;="&amp;DATE(2026,6,1),'Détail Revenus'!$A:$A,"&lt;"&amp;EDATE(DATE(2026,6,1),1))</f>
        <v>0</v>
      </c>
    </row>
    <row r="103" customFormat="false" ht="15" hidden="false" customHeight="true" outlineLevel="0" collapsed="false">
      <c r="A103" s="8" t="s">
        <v>62</v>
      </c>
      <c r="B103" s="24" t="n">
        <f aca="false">SUMIFS('Détail Revenus'!$E:$E,'Détail Revenus'!$F:$F,"Stf Perfumeria",'Détail Revenus'!$A:$A,"&gt;="&amp;DATE(2026,7,1),'Détail Revenus'!$A:$A,"&lt;"&amp;EDATE(DATE(2026,7,1),1))</f>
        <v>0</v>
      </c>
    </row>
    <row r="106" customFormat="false" ht="15" hidden="false" customHeight="true" outlineLevel="0" collapsed="false">
      <c r="A106" s="21" t="s">
        <v>47</v>
      </c>
      <c r="B106" s="21"/>
      <c r="C106" s="22" t="n">
        <f aca="false">SUMIF('Détail Revenus'!$F:$F,"Alfa Group Srls",'Détail Revenus'!$E:$E)</f>
        <v>2394</v>
      </c>
    </row>
    <row r="107" customFormat="false" ht="15" hidden="false" customHeight="true" outlineLevel="0" collapsed="false">
      <c r="A107" s="23" t="s">
        <v>54</v>
      </c>
      <c r="B107" s="23" t="s">
        <v>55</v>
      </c>
    </row>
    <row r="108" customFormat="false" ht="15" hidden="false" customHeight="true" outlineLevel="0" collapsed="false">
      <c r="A108" s="8" t="s">
        <v>56</v>
      </c>
      <c r="B108" s="24" t="n">
        <f aca="false">SUMIFS('Détail Revenus'!$E:$E,'Détail Revenus'!$F:$F,"Alfa Group Srls",'Détail Revenus'!$A:$A,"&gt;="&amp;DATE(2026,1,1),'Détail Revenus'!$A:$A,"&lt;"&amp;EDATE(DATE(2026,1,1),1))</f>
        <v>0</v>
      </c>
    </row>
    <row r="109" customFormat="false" ht="15" hidden="false" customHeight="true" outlineLevel="0" collapsed="false">
      <c r="A109" s="8" t="s">
        <v>57</v>
      </c>
      <c r="B109" s="24" t="n">
        <f aca="false">SUMIFS('Détail Revenus'!$E:$E,'Détail Revenus'!$F:$F,"Alfa Group Srls",'Détail Revenus'!$A:$A,"&gt;="&amp;DATE(2026,2,1),'Détail Revenus'!$A:$A,"&lt;"&amp;EDATE(DATE(2026,2,1),1))</f>
        <v>2394</v>
      </c>
    </row>
    <row r="110" customFormat="false" ht="15" hidden="false" customHeight="true" outlineLevel="0" collapsed="false">
      <c r="A110" s="8" t="s">
        <v>58</v>
      </c>
      <c r="B110" s="24" t="n">
        <f aca="false">SUMIFS('Détail Revenus'!$E:$E,'Détail Revenus'!$F:$F,"Alfa Group Srls",'Détail Revenus'!$A:$A,"&gt;="&amp;DATE(2026,3,1),'Détail Revenus'!$A:$A,"&lt;"&amp;EDATE(DATE(2026,3,1),1))</f>
        <v>0</v>
      </c>
    </row>
    <row r="111" customFormat="false" ht="15" hidden="false" customHeight="true" outlineLevel="0" collapsed="false">
      <c r="A111" s="8" t="s">
        <v>59</v>
      </c>
      <c r="B111" s="24" t="n">
        <f aca="false">SUMIFS('Détail Revenus'!$E:$E,'Détail Revenus'!$F:$F,"Alfa Group Srls",'Détail Revenus'!$A:$A,"&gt;="&amp;DATE(2026,4,1),'Détail Revenus'!$A:$A,"&lt;"&amp;EDATE(DATE(2026,4,1),1))</f>
        <v>0</v>
      </c>
    </row>
    <row r="112" customFormat="false" ht="15" hidden="false" customHeight="true" outlineLevel="0" collapsed="false">
      <c r="A112" s="8" t="s">
        <v>60</v>
      </c>
      <c r="B112" s="24" t="n">
        <f aca="false">SUMIFS('Détail Revenus'!$E:$E,'Détail Revenus'!$F:$F,"Alfa Group Srls",'Détail Revenus'!$A:$A,"&gt;="&amp;DATE(2026,5,1),'Détail Revenus'!$A:$A,"&lt;"&amp;EDATE(DATE(2026,5,1),1))</f>
        <v>0</v>
      </c>
    </row>
    <row r="113" customFormat="false" ht="15" hidden="false" customHeight="true" outlineLevel="0" collapsed="false">
      <c r="A113" s="8" t="s">
        <v>61</v>
      </c>
      <c r="B113" s="24" t="n">
        <f aca="false">SUMIFS('Détail Revenus'!$E:$E,'Détail Revenus'!$F:$F,"Alfa Group Srls",'Détail Revenus'!$A:$A,"&gt;="&amp;DATE(2026,6,1),'Détail Revenus'!$A:$A,"&lt;"&amp;EDATE(DATE(2026,6,1),1))</f>
        <v>0</v>
      </c>
    </row>
    <row r="114" customFormat="false" ht="15" hidden="false" customHeight="true" outlineLevel="0" collapsed="false">
      <c r="A114" s="8" t="s">
        <v>62</v>
      </c>
      <c r="B114" s="24" t="n">
        <f aca="false">SUMIFS('Détail Revenus'!$E:$E,'Détail Revenus'!$F:$F,"Alfa Group Srls",'Détail Revenus'!$A:$A,"&gt;="&amp;DATE(2026,7,1),'Détail Revenus'!$A:$A,"&lt;"&amp;EDATE(DATE(2026,7,1),1))</f>
        <v>0</v>
      </c>
    </row>
    <row r="117" customFormat="false" ht="15" hidden="false" customHeight="true" outlineLevel="0" collapsed="false">
      <c r="A117" s="21" t="s">
        <v>48</v>
      </c>
      <c r="B117" s="21"/>
      <c r="C117" s="22" t="n">
        <f aca="false">SUMIF('Détail Revenus'!$F:$F,"Ventes en ligne (boutique Shopify)",'Détail Revenus'!$E:$E)</f>
        <v>1638.75</v>
      </c>
    </row>
    <row r="118" customFormat="false" ht="15" hidden="false" customHeight="true" outlineLevel="0" collapsed="false">
      <c r="A118" s="23" t="s">
        <v>54</v>
      </c>
      <c r="B118" s="23" t="s">
        <v>55</v>
      </c>
    </row>
    <row r="119" customFormat="false" ht="15" hidden="false" customHeight="true" outlineLevel="0" collapsed="false">
      <c r="A119" s="8" t="s">
        <v>56</v>
      </c>
      <c r="B119" s="24" t="n">
        <f aca="false">SUMIFS('Détail Revenus'!$E:$E,'Détail Revenus'!$F:$F,"Ventes en ligne (boutique Shopify)",'Détail Revenus'!$A:$A,"&gt;="&amp;DATE(2026,1,1),'Détail Revenus'!$A:$A,"&lt;"&amp;EDATE(DATE(2026,1,1),1))</f>
        <v>387.17</v>
      </c>
    </row>
    <row r="120" customFormat="false" ht="15" hidden="false" customHeight="true" outlineLevel="0" collapsed="false">
      <c r="A120" s="8" t="s">
        <v>57</v>
      </c>
      <c r="B120" s="24" t="n">
        <f aca="false">SUMIFS('Détail Revenus'!$E:$E,'Détail Revenus'!$F:$F,"Ventes en ligne (boutique Shopify)",'Détail Revenus'!$A:$A,"&gt;="&amp;DATE(2026,2,1),'Détail Revenus'!$A:$A,"&lt;"&amp;EDATE(DATE(2026,2,1),1))</f>
        <v>137.38</v>
      </c>
    </row>
    <row r="121" customFormat="false" ht="15" hidden="false" customHeight="true" outlineLevel="0" collapsed="false">
      <c r="A121" s="8" t="s">
        <v>58</v>
      </c>
      <c r="B121" s="24" t="n">
        <f aca="false">SUMIFS('Détail Revenus'!$E:$E,'Détail Revenus'!$F:$F,"Ventes en ligne (boutique Shopify)",'Détail Revenus'!$A:$A,"&gt;="&amp;DATE(2026,3,1),'Détail Revenus'!$A:$A,"&lt;"&amp;EDATE(DATE(2026,3,1),1))</f>
        <v>176.43</v>
      </c>
    </row>
    <row r="122" customFormat="false" ht="15" hidden="false" customHeight="true" outlineLevel="0" collapsed="false">
      <c r="A122" s="8" t="s">
        <v>59</v>
      </c>
      <c r="B122" s="24" t="n">
        <f aca="false">SUMIFS('Détail Revenus'!$E:$E,'Détail Revenus'!$F:$F,"Ventes en ligne (boutique Shopify)",'Détail Revenus'!$A:$A,"&gt;="&amp;DATE(2026,4,1),'Détail Revenus'!$A:$A,"&lt;"&amp;EDATE(DATE(2026,4,1),1))</f>
        <v>313.01</v>
      </c>
    </row>
    <row r="123" customFormat="false" ht="15" hidden="false" customHeight="true" outlineLevel="0" collapsed="false">
      <c r="A123" s="8" t="s">
        <v>60</v>
      </c>
      <c r="B123" s="24" t="n">
        <f aca="false">SUMIFS('Détail Revenus'!$E:$E,'Détail Revenus'!$F:$F,"Ventes en ligne (boutique Shopify)",'Détail Revenus'!$A:$A,"&gt;="&amp;DATE(2026,5,1),'Détail Revenus'!$A:$A,"&lt;"&amp;EDATE(DATE(2026,5,1),1))</f>
        <v>175.23</v>
      </c>
    </row>
    <row r="124" customFormat="false" ht="15" hidden="false" customHeight="true" outlineLevel="0" collapsed="false">
      <c r="A124" s="8" t="s">
        <v>61</v>
      </c>
      <c r="B124" s="24" t="n">
        <f aca="false">SUMIFS('Détail Revenus'!$E:$E,'Détail Revenus'!$F:$F,"Ventes en ligne (boutique Shopify)",'Détail Revenus'!$A:$A,"&gt;="&amp;DATE(2026,6,1),'Détail Revenus'!$A:$A,"&lt;"&amp;EDATE(DATE(2026,6,1),1))</f>
        <v>196</v>
      </c>
    </row>
    <row r="125" customFormat="false" ht="15" hidden="false" customHeight="true" outlineLevel="0" collapsed="false">
      <c r="A125" s="8" t="s">
        <v>62</v>
      </c>
      <c r="B125" s="24" t="n">
        <f aca="false">SUMIFS('Détail Revenus'!$E:$E,'Détail Revenus'!$F:$F,"Ventes en ligne (boutique Shopify)",'Détail Revenus'!$A:$A,"&gt;="&amp;DATE(2026,7,1),'Détail Revenus'!$A:$A,"&lt;"&amp;EDATE(DATE(2026,7,1),1))</f>
        <v>253.53</v>
      </c>
    </row>
    <row r="128" customFormat="false" ht="15" hidden="false" customHeight="true" outlineLevel="0" collapsed="false">
      <c r="A128" s="21" t="s">
        <v>49</v>
      </c>
      <c r="B128" s="21"/>
      <c r="C128" s="22" t="n">
        <f aca="false">SUMIF('Détail Revenus'!$F:$F,"Firm Rheds",'Détail Revenus'!$E:$E)</f>
        <v>624</v>
      </c>
    </row>
    <row r="129" customFormat="false" ht="15" hidden="false" customHeight="true" outlineLevel="0" collapsed="false">
      <c r="A129" s="23" t="s">
        <v>54</v>
      </c>
      <c r="B129" s="23" t="s">
        <v>55</v>
      </c>
    </row>
    <row r="130" customFormat="false" ht="15" hidden="false" customHeight="true" outlineLevel="0" collapsed="false">
      <c r="A130" s="8" t="s">
        <v>56</v>
      </c>
      <c r="B130" s="24" t="n">
        <f aca="false">SUMIFS('Détail Revenus'!$E:$E,'Détail Revenus'!$F:$F,"Firm Rheds",'Détail Revenus'!$A:$A,"&gt;="&amp;DATE(2026,1,1),'Détail Revenus'!$A:$A,"&lt;"&amp;EDATE(DATE(2026,1,1),1))</f>
        <v>0</v>
      </c>
    </row>
    <row r="131" customFormat="false" ht="15" hidden="false" customHeight="true" outlineLevel="0" collapsed="false">
      <c r="A131" s="8" t="s">
        <v>57</v>
      </c>
      <c r="B131" s="24" t="n">
        <f aca="false">SUMIFS('Détail Revenus'!$E:$E,'Détail Revenus'!$F:$F,"Firm Rheds",'Détail Revenus'!$A:$A,"&gt;="&amp;DATE(2026,2,1),'Détail Revenus'!$A:$A,"&lt;"&amp;EDATE(DATE(2026,2,1),1))</f>
        <v>0</v>
      </c>
    </row>
    <row r="132" customFormat="false" ht="15" hidden="false" customHeight="true" outlineLevel="0" collapsed="false">
      <c r="A132" s="8" t="s">
        <v>58</v>
      </c>
      <c r="B132" s="24" t="n">
        <f aca="false">SUMIFS('Détail Revenus'!$E:$E,'Détail Revenus'!$F:$F,"Firm Rheds",'Détail Revenus'!$A:$A,"&gt;="&amp;DATE(2026,3,1),'Détail Revenus'!$A:$A,"&lt;"&amp;EDATE(DATE(2026,3,1),1))</f>
        <v>0</v>
      </c>
    </row>
    <row r="133" customFormat="false" ht="15" hidden="false" customHeight="true" outlineLevel="0" collapsed="false">
      <c r="A133" s="8" t="s">
        <v>59</v>
      </c>
      <c r="B133" s="24" t="n">
        <f aca="false">SUMIFS('Détail Revenus'!$E:$E,'Détail Revenus'!$F:$F,"Firm Rheds",'Détail Revenus'!$A:$A,"&gt;="&amp;DATE(2026,4,1),'Détail Revenus'!$A:$A,"&lt;"&amp;EDATE(DATE(2026,4,1),1))</f>
        <v>0</v>
      </c>
    </row>
    <row r="134" customFormat="false" ht="15" hidden="false" customHeight="true" outlineLevel="0" collapsed="false">
      <c r="A134" s="8" t="s">
        <v>60</v>
      </c>
      <c r="B134" s="24" t="n">
        <f aca="false">SUMIFS('Détail Revenus'!$E:$E,'Détail Revenus'!$F:$F,"Firm Rheds",'Détail Revenus'!$A:$A,"&gt;="&amp;DATE(2026,5,1),'Détail Revenus'!$A:$A,"&lt;"&amp;EDATE(DATE(2026,5,1),1))</f>
        <v>0</v>
      </c>
    </row>
    <row r="135" customFormat="false" ht="15" hidden="false" customHeight="true" outlineLevel="0" collapsed="false">
      <c r="A135" s="8" t="s">
        <v>61</v>
      </c>
      <c r="B135" s="24" t="n">
        <f aca="false">SUMIFS('Détail Revenus'!$E:$E,'Détail Revenus'!$F:$F,"Firm Rheds",'Détail Revenus'!$A:$A,"&gt;="&amp;DATE(2026,6,1),'Détail Revenus'!$A:$A,"&lt;"&amp;EDATE(DATE(2026,6,1),1))</f>
        <v>624</v>
      </c>
    </row>
    <row r="136" customFormat="false" ht="15" hidden="false" customHeight="true" outlineLevel="0" collapsed="false">
      <c r="A136" s="8" t="s">
        <v>62</v>
      </c>
      <c r="B136" s="24" t="n">
        <f aca="false">SUMIFS('Détail Revenus'!$E:$E,'Détail Revenus'!$F:$F,"Firm Rheds",'Détail Revenus'!$A:$A,"&gt;="&amp;DATE(2026,7,1),'Détail Revenus'!$A:$A,"&lt;"&amp;EDATE(DATE(2026,7,1),1))</f>
        <v>0</v>
      </c>
    </row>
    <row r="139" customFormat="false" ht="15" hidden="false" customHeight="false" outlineLevel="0" collapsed="false">
      <c r="A139" s="26" t="s">
        <v>50</v>
      </c>
      <c r="C139" s="22" t="n">
        <f aca="false">SUMIF('Détail Revenus'!$F:$F,"Remboursement TVA",'Détail Revenus'!$E:E)</f>
        <v>6230</v>
      </c>
    </row>
    <row r="140" customFormat="false" ht="15" hidden="false" customHeight="false" outlineLevel="0" collapsed="false">
      <c r="A140" s="23" t="s">
        <v>54</v>
      </c>
      <c r="B140" s="23" t="s">
        <v>55</v>
      </c>
    </row>
    <row r="141" customFormat="false" ht="15" hidden="false" customHeight="false" outlineLevel="0" collapsed="false">
      <c r="A141" s="8" t="s">
        <v>56</v>
      </c>
      <c r="B141" s="24" t="n">
        <f aca="false">SUMIFS('Détail Revenus'!$E:$E,'Détail Revenus'!$F:$F,"Remboursement TVA",'Détail Revenus'!$A:$A,"&gt;="&amp;DATE(2026,1,1),'Détail Revenus'!$A:$A,"&lt;"&amp;EDATE(DATE(2026,1,1),1))</f>
        <v>6230</v>
      </c>
    </row>
    <row r="142" customFormat="false" ht="15" hidden="false" customHeight="false" outlineLevel="0" collapsed="false">
      <c r="A142" s="8" t="s">
        <v>57</v>
      </c>
      <c r="B142" s="24" t="n">
        <f aca="false">SUMIFS('Détail Revenus'!$E:$E,'Détail Revenus'!$F:$F,"Remboursement TVA",'Détail Revenus'!$A:$A,"&gt;="&amp;DATE(2026,2,1),'Détail Revenus'!$A:$A,"&lt;"&amp;EDATE(DATE(2026,2,1),1))</f>
        <v>0</v>
      </c>
    </row>
    <row r="143" customFormat="false" ht="15" hidden="false" customHeight="false" outlineLevel="0" collapsed="false">
      <c r="A143" s="8" t="s">
        <v>58</v>
      </c>
      <c r="B143" s="24" t="n">
        <f aca="false">SUMIFS('Détail Revenus'!$E:$E,'Détail Revenus'!$F:$F,"Remboursement TVA",'Détail Revenus'!$A:$A,"&gt;="&amp;DATE(2026,3,1),'Détail Revenus'!$A:$A,"&lt;"&amp;EDATE(DATE(2026,3,1),1))</f>
        <v>0</v>
      </c>
    </row>
    <row r="144" customFormat="false" ht="15" hidden="false" customHeight="false" outlineLevel="0" collapsed="false">
      <c r="A144" s="8" t="s">
        <v>59</v>
      </c>
      <c r="B144" s="24" t="n">
        <f aca="false">SUMIFS('Détail Revenus'!$E:$E,'Détail Revenus'!$F:$F,"Remboursement TVA",'Détail Revenus'!$A:$A,"&gt;="&amp;DATE(2026,4,1),'Détail Revenus'!$A:$A,"&lt;"&amp;EDATE(DATE(2026,4,1),1))</f>
        <v>0</v>
      </c>
    </row>
    <row r="145" customFormat="false" ht="15" hidden="false" customHeight="false" outlineLevel="0" collapsed="false">
      <c r="A145" s="8" t="s">
        <v>60</v>
      </c>
      <c r="B145" s="24" t="n">
        <f aca="false">SUMIFS('Détail Revenus'!$E:$E,'Détail Revenus'!$F:$F,"Remboursement TVA",'Détail Revenus'!$A:$A,"&gt;="&amp;DATE(2026,5,1),'Détail Revenus'!$A:$A,"&lt;"&amp;EDATE(DATE(2026,5,1),1))</f>
        <v>0</v>
      </c>
    </row>
    <row r="146" customFormat="false" ht="15" hidden="false" customHeight="false" outlineLevel="0" collapsed="false">
      <c r="A146" s="8" t="s">
        <v>61</v>
      </c>
      <c r="B146" s="24" t="n">
        <f aca="false">SUMIFS('Détail Revenus'!$E:$E,'Détail Revenus'!$F:$F,"Remboursement TVA",'Détail Revenus'!$A:$A,"&gt;="&amp;DATE(2026,6,1),'Détail Revenus'!$A:$A,"&lt;"&amp;EDATE(DATE(2026,6,1),1))</f>
        <v>0</v>
      </c>
    </row>
    <row r="147" customFormat="false" ht="15" hidden="false" customHeight="false" outlineLevel="0" collapsed="false">
      <c r="A147" s="8" t="s">
        <v>62</v>
      </c>
      <c r="B147" s="24" t="n">
        <f aca="false">SUMIFS('Détail Revenus'!$E:$E,'Détail Revenus'!$F:$F,"Remboursement TVA",'Détail Revenus'!$A:$A,"&gt;="&amp;DATE(2026,7,1),'Détail Revenus'!$A:$A,"&lt;"&amp;EDATE(DATE(2026,7,1),1))</f>
        <v>0</v>
      </c>
    </row>
    <row r="150" customFormat="false" ht="15" hidden="false" customHeight="false" outlineLevel="0" collapsed="false">
      <c r="A150" s="26" t="s">
        <v>51</v>
      </c>
      <c r="C150" s="22" t="n">
        <f aca="false">SUMIF('Détail Revenus'!$F:$F,"Frais de dossier facturés (client)",'Détail Revenus'!$E:E)</f>
        <v>303.6</v>
      </c>
    </row>
    <row r="151" customFormat="false" ht="15" hidden="false" customHeight="false" outlineLevel="0" collapsed="false">
      <c r="A151" s="23" t="s">
        <v>54</v>
      </c>
      <c r="B151" s="23" t="s">
        <v>55</v>
      </c>
    </row>
    <row r="152" customFormat="false" ht="15" hidden="false" customHeight="false" outlineLevel="0" collapsed="false">
      <c r="A152" s="8" t="s">
        <v>56</v>
      </c>
      <c r="B152" s="24" t="n">
        <f aca="false">SUMIFS('Détail Revenus'!$E:$E,'Détail Revenus'!$F:$F,"Frais de dossier facturés (client)",'Détail Revenus'!$A:$A,"&gt;="&amp;DATE(2026,1,1),'Détail Revenus'!$A:$A,"&lt;"&amp;EDATE(DATE(2026,1,1),1))</f>
        <v>0</v>
      </c>
    </row>
    <row r="153" customFormat="false" ht="15" hidden="false" customHeight="false" outlineLevel="0" collapsed="false">
      <c r="A153" s="8" t="s">
        <v>57</v>
      </c>
      <c r="B153" s="24" t="n">
        <f aca="false">SUMIFS('Détail Revenus'!$E:$E,'Détail Revenus'!$F:$F,"Frais de dossier facturés (client)",'Détail Revenus'!$A:$A,"&gt;="&amp;DATE(2026,2,1),'Détail Revenus'!$A:$A,"&lt;"&amp;EDATE(DATE(2026,2,1),1))</f>
        <v>0</v>
      </c>
    </row>
    <row r="154" customFormat="false" ht="15" hidden="false" customHeight="false" outlineLevel="0" collapsed="false">
      <c r="A154" s="8" t="s">
        <v>58</v>
      </c>
      <c r="B154" s="24" t="n">
        <f aca="false">SUMIFS('Détail Revenus'!$E:$E,'Détail Revenus'!$F:$F,"Frais de dossier facturés (client)",'Détail Revenus'!$A:$A,"&gt;="&amp;DATE(2026,3,1),'Détail Revenus'!$A:$A,"&lt;"&amp;EDATE(DATE(2026,3,1),1))</f>
        <v>0</v>
      </c>
    </row>
    <row r="155" customFormat="false" ht="15" hidden="false" customHeight="false" outlineLevel="0" collapsed="false">
      <c r="A155" s="8" t="s">
        <v>59</v>
      </c>
      <c r="B155" s="24" t="n">
        <f aca="false">SUMIFS('Détail Revenus'!$E:$E,'Détail Revenus'!$F:$F,"Frais de dossier facturés (client)",'Détail Revenus'!$A:$A,"&gt;="&amp;DATE(2026,4,1),'Détail Revenus'!$A:$A,"&lt;"&amp;EDATE(DATE(2026,4,1),1))</f>
        <v>0</v>
      </c>
    </row>
    <row r="156" customFormat="false" ht="15" hidden="false" customHeight="false" outlineLevel="0" collapsed="false">
      <c r="A156" s="8" t="s">
        <v>60</v>
      </c>
      <c r="B156" s="24" t="n">
        <f aca="false">SUMIFS('Détail Revenus'!$E:$E,'Détail Revenus'!$F:$F,"Frais de dossier facturés (client)",'Détail Revenus'!$A:$A,"&gt;="&amp;DATE(2026,5,1),'Détail Revenus'!$A:$A,"&lt;"&amp;EDATE(DATE(2026,5,1),1))</f>
        <v>303.6</v>
      </c>
    </row>
    <row r="157" customFormat="false" ht="15" hidden="false" customHeight="false" outlineLevel="0" collapsed="false">
      <c r="A157" s="8" t="s">
        <v>61</v>
      </c>
      <c r="B157" s="24" t="n">
        <f aca="false">SUMIFS('Détail Revenus'!$E:$E,'Détail Revenus'!$F:$F,"Frais de dossier facturés (client)",'Détail Revenus'!$A:$A,"&gt;="&amp;DATE(2026,6,1),'Détail Revenus'!$A:$A,"&lt;"&amp;EDATE(DATE(2026,6,1),1))</f>
        <v>0</v>
      </c>
    </row>
    <row r="158" customFormat="false" ht="15" hidden="false" customHeight="false" outlineLevel="0" collapsed="false">
      <c r="A158" s="8" t="s">
        <v>62</v>
      </c>
      <c r="B158" s="24" t="n">
        <f aca="false">SUMIFS('Détail Revenus'!$E:$E,'Détail Revenus'!$F:$F,"Frais de dossier facturés (client)",'Détail Revenus'!$A:$A,"&gt;="&amp;DATE(2026,7,1),'Détail Revenus'!$A:$A,"&lt;"&amp;EDATE(DATE(2026,7,1),1))</f>
        <v>0</v>
      </c>
    </row>
  </sheetData>
  <mergeCells count="12">
    <mergeCell ref="A3:B3"/>
    <mergeCell ref="A14:B14"/>
    <mergeCell ref="A26:B26"/>
    <mergeCell ref="A38:B38"/>
    <mergeCell ref="A50:B50"/>
    <mergeCell ref="A62:B62"/>
    <mergeCell ref="A73:B73"/>
    <mergeCell ref="A84:B84"/>
    <mergeCell ref="A95:B95"/>
    <mergeCell ref="A106:B106"/>
    <mergeCell ref="A117:B117"/>
    <mergeCell ref="A128:B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68</v>
      </c>
    </row>
    <row r="3" customFormat="false" ht="15" hidden="false" customHeight="true" outlineLevel="0" collapsed="false">
      <c r="A3" s="28" t="s">
        <v>69</v>
      </c>
      <c r="B3" s="28"/>
      <c r="C3" s="29" t="n">
        <f aca="false">SUMIF(Détail!$D:$D,"MR BOUDJADA SAID",Détail!$E:$E)</f>
        <v>-24300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SUMIFS(Détail!$E:$E,Détail!$D:$D,"MR BOUDJADA SAID",Détail!$A:$A,"&gt;="&amp;DATE(2026,1,1),Détail!$A:$A,"&lt;"&amp;EDATE(DATE(2026,1,1),1))</f>
        <v>-4700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SUMIFS(Détail!$E:$E,Détail!$D:$D,"MR BOUDJADA SAID",Détail!$A:$A,"&gt;="&amp;DATE(2026,2,1),Détail!$A:$A,"&lt;"&amp;EDATE(DATE(2026,2,1),1))</f>
        <v>-3600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SUMIFS(Détail!$E:$E,Détail!$D:$D,"MR BOUDJADA SAID",Détail!$A:$A,"&gt;="&amp;DATE(2026,3,1),Détail!$A:$A,"&lt;"&amp;EDATE(DATE(2026,3,1),1))</f>
        <v>0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SUMIFS(Détail!$E:$E,Détail!$D:$D,"MR BOUDJADA SAID",Détail!$A:$A,"&gt;="&amp;DATE(2026,4,1),Détail!$A:$A,"&lt;"&amp;EDATE(DATE(2026,4,1),1))</f>
        <v>-7000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SUMIFS(Détail!$E:$E,Détail!$D:$D,"MR BOUDJADA SAID",Détail!$A:$A,"&gt;="&amp;DATE(2026,5,1),Détail!$A:$A,"&lt;"&amp;EDATE(DATE(2026,5,1),1))</f>
        <v>-5000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SUMIFS(Détail!$E:$E,Détail!$D:$D,"MR BOUDJADA SAID",Détail!$A:$A,"&gt;="&amp;DATE(2026,6,1),Détail!$A:$A,"&lt;"&amp;EDATE(DATE(2026,6,1),1))</f>
        <v>0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SUMIFS(Détail!$E:$E,Détail!$D:$D,"MR BOUDJADA SAID",Détail!$A:$A,"&gt;="&amp;DATE(2026,7,1),Détail!$A:$A,"&lt;"&amp;EDATE(DATE(2026,7,1),1))</f>
        <v>-4000</v>
      </c>
    </row>
    <row r="14" customFormat="false" ht="15" hidden="false" customHeight="true" outlineLevel="0" collapsed="false">
      <c r="A14" s="28" t="s">
        <v>70</v>
      </c>
      <c r="B14" s="28"/>
      <c r="C14" s="29" t="n">
        <f aca="false">SUMIF(Détail!$D:$D,"MR BOUDAJA NASSIM",Détail!$E:$E)</f>
        <v>-14792.28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SUMIFS(Détail!$E:$E,Détail!$D:$D,"MR BOUDAJA NASSIM",Détail!$A:$A,"&gt;="&amp;DATE(2026,1,1),Détail!$A:$A,"&lt;"&amp;EDATE(DATE(2026,1,1),1))</f>
        <v>-2465.38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SUMIFS(Détail!$E:$E,Détail!$D:$D,"MR BOUDAJA NASSIM",Détail!$A:$A,"&gt;="&amp;DATE(2026,2,1),Détail!$A:$A,"&lt;"&amp;EDATE(DATE(2026,2,1),1))</f>
        <v>-2465.38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SUMIFS(Détail!$E:$E,Détail!$D:$D,"MR BOUDAJA NASSIM",Détail!$A:$A,"&gt;="&amp;DATE(2026,3,1),Détail!$A:$A,"&lt;"&amp;EDATE(DATE(2026,3,1),1))</f>
        <v>-2465.38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SUMIFS(Détail!$E:$E,Détail!$D:$D,"MR BOUDAJA NASSIM",Détail!$A:$A,"&gt;="&amp;DATE(2026,4,1),Détail!$A:$A,"&lt;"&amp;EDATE(DATE(2026,4,1),1))</f>
        <v>-2465.38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SUMIFS(Détail!$E:$E,Détail!$D:$D,"MR BOUDAJA NASSIM",Détail!$A:$A,"&gt;="&amp;DATE(2026,5,1),Détail!$A:$A,"&lt;"&amp;EDATE(DATE(2026,5,1),1))</f>
        <v>-2465.38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SUMIFS(Détail!$E:$E,Détail!$D:$D,"MR BOUDAJA NASSIM",Détail!$A:$A,"&gt;="&amp;DATE(2026,6,1),Détail!$A:$A,"&lt;"&amp;EDATE(DATE(2026,6,1),1))</f>
        <v>-2465.38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SUMIFS(Détail!$E:$E,Détail!$D:$D,"MR BOUDAJA NASSIM",Détail!$A:$A,"&gt;="&amp;DATE(2026,7,1),Détail!$A:$A,"&lt;"&amp;EDATE(DATE(2026,7,1),1))</f>
        <v>0</v>
      </c>
    </row>
    <row r="25" customFormat="false" ht="15" hidden="false" customHeight="true" outlineLevel="0" collapsed="false">
      <c r="A25" s="28" t="s">
        <v>71</v>
      </c>
      <c r="B25" s="28"/>
      <c r="C25" s="29" t="n">
        <f aca="false">SUMIF(Détail!$D:$D,"MME MACHADO NATALI",Détail!$E:$E)</f>
        <v>-8456.58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SUMIFS(Détail!$E:$E,Détail!$D:$D,"MME MACHADO NATALI",Détail!$A:$A,"&gt;="&amp;DATE(2026,1,1),Détail!$A:$A,"&lt;"&amp;EDATE(DATE(2026,1,1),1))</f>
        <v>-1287.51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SUMIFS(Détail!$E:$E,Détail!$D:$D,"MME MACHADO NATALI",Détail!$A:$A,"&gt;="&amp;DATE(2026,2,1),Détail!$A:$A,"&lt;"&amp;EDATE(DATE(2026,2,1),1))</f>
        <v>-1284.87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SUMIFS(Détail!$E:$E,Détail!$D:$D,"MME MACHADO NATALI",Détail!$A:$A,"&gt;="&amp;DATE(2026,3,1),Détail!$A:$A,"&lt;"&amp;EDATE(DATE(2026,3,1),1))</f>
        <v>-1282.23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SUMIFS(Détail!$E:$E,Détail!$D:$D,"MME MACHADO NATALI",Détail!$A:$A,"&gt;="&amp;DATE(2026,4,1),Détail!$A:$A,"&lt;"&amp;EDATE(DATE(2026,4,1),1))</f>
        <v>-1532.23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SUMIFS(Détail!$E:$E,Détail!$D:$D,"MME MACHADO NATALI",Détail!$A:$A,"&gt;="&amp;DATE(2026,5,1),Détail!$A:$A,"&lt;"&amp;EDATE(DATE(2026,5,1),1))</f>
        <v>-1537.51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SUMIFS(Détail!$E:$E,Détail!$D:$D,"MME MACHADO NATALI",Détail!$A:$A,"&gt;="&amp;DATE(2026,6,1),Détail!$A:$A,"&lt;"&amp;EDATE(DATE(2026,6,1),1))</f>
        <v>-1532.23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SUMIFS(Détail!$E:$E,Détail!$D:$D,"MME MACHADO NATALI",Détail!$A:$A,"&gt;="&amp;DATE(2026,7,1),Détail!$A:$A,"&lt;"&amp;EDATE(DATE(2026,7,1),1))</f>
        <v>0</v>
      </c>
    </row>
    <row r="36" customFormat="false" ht="15" hidden="false" customHeight="true" outlineLevel="0" collapsed="false">
      <c r="A36" s="28" t="s">
        <v>72</v>
      </c>
      <c r="B36" s="28"/>
      <c r="C36" s="29" t="n">
        <f aca="false">SUMIF(Détail!$D:$D,"MR BOUDJADA MOUNIR",Détail!$E:$E)</f>
        <v>-7740.99</v>
      </c>
    </row>
    <row r="37" customFormat="false" ht="15" hidden="false" customHeight="true" outlineLevel="0" collapsed="false">
      <c r="A37" s="23" t="s">
        <v>54</v>
      </c>
      <c r="B37" s="23" t="s">
        <v>55</v>
      </c>
    </row>
    <row r="38" customFormat="false" ht="15" hidden="false" customHeight="true" outlineLevel="0" collapsed="false">
      <c r="A38" s="8" t="s">
        <v>56</v>
      </c>
      <c r="B38" s="30" t="n">
        <f aca="false">SUMIFS(Détail!$E:$E,Détail!$D:$D,"MR BOUDJADA MOUNIR",Détail!$A:$A,"&gt;="&amp;DATE(2026,1,1),Détail!$A:$A,"&lt;"&amp;EDATE(DATE(2026,1,1),1))</f>
        <v>-1233.82</v>
      </c>
    </row>
    <row r="39" customFormat="false" ht="15" hidden="false" customHeight="true" outlineLevel="0" collapsed="false">
      <c r="A39" s="8" t="s">
        <v>57</v>
      </c>
      <c r="B39" s="30" t="n">
        <f aca="false">SUMIFS(Détail!$E:$E,Détail!$D:$D,"MR BOUDJADA MOUNIR",Détail!$A:$A,"&gt;="&amp;DATE(2026,2,1),Détail!$A:$A,"&lt;"&amp;EDATE(DATE(2026,2,1),1))</f>
        <v>-1233.82</v>
      </c>
    </row>
    <row r="40" customFormat="false" ht="15" hidden="false" customHeight="true" outlineLevel="0" collapsed="false">
      <c r="A40" s="8" t="s">
        <v>58</v>
      </c>
      <c r="B40" s="30" t="n">
        <f aca="false">SUMIFS(Détail!$E:$E,Détail!$D:$D,"MR BOUDJADA MOUNIR",Détail!$A:$A,"&gt;="&amp;DATE(2026,3,1),Détail!$A:$A,"&lt;"&amp;EDATE(DATE(2026,3,1),1))</f>
        <v>-1233.82</v>
      </c>
    </row>
    <row r="41" customFormat="false" ht="15" hidden="false" customHeight="true" outlineLevel="0" collapsed="false">
      <c r="A41" s="8" t="s">
        <v>59</v>
      </c>
      <c r="B41" s="30" t="n">
        <f aca="false">SUMIFS(Détail!$E:$E,Détail!$D:$D,"MR BOUDJADA MOUNIR",Détail!$A:$A,"&gt;="&amp;DATE(2026,4,1),Détail!$A:$A,"&lt;"&amp;EDATE(DATE(2026,4,1),1))</f>
        <v>-1233.82</v>
      </c>
    </row>
    <row r="42" customFormat="false" ht="15" hidden="false" customHeight="true" outlineLevel="0" collapsed="false">
      <c r="A42" s="8" t="s">
        <v>60</v>
      </c>
      <c r="B42" s="30" t="n">
        <f aca="false">SUMIFS(Détail!$E:$E,Détail!$D:$D,"MR BOUDJADA MOUNIR",Détail!$A:$A,"&gt;="&amp;DATE(2026,5,1),Détail!$A:$A,"&lt;"&amp;EDATE(DATE(2026,5,1),1))</f>
        <v>-1829.82</v>
      </c>
    </row>
    <row r="43" customFormat="false" ht="15" hidden="false" customHeight="true" outlineLevel="0" collapsed="false">
      <c r="A43" s="8" t="s">
        <v>61</v>
      </c>
      <c r="B43" s="30" t="n">
        <f aca="false">SUMIFS(Détail!$E:$E,Détail!$D:$D,"MR BOUDJADA MOUNIR",Détail!$A:$A,"&gt;="&amp;DATE(2026,6,1),Détail!$A:$A,"&lt;"&amp;EDATE(DATE(2026,6,1),1))</f>
        <v>-975.89</v>
      </c>
    </row>
    <row r="44" customFormat="false" ht="15" hidden="false" customHeight="true" outlineLevel="0" collapsed="false">
      <c r="A44" s="8" t="s">
        <v>62</v>
      </c>
      <c r="B44" s="30" t="n">
        <f aca="false">SUMIFS(Détail!$E:$E,Détail!$D:$D,"MR BOUDJADA MOUNIR",Détail!$A:$A,"&gt;="&amp;DATE(2026,7,1),Détail!$A:$A,"&lt;"&amp;EDATE(DATE(2026,7,1),1))</f>
        <v>0</v>
      </c>
    </row>
    <row r="47" customFormat="false" ht="15" hidden="false" customHeight="true" outlineLevel="0" collapsed="false">
      <c r="A47" s="28" t="s">
        <v>73</v>
      </c>
      <c r="B47" s="28"/>
      <c r="C47" s="29" t="n">
        <f aca="false">SUMIF(Détail!$D:$D,"MME SABRINA MAHMOUDI",Détail!$E:$E)</f>
        <v>-2669.14</v>
      </c>
    </row>
    <row r="48" customFormat="false" ht="15" hidden="false" customHeight="true" outlineLevel="0" collapsed="false">
      <c r="A48" s="23" t="s">
        <v>54</v>
      </c>
      <c r="B48" s="23" t="s">
        <v>55</v>
      </c>
    </row>
    <row r="49" customFormat="false" ht="15" hidden="false" customHeight="true" outlineLevel="0" collapsed="false">
      <c r="A49" s="8" t="s">
        <v>56</v>
      </c>
      <c r="B49" s="30" t="n">
        <f aca="false">SUMIFS(Détail!$E:$E,Détail!$D:$D,"MME SABRINA MAHMOUDI",Détail!$A:$A,"&gt;="&amp;DATE(2026,1,1),Détail!$A:$A,"&lt;"&amp;EDATE(DATE(2026,1,1),1))</f>
        <v>0</v>
      </c>
    </row>
    <row r="50" customFormat="false" ht="15" hidden="false" customHeight="true" outlineLevel="0" collapsed="false">
      <c r="A50" s="8" t="s">
        <v>57</v>
      </c>
      <c r="B50" s="30" t="n">
        <f aca="false">SUMIFS(Détail!$E:$E,Détail!$D:$D,"MME SABRINA MAHMOUDI",Détail!$A:$A,"&gt;="&amp;DATE(2026,2,1),Détail!$A:$A,"&lt;"&amp;EDATE(DATE(2026,2,1),1))</f>
        <v>0</v>
      </c>
    </row>
    <row r="51" customFormat="false" ht="15" hidden="false" customHeight="true" outlineLevel="0" collapsed="false">
      <c r="A51" s="8" t="s">
        <v>58</v>
      </c>
      <c r="B51" s="30" t="n">
        <f aca="false">SUMIFS(Détail!$E:$E,Détail!$D:$D,"MME SABRINA MAHMOUDI",Détail!$A:$A,"&gt;="&amp;DATE(2026,3,1),Détail!$A:$A,"&lt;"&amp;EDATE(DATE(2026,3,1),1))</f>
        <v>0</v>
      </c>
    </row>
    <row r="52" customFormat="false" ht="15" hidden="false" customHeight="true" outlineLevel="0" collapsed="false">
      <c r="A52" s="8" t="s">
        <v>59</v>
      </c>
      <c r="B52" s="30" t="n">
        <f aca="false">SUMIFS(Détail!$E:$E,Détail!$D:$D,"MME SABRINA MAHMOUDI",Détail!$A:$A,"&gt;="&amp;DATE(2026,4,1),Détail!$A:$A,"&lt;"&amp;EDATE(DATE(2026,4,1),1))</f>
        <v>0</v>
      </c>
    </row>
    <row r="53" customFormat="false" ht="15" hidden="false" customHeight="true" outlineLevel="0" collapsed="false">
      <c r="A53" s="8" t="s">
        <v>60</v>
      </c>
      <c r="B53" s="30" t="n">
        <f aca="false">SUMIFS(Détail!$E:$E,Détail!$D:$D,"MME SABRINA MAHMOUDI",Détail!$A:$A,"&gt;="&amp;DATE(2026,5,1),Détail!$A:$A,"&lt;"&amp;EDATE(DATE(2026,5,1),1))</f>
        <v>-1281.61</v>
      </c>
    </row>
    <row r="54" customFormat="false" ht="15" hidden="false" customHeight="true" outlineLevel="0" collapsed="false">
      <c r="A54" s="8" t="s">
        <v>61</v>
      </c>
      <c r="B54" s="30" t="n">
        <f aca="false">SUMIFS(Détail!$E:$E,Détail!$D:$D,"MME SABRINA MAHMOUDI",Détail!$A:$A,"&gt;="&amp;DATE(2026,6,1),Détail!$A:$A,"&lt;"&amp;EDATE(DATE(2026,6,1),1))</f>
        <v>-1387.53</v>
      </c>
    </row>
    <row r="55" customFormat="false" ht="15" hidden="false" customHeight="true" outlineLevel="0" collapsed="false">
      <c r="A55" s="8" t="s">
        <v>62</v>
      </c>
      <c r="B55" s="30" t="n">
        <f aca="false">SUMIFS(Détail!$E:$E,Détail!$D:$D,"MME SABRINA MAHMOUDI",Détail!$A:$A,"&gt;="&amp;DATE(2026,7,1),Détail!$A:$A,"&lt;"&amp;EDATE(DATE(2026,7,1),1))</f>
        <v>0</v>
      </c>
    </row>
  </sheetData>
  <mergeCells count="5">
    <mergeCell ref="A3:B3"/>
    <mergeCell ref="A14:B14"/>
    <mergeCell ref="A25:B25"/>
    <mergeCell ref="A36:B36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74</v>
      </c>
    </row>
    <row r="3" customFormat="false" ht="15" hidden="false" customHeight="true" outlineLevel="0" collapsed="false">
      <c r="A3" s="28" t="s">
        <v>75</v>
      </c>
      <c r="B3" s="28"/>
      <c r="C3" s="29" t="n">
        <f aca="false">SUMIF(Détail!$D:$D,"CPL AROMAS FRANCE",Détail!$E:$E)</f>
        <v>-105066.75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SUMIFS(Détail!$E:$E,Détail!$D:$D,"CPL AROMAS FRANCE",Détail!$A:$A,"&gt;="&amp;DATE(2026,1,1),Détail!$A:$A,"&lt;"&amp;EDATE(DATE(2026,1,1),1))</f>
        <v>-13893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SUMIFS(Détail!$E:$E,Détail!$D:$D,"CPL AROMAS FRANCE",Détail!$A:$A,"&gt;="&amp;DATE(2026,2,1),Détail!$A:$A,"&lt;"&amp;EDATE(DATE(2026,2,1),1))</f>
        <v>-4860</v>
      </c>
    </row>
    <row r="7" customFormat="false" ht="15" hidden="false" customHeight="true" outlineLevel="0" collapsed="false">
      <c r="A7" s="8" t="s">
        <v>59</v>
      </c>
      <c r="B7" s="30" t="n">
        <f aca="false">SUMIFS(Détail!$E:$E,Détail!$D:$D,"CPL AROMAS FRANCE",Détail!$A:$A,"&gt;="&amp;DATE(2026,4,1),Détail!$A:$A,"&lt;"&amp;EDATE(DATE(2026,4,1),1))</f>
        <v>-25538.75</v>
      </c>
    </row>
    <row r="8" customFormat="false" ht="15" hidden="false" customHeight="true" outlineLevel="0" collapsed="false">
      <c r="A8" s="8" t="s">
        <v>60</v>
      </c>
      <c r="B8" s="30" t="n">
        <f aca="false">SUMIFS(Détail!$E:$E,Détail!$D:$D,"CPL AROMAS FRANCE",Détail!$A:$A,"&gt;="&amp;DATE(2026,5,1),Détail!$A:$A,"&lt;"&amp;EDATE(DATE(2026,5,1),1))</f>
        <v>-34580</v>
      </c>
    </row>
    <row r="9" customFormat="false" ht="15" hidden="false" customHeight="true" outlineLevel="0" collapsed="false">
      <c r="A9" s="8" t="s">
        <v>61</v>
      </c>
      <c r="B9" s="30" t="n">
        <f aca="false">SUMIFS(Détail!$E:$E,Détail!$D:$D,"CPL AROMAS FRANCE",Détail!$A:$A,"&gt;="&amp;DATE(2026,6,1),Détail!$A:$A,"&lt;"&amp;EDATE(DATE(2026,6,1),1))</f>
        <v>-26195</v>
      </c>
    </row>
    <row r="10" customFormat="false" ht="15" hidden="false" customHeight="true" outlineLevel="0" collapsed="false">
      <c r="A10" s="8" t="s">
        <v>62</v>
      </c>
      <c r="B10" s="30" t="n">
        <f aca="false">SUMIFS(Détail!$E:$E,Détail!$D:$D,"CPL AROMAS FRANCE",Détail!$A:$A,"&gt;="&amp;DATE(2026,7,1),Détail!$A:$A,"&lt;"&amp;EDATE(DATE(2026,7,1),1))</f>
        <v>0</v>
      </c>
    </row>
    <row r="13" customFormat="false" ht="15" hidden="false" customHeight="true" outlineLevel="0" collapsed="false">
      <c r="A13" s="28" t="s">
        <v>76</v>
      </c>
      <c r="B13" s="28"/>
      <c r="C13" s="29" t="n">
        <f aca="false">SUMIF(Détail!$D:$D,"AROMASCENT",Détail!$E:$E)</f>
        <v>-85707</v>
      </c>
    </row>
    <row r="14" customFormat="false" ht="15" hidden="false" customHeight="true" outlineLevel="0" collapsed="false">
      <c r="A14" s="23" t="s">
        <v>54</v>
      </c>
      <c r="B14" s="23" t="s">
        <v>55</v>
      </c>
    </row>
    <row r="15" customFormat="false" ht="15" hidden="false" customHeight="true" outlineLevel="0" collapsed="false">
      <c r="A15" s="8" t="s">
        <v>56</v>
      </c>
      <c r="B15" s="30" t="n">
        <f aca="false">SUMIFS(Détail!$E:$E,Détail!$D:$D,"AROMASCENT",Détail!$A:$A,"&gt;="&amp;DATE(2026,1,1),Détail!$A:$A,"&lt;"&amp;EDATE(DATE(2026,1,1),1))</f>
        <v>-5222</v>
      </c>
    </row>
    <row r="16" customFormat="false" ht="15" hidden="false" customHeight="true" outlineLevel="0" collapsed="false">
      <c r="A16" s="8" t="s">
        <v>57</v>
      </c>
      <c r="B16" s="30" t="n">
        <f aca="false">SUMIFS(Détail!$E:$E,Détail!$D:$D,"AROMASCENT",Détail!$A:$A,"&gt;="&amp;DATE(2026,2,1),Détail!$A:$A,"&lt;"&amp;EDATE(DATE(2026,2,1),1))</f>
        <v>-13638</v>
      </c>
    </row>
    <row r="17" customFormat="false" ht="15" hidden="false" customHeight="true" outlineLevel="0" collapsed="false">
      <c r="A17" s="8" t="s">
        <v>59</v>
      </c>
      <c r="B17" s="30" t="n">
        <f aca="false">SUMIFS(Détail!$E:$E,Détail!$D:$D,"AROMASCENT",Détail!$A:$A,"&gt;="&amp;DATE(2026,4,1),Détail!$A:$A,"&lt;"&amp;EDATE(DATE(2026,4,1),1))</f>
        <v>-13484</v>
      </c>
    </row>
    <row r="18" customFormat="false" ht="15" hidden="false" customHeight="true" outlineLevel="0" collapsed="false">
      <c r="A18" s="8" t="s">
        <v>60</v>
      </c>
      <c r="B18" s="30" t="n">
        <f aca="false">SUMIFS(Détail!$E:$E,Détail!$D:$D,"AROMASCENT",Détail!$A:$A,"&gt;="&amp;DATE(2026,5,1),Détail!$A:$A,"&lt;"&amp;EDATE(DATE(2026,5,1),1))</f>
        <v>0</v>
      </c>
    </row>
    <row r="19" customFormat="false" ht="15" hidden="false" customHeight="true" outlineLevel="0" collapsed="false">
      <c r="A19" s="8" t="s">
        <v>61</v>
      </c>
      <c r="B19" s="30" t="n">
        <f aca="false">SUMIFS(Détail!$E:$E,Détail!$D:$D,"AROMASCENT",Détail!$A:$A,"&gt;="&amp;DATE(2026,6,1),Détail!$A:$A,"&lt;"&amp;EDATE(DATE(2026,6,1),1))</f>
        <v>-53363</v>
      </c>
    </row>
    <row r="20" customFormat="false" ht="15" hidden="false" customHeight="true" outlineLevel="0" collapsed="false">
      <c r="A20" s="8" t="s">
        <v>62</v>
      </c>
      <c r="B20" s="30" t="n">
        <f aca="false">SUMIFS(Détail!$E:$E,Détail!$D:$D,"AROMASCENT",Détail!$A:$A,"&gt;="&amp;DATE(2026,7,1),Détail!$A:$A,"&lt;"&amp;EDATE(DATE(2026,7,1),1))</f>
        <v>0</v>
      </c>
    </row>
    <row r="23" customFormat="false" ht="15" hidden="false" customHeight="true" outlineLevel="0" collapsed="false">
      <c r="A23" s="28" t="s">
        <v>77</v>
      </c>
      <c r="B23" s="28"/>
      <c r="C23" s="29" t="n">
        <f aca="false">SUMIF(Détail!$D:$D,"FIRMENICH",Détail!$E:$E)</f>
        <v>-19500.6</v>
      </c>
    </row>
    <row r="24" customFormat="false" ht="15" hidden="false" customHeight="true" outlineLevel="0" collapsed="false">
      <c r="A24" s="23" t="s">
        <v>54</v>
      </c>
      <c r="B24" s="23" t="s">
        <v>55</v>
      </c>
    </row>
    <row r="25" customFormat="false" ht="15" hidden="false" customHeight="true" outlineLevel="0" collapsed="false">
      <c r="A25" s="8" t="s">
        <v>56</v>
      </c>
      <c r="B25" s="30" t="n">
        <f aca="false">SUMIFS(Détail!$E:$E,Détail!$D:$D,"FIRMENICH",Détail!$A:$A,"&gt;="&amp;DATE(2026,1,1),Détail!$A:$A,"&lt;"&amp;EDATE(DATE(2026,1,1),1))</f>
        <v>0</v>
      </c>
    </row>
    <row r="26" customFormat="false" ht="15" hidden="false" customHeight="true" outlineLevel="0" collapsed="false">
      <c r="A26" s="8" t="s">
        <v>57</v>
      </c>
      <c r="B26" s="30" t="n">
        <f aca="false">SUMIFS(Détail!$E:$E,Détail!$D:$D,"FIRMENICH",Détail!$A:$A,"&gt;="&amp;DATE(2026,2,1),Détail!$A:$A,"&lt;"&amp;EDATE(DATE(2026,2,1),1))</f>
        <v>0</v>
      </c>
    </row>
    <row r="27" customFormat="false" ht="15" hidden="false" customHeight="true" outlineLevel="0" collapsed="false">
      <c r="A27" s="8" t="s">
        <v>59</v>
      </c>
      <c r="B27" s="30" t="n">
        <f aca="false">SUMIFS(Détail!$E:$E,Détail!$D:$D,"FIRMENICH",Détail!$A:$A,"&gt;="&amp;DATE(2026,4,1),Détail!$A:$A,"&lt;"&amp;EDATE(DATE(2026,4,1),1))</f>
        <v>0</v>
      </c>
    </row>
    <row r="28" customFormat="false" ht="15" hidden="false" customHeight="true" outlineLevel="0" collapsed="false">
      <c r="A28" s="8" t="s">
        <v>60</v>
      </c>
      <c r="B28" s="30" t="n">
        <f aca="false">SUMIFS(Détail!$E:$E,Détail!$D:$D,"FIRMENICH",Détail!$A:$A,"&gt;="&amp;DATE(2026,5,1),Détail!$A:$A,"&lt;"&amp;EDATE(DATE(2026,5,1),1))</f>
        <v>-19500.6</v>
      </c>
    </row>
    <row r="29" customFormat="false" ht="15" hidden="false" customHeight="true" outlineLevel="0" collapsed="false">
      <c r="A29" s="8" t="s">
        <v>61</v>
      </c>
      <c r="B29" s="30" t="n">
        <f aca="false">SUMIFS(Détail!$E:$E,Détail!$D:$D,"FIRMENICH",Détail!$A:$A,"&gt;="&amp;DATE(2026,6,1),Détail!$A:$A,"&lt;"&amp;EDATE(DATE(2026,6,1),1))</f>
        <v>0</v>
      </c>
    </row>
    <row r="30" customFormat="false" ht="15" hidden="false" customHeight="true" outlineLevel="0" collapsed="false">
      <c r="A30" s="8" t="s">
        <v>62</v>
      </c>
      <c r="B30" s="30" t="n">
        <f aca="false">SUMIFS(Détail!$E:$E,Détail!$D:$D,"FIRMENICH",Détail!$A:$A,"&gt;="&amp;DATE(2026,7,1),Détail!$A:$A,"&lt;"&amp;EDATE(DATE(2026,7,1),1))</f>
        <v>0</v>
      </c>
    </row>
    <row r="33" customFormat="false" ht="15" hidden="false" customHeight="true" outlineLevel="0" collapsed="false">
      <c r="A33" s="28" t="s">
        <v>78</v>
      </c>
      <c r="B33" s="28"/>
      <c r="C33" s="29" t="n">
        <f aca="false">SUMIF(Détail!$D:$D,"CARTONNAGES  DU VAL D ORGE",Détail!$E:$E)</f>
        <v>-7922.52</v>
      </c>
    </row>
    <row r="34" customFormat="false" ht="15" hidden="false" customHeight="true" outlineLevel="0" collapsed="false">
      <c r="A34" s="23" t="s">
        <v>54</v>
      </c>
      <c r="B34" s="23" t="s">
        <v>55</v>
      </c>
    </row>
    <row r="35" customFormat="false" ht="15" hidden="false" customHeight="true" outlineLevel="0" collapsed="false">
      <c r="A35" s="8" t="s">
        <v>56</v>
      </c>
      <c r="B35" s="30" t="n">
        <f aca="false">SUMIFS(Détail!$E:$E,Détail!$D:$D,"CARTONNAGES  DU VAL D ORGE",Détail!$A:$A,"&gt;="&amp;DATE(2026,1,1),Détail!$A:$A,"&lt;"&amp;EDATE(DATE(2026,1,1),1))</f>
        <v>-1828.8</v>
      </c>
    </row>
    <row r="36" customFormat="false" ht="15" hidden="false" customHeight="true" outlineLevel="0" collapsed="false">
      <c r="A36" s="8" t="s">
        <v>57</v>
      </c>
      <c r="B36" s="30" t="n">
        <f aca="false">SUMIFS(Détail!$E:$E,Détail!$D:$D,"CARTONNAGES  DU VAL D ORGE",Détail!$A:$A,"&gt;="&amp;DATE(2026,2,1),Détail!$A:$A,"&lt;"&amp;EDATE(DATE(2026,2,1),1))</f>
        <v>0</v>
      </c>
    </row>
    <row r="37" customFormat="false" ht="15" hidden="false" customHeight="true" outlineLevel="0" collapsed="false">
      <c r="A37" s="8" t="s">
        <v>59</v>
      </c>
      <c r="B37" s="30" t="n">
        <f aca="false">SUMIFS(Détail!$E:$E,Détail!$D:$D,"CARTONNAGES  DU VAL D ORGE",Détail!$A:$A,"&gt;="&amp;DATE(2026,4,1),Détail!$A:$A,"&lt;"&amp;EDATE(DATE(2026,4,1),1))</f>
        <v>0</v>
      </c>
    </row>
    <row r="38" customFormat="false" ht="15" hidden="false" customHeight="true" outlineLevel="0" collapsed="false">
      <c r="A38" s="8" t="s">
        <v>60</v>
      </c>
      <c r="B38" s="30" t="n">
        <f aca="false">SUMIFS(Détail!$E:$E,Détail!$D:$D,"CARTONNAGES  DU VAL D ORGE",Détail!$A:$A,"&gt;="&amp;DATE(2026,5,1),Détail!$A:$A,"&lt;"&amp;EDATE(DATE(2026,5,1),1))</f>
        <v>-6093.72</v>
      </c>
    </row>
    <row r="39" customFormat="false" ht="15" hidden="false" customHeight="true" outlineLevel="0" collapsed="false">
      <c r="A39" s="8" t="s">
        <v>61</v>
      </c>
      <c r="B39" s="30" t="n">
        <f aca="false">SUMIFS(Détail!$E:$E,Détail!$D:$D,"CARTONNAGES  DU VAL D ORGE",Détail!$A:$A,"&gt;="&amp;DATE(2026,6,1),Détail!$A:$A,"&lt;"&amp;EDATE(DATE(2026,6,1),1))</f>
        <v>0</v>
      </c>
    </row>
    <row r="40" customFormat="false" ht="15" hidden="false" customHeight="true" outlineLevel="0" collapsed="false">
      <c r="A40" s="8" t="s">
        <v>62</v>
      </c>
      <c r="B40" s="30" t="n">
        <f aca="false">SUMIFS(Détail!$E:$E,Détail!$D:$D,"CARTONNAGES  DU VAL D ORGE",Détail!$A:$A,"&gt;="&amp;DATE(2026,7,1),Détail!$A:$A,"&lt;"&amp;EDATE(DATE(2026,7,1),1))</f>
        <v>0</v>
      </c>
    </row>
    <row r="43" customFormat="false" ht="15" hidden="false" customHeight="true" outlineLevel="0" collapsed="false">
      <c r="A43" s="28" t="s">
        <v>79</v>
      </c>
      <c r="B43" s="28"/>
      <c r="C43" s="29" t="n">
        <f aca="false">SUMIF(Détail!$D:$D,"SLEEVE CONCEPT",Détail!$E:$E)</f>
        <v>-7707.85</v>
      </c>
    </row>
    <row r="44" customFormat="false" ht="15" hidden="false" customHeight="true" outlineLevel="0" collapsed="false">
      <c r="A44" s="23" t="s">
        <v>54</v>
      </c>
      <c r="B44" s="23" t="s">
        <v>55</v>
      </c>
    </row>
    <row r="45" customFormat="false" ht="15" hidden="false" customHeight="true" outlineLevel="0" collapsed="false">
      <c r="A45" s="8" t="s">
        <v>56</v>
      </c>
      <c r="B45" s="30" t="n">
        <f aca="false">SUMIFS(Détail!$E:$E,Détail!$D:$D,"SLEEVE CONCEPT",Détail!$A:$A,"&gt;="&amp;DATE(2026,1,1),Détail!$A:$A,"&lt;"&amp;EDATE(DATE(2026,1,1),1))</f>
        <v>-7707.85</v>
      </c>
    </row>
    <row r="46" customFormat="false" ht="15" hidden="false" customHeight="true" outlineLevel="0" collapsed="false">
      <c r="A46" s="8" t="s">
        <v>57</v>
      </c>
      <c r="B46" s="30" t="n">
        <f aca="false">SUMIFS(Détail!$E:$E,Détail!$D:$D,"SLEEVE CONCEPT",Détail!$A:$A,"&gt;="&amp;DATE(2026,2,1),Détail!$A:$A,"&lt;"&amp;EDATE(DATE(2026,2,1),1))</f>
        <v>0</v>
      </c>
    </row>
    <row r="47" customFormat="false" ht="15" hidden="false" customHeight="true" outlineLevel="0" collapsed="false">
      <c r="A47" s="8" t="s">
        <v>59</v>
      </c>
      <c r="B47" s="30" t="n">
        <f aca="false">SUMIFS(Détail!$E:$E,Détail!$D:$D,"SLEEVE CONCEPT",Détail!$A:$A,"&gt;="&amp;DATE(2026,4,1),Détail!$A:$A,"&lt;"&amp;EDATE(DATE(2026,4,1),1))</f>
        <v>0</v>
      </c>
    </row>
    <row r="48" customFormat="false" ht="15" hidden="false" customHeight="true" outlineLevel="0" collapsed="false">
      <c r="A48" s="8" t="s">
        <v>60</v>
      </c>
      <c r="B48" s="30" t="n">
        <f aca="false">SUMIFS(Détail!$E:$E,Détail!$D:$D,"SLEEVE CONCEPT",Détail!$A:$A,"&gt;="&amp;DATE(2026,5,1),Détail!$A:$A,"&lt;"&amp;EDATE(DATE(2026,5,1),1))</f>
        <v>0</v>
      </c>
    </row>
    <row r="49" customFormat="false" ht="15" hidden="false" customHeight="true" outlineLevel="0" collapsed="false">
      <c r="A49" s="8" t="s">
        <v>61</v>
      </c>
      <c r="B49" s="30" t="n">
        <f aca="false">SUMIFS(Détail!$E:$E,Détail!$D:$D,"SLEEVE CONCEPT",Détail!$A:$A,"&gt;="&amp;DATE(2026,6,1),Détail!$A:$A,"&lt;"&amp;EDATE(DATE(2026,6,1),1))</f>
        <v>0</v>
      </c>
    </row>
    <row r="50" customFormat="false" ht="15" hidden="false" customHeight="true" outlineLevel="0" collapsed="false">
      <c r="A50" s="8" t="s">
        <v>62</v>
      </c>
      <c r="B50" s="30" t="n">
        <f aca="false">SUMIFS(Détail!$E:$E,Détail!$D:$D,"SLEEVE CONCEPT",Détail!$A:$A,"&gt;="&amp;DATE(2026,7,1),Détail!$A:$A,"&lt;"&amp;EDATE(DATE(2026,7,1),1))</f>
        <v>0</v>
      </c>
    </row>
    <row r="53" customFormat="false" ht="15" hidden="false" customHeight="true" outlineLevel="0" collapsed="false">
      <c r="A53" s="28" t="s">
        <v>80</v>
      </c>
      <c r="B53" s="28"/>
      <c r="C53" s="29" t="n">
        <f aca="false">SUMIF(Détail!$D:$D,"NEROLI FRANCE",Détail!$E:$E)</f>
        <v>-6837.75</v>
      </c>
    </row>
    <row r="54" customFormat="false" ht="15" hidden="false" customHeight="true" outlineLevel="0" collapsed="false">
      <c r="A54" s="23" t="s">
        <v>54</v>
      </c>
      <c r="B54" s="23" t="s">
        <v>55</v>
      </c>
    </row>
    <row r="55" customFormat="false" ht="15" hidden="false" customHeight="true" outlineLevel="0" collapsed="false">
      <c r="A55" s="8" t="s">
        <v>56</v>
      </c>
      <c r="B55" s="30" t="n">
        <f aca="false">SUMIFS(Détail!$E:$E,Détail!$D:$D,"NEROLI FRANCE",Détail!$A:$A,"&gt;="&amp;DATE(2026,1,1),Détail!$A:$A,"&lt;"&amp;EDATE(DATE(2026,1,1),1))</f>
        <v>0</v>
      </c>
    </row>
    <row r="56" customFormat="false" ht="15" hidden="false" customHeight="true" outlineLevel="0" collapsed="false">
      <c r="A56" s="8" t="s">
        <v>57</v>
      </c>
      <c r="B56" s="30" t="n">
        <f aca="false">SUMIFS(Détail!$E:$E,Détail!$D:$D,"NEROLI FRANCE",Détail!$A:$A,"&gt;="&amp;DATE(2026,2,1),Détail!$A:$A,"&lt;"&amp;EDATE(DATE(2026,2,1),1))</f>
        <v>0</v>
      </c>
    </row>
    <row r="57" customFormat="false" ht="15" hidden="false" customHeight="true" outlineLevel="0" collapsed="false">
      <c r="A57" s="8" t="s">
        <v>59</v>
      </c>
      <c r="B57" s="30" t="n">
        <f aca="false">SUMIFS(Détail!$E:$E,Détail!$D:$D,"NEROLI FRANCE",Détail!$A:$A,"&gt;="&amp;DATE(2026,4,1),Détail!$A:$A,"&lt;"&amp;EDATE(DATE(2026,4,1),1))</f>
        <v>0</v>
      </c>
    </row>
    <row r="58" customFormat="false" ht="15" hidden="false" customHeight="true" outlineLevel="0" collapsed="false">
      <c r="A58" s="8" t="s">
        <v>60</v>
      </c>
      <c r="B58" s="30" t="n">
        <f aca="false">SUMIFS(Détail!$E:$E,Détail!$D:$D,"NEROLI FRANCE",Détail!$A:$A,"&gt;="&amp;DATE(2026,5,1),Détail!$A:$A,"&lt;"&amp;EDATE(DATE(2026,5,1),1))</f>
        <v>0</v>
      </c>
    </row>
    <row r="59" customFormat="false" ht="15" hidden="false" customHeight="true" outlineLevel="0" collapsed="false">
      <c r="A59" s="8" t="s">
        <v>61</v>
      </c>
      <c r="B59" s="30" t="n">
        <f aca="false">SUMIFS(Détail!$E:$E,Détail!$D:$D,"NEROLI FRANCE",Détail!$A:$A,"&gt;="&amp;DATE(2026,6,1),Détail!$A:$A,"&lt;"&amp;EDATE(DATE(2026,6,1),1))</f>
        <v>-6837.75</v>
      </c>
    </row>
    <row r="60" customFormat="false" ht="15" hidden="false" customHeight="true" outlineLevel="0" collapsed="false">
      <c r="A60" s="8" t="s">
        <v>62</v>
      </c>
      <c r="B60" s="30" t="n">
        <f aca="false">SUMIFS(Détail!$E:$E,Détail!$D:$D,"NEROLI FRANCE",Détail!$A:$A,"&gt;="&amp;DATE(2026,7,1),Détail!$A:$A,"&lt;"&amp;EDATE(DATE(2026,7,1),1))</f>
        <v>0</v>
      </c>
    </row>
    <row r="63" customFormat="false" ht="15" hidden="false" customHeight="true" outlineLevel="0" collapsed="false">
      <c r="A63" s="28" t="s">
        <v>81</v>
      </c>
      <c r="B63" s="28"/>
      <c r="C63" s="29" t="n">
        <f aca="false">SUMIF(Détail!$D:$D,"SLEEVE  CONCEPT",Détail!$E:$E)</f>
        <v>-5828.01</v>
      </c>
    </row>
    <row r="64" customFormat="false" ht="15" hidden="false" customHeight="true" outlineLevel="0" collapsed="false">
      <c r="A64" s="23" t="s">
        <v>54</v>
      </c>
      <c r="B64" s="23" t="s">
        <v>55</v>
      </c>
    </row>
    <row r="65" customFormat="false" ht="15" hidden="false" customHeight="true" outlineLevel="0" collapsed="false">
      <c r="A65" s="8" t="s">
        <v>56</v>
      </c>
      <c r="B65" s="30" t="n">
        <f aca="false">SUMIFS(Détail!$E:$E,Détail!$D:$D,"SLEEVE  CONCEPT",Détail!$A:$A,"&gt;="&amp;DATE(2026,1,1),Détail!$A:$A,"&lt;"&amp;EDATE(DATE(2026,1,1),1))</f>
        <v>0</v>
      </c>
    </row>
    <row r="66" customFormat="false" ht="15" hidden="false" customHeight="true" outlineLevel="0" collapsed="false">
      <c r="A66" s="8" t="s">
        <v>57</v>
      </c>
      <c r="B66" s="30" t="n">
        <f aca="false">SUMIFS(Détail!$E:$E,Détail!$D:$D,"SLEEVE  CONCEPT",Détail!$A:$A,"&gt;="&amp;DATE(2026,2,1),Détail!$A:$A,"&lt;"&amp;EDATE(DATE(2026,2,1),1))</f>
        <v>0</v>
      </c>
    </row>
    <row r="67" customFormat="false" ht="15" hidden="false" customHeight="true" outlineLevel="0" collapsed="false">
      <c r="A67" s="8" t="s">
        <v>59</v>
      </c>
      <c r="B67" s="30" t="n">
        <f aca="false">SUMIFS(Détail!$E:$E,Détail!$D:$D,"SLEEVE  CONCEPT",Détail!$A:$A,"&gt;="&amp;DATE(2026,4,1),Détail!$A:$A,"&lt;"&amp;EDATE(DATE(2026,4,1),1))</f>
        <v>-3176.4</v>
      </c>
    </row>
    <row r="68" customFormat="false" ht="15" hidden="false" customHeight="true" outlineLevel="0" collapsed="false">
      <c r="A68" s="8" t="s">
        <v>60</v>
      </c>
      <c r="B68" s="30" t="n">
        <f aca="false">SUMIFS(Détail!$E:$E,Détail!$D:$D,"SLEEVE  CONCEPT",Détail!$A:$A,"&gt;="&amp;DATE(2026,5,1),Détail!$A:$A,"&lt;"&amp;EDATE(DATE(2026,5,1),1))</f>
        <v>0</v>
      </c>
    </row>
    <row r="69" customFormat="false" ht="15" hidden="false" customHeight="true" outlineLevel="0" collapsed="false">
      <c r="A69" s="8" t="s">
        <v>61</v>
      </c>
      <c r="B69" s="30" t="n">
        <f aca="false">SUMIFS(Détail!$E:$E,Détail!$D:$D,"SLEEVE  CONCEPT",Détail!$A:$A,"&gt;="&amp;DATE(2026,6,1),Détail!$A:$A,"&lt;"&amp;EDATE(DATE(2026,6,1),1))</f>
        <v>-2651.61</v>
      </c>
    </row>
    <row r="70" customFormat="false" ht="15" hidden="false" customHeight="true" outlineLevel="0" collapsed="false">
      <c r="A70" s="8" t="s">
        <v>62</v>
      </c>
      <c r="B70" s="30" t="n">
        <f aca="false">SUMIFS(Détail!$E:$E,Détail!$D:$D,"SLEEVE  CONCEPT",Détail!$A:$A,"&gt;="&amp;DATE(2026,7,1),Détail!$A:$A,"&lt;"&amp;EDATE(DATE(2026,7,1),1))</f>
        <v>0</v>
      </c>
    </row>
    <row r="73" customFormat="false" ht="15" hidden="false" customHeight="true" outlineLevel="0" collapsed="false">
      <c r="A73" s="28" t="s">
        <v>82</v>
      </c>
      <c r="B73" s="28"/>
      <c r="C73" s="29" t="n">
        <f aca="false">SUMIF(Détail!$D:$D,"NASMIR EUROPE FRAGRANCES",Détail!$E:$E)</f>
        <v>-2432</v>
      </c>
    </row>
    <row r="74" customFormat="false" ht="15" hidden="false" customHeight="true" outlineLevel="0" collapsed="false">
      <c r="A74" s="23" t="s">
        <v>54</v>
      </c>
      <c r="B74" s="23" t="s">
        <v>55</v>
      </c>
    </row>
    <row r="75" customFormat="false" ht="15" hidden="false" customHeight="true" outlineLevel="0" collapsed="false">
      <c r="A75" s="8" t="s">
        <v>56</v>
      </c>
      <c r="B75" s="30" t="n">
        <f aca="false">SUMIFS(Détail!$E:$E,Détail!$D:$D,"NASMIR EUROPE FRAGRANCES",Détail!$A:$A,"&gt;="&amp;DATE(2026,1,1),Détail!$A:$A,"&lt;"&amp;EDATE(DATE(2026,1,1),1))</f>
        <v>0</v>
      </c>
    </row>
    <row r="76" customFormat="false" ht="15" hidden="false" customHeight="true" outlineLevel="0" collapsed="false">
      <c r="A76" s="8" t="s">
        <v>57</v>
      </c>
      <c r="B76" s="30" t="n">
        <f aca="false">SUMIFS(Détail!$E:$E,Détail!$D:$D,"NASMIR EUROPE FRAGRANCES",Détail!$A:$A,"&gt;="&amp;DATE(2026,2,1),Détail!$A:$A,"&lt;"&amp;EDATE(DATE(2026,2,1),1))</f>
        <v>0</v>
      </c>
    </row>
    <row r="77" customFormat="false" ht="15" hidden="false" customHeight="true" outlineLevel="0" collapsed="false">
      <c r="A77" s="8" t="s">
        <v>59</v>
      </c>
      <c r="B77" s="30" t="n">
        <f aca="false">SUMIFS(Détail!$E:$E,Détail!$D:$D,"NASMIR EUROPE FRAGRANCES",Détail!$A:$A,"&gt;="&amp;DATE(2026,4,1),Détail!$A:$A,"&lt;"&amp;EDATE(DATE(2026,4,1),1))</f>
        <v>0</v>
      </c>
    </row>
    <row r="78" customFormat="false" ht="15" hidden="false" customHeight="true" outlineLevel="0" collapsed="false">
      <c r="A78" s="8" t="s">
        <v>60</v>
      </c>
      <c r="B78" s="30" t="n">
        <f aca="false">SUMIFS(Détail!$E:$E,Détail!$D:$D,"NASMIR EUROPE FRAGRANCES",Détail!$A:$A,"&gt;="&amp;DATE(2026,5,1),Détail!$A:$A,"&lt;"&amp;EDATE(DATE(2026,5,1),1))</f>
        <v>-2432</v>
      </c>
    </row>
    <row r="79" customFormat="false" ht="15" hidden="false" customHeight="true" outlineLevel="0" collapsed="false">
      <c r="A79" s="8" t="s">
        <v>61</v>
      </c>
      <c r="B79" s="30" t="n">
        <f aca="false">SUMIFS(Détail!$E:$E,Détail!$D:$D,"NASMIR EUROPE FRAGRANCES",Détail!$A:$A,"&gt;="&amp;DATE(2026,6,1),Détail!$A:$A,"&lt;"&amp;EDATE(DATE(2026,6,1),1))</f>
        <v>0</v>
      </c>
    </row>
    <row r="80" customFormat="false" ht="15" hidden="false" customHeight="true" outlineLevel="0" collapsed="false">
      <c r="A80" s="8" t="s">
        <v>62</v>
      </c>
      <c r="B80" s="30" t="n">
        <f aca="false">SUMIFS(Détail!$E:$E,Détail!$D:$D,"NASMIR EUROPE FRAGRANCES",Détail!$A:$A,"&gt;="&amp;DATE(2026,7,1),Détail!$A:$A,"&lt;"&amp;EDATE(DATE(2026,7,1),1))</f>
        <v>0</v>
      </c>
    </row>
    <row r="83" customFormat="false" ht="15" hidden="false" customHeight="true" outlineLevel="0" collapsed="false">
      <c r="A83" s="28" t="s">
        <v>83</v>
      </c>
      <c r="B83" s="28"/>
      <c r="C83" s="29" t="n">
        <f aca="false">SUMIF(Détail!$D:$D,"NASMIR  EUROPE FRAGRANCES",Détail!$E:$E)</f>
        <v>-1738.5</v>
      </c>
    </row>
    <row r="84" customFormat="false" ht="15" hidden="false" customHeight="true" outlineLevel="0" collapsed="false">
      <c r="A84" s="23" t="s">
        <v>54</v>
      </c>
      <c r="B84" s="23" t="s">
        <v>55</v>
      </c>
    </row>
    <row r="85" customFormat="false" ht="15" hidden="false" customHeight="true" outlineLevel="0" collapsed="false">
      <c r="A85" s="8" t="s">
        <v>56</v>
      </c>
      <c r="B85" s="30" t="n">
        <f aca="false">SUMIFS(Détail!$E:$E,Détail!$D:$D,"NASMIR  EUROPE FRAGRANCES",Détail!$A:$A,"&gt;="&amp;DATE(2026,1,1),Détail!$A:$A,"&lt;"&amp;EDATE(DATE(2026,1,1),1))</f>
        <v>0</v>
      </c>
    </row>
    <row r="86" customFormat="false" ht="15" hidden="false" customHeight="true" outlineLevel="0" collapsed="false">
      <c r="A86" s="8" t="s">
        <v>57</v>
      </c>
      <c r="B86" s="30" t="n">
        <f aca="false">SUMIFS(Détail!$E:$E,Détail!$D:$D,"NASMIR  EUROPE FRAGRANCES",Détail!$A:$A,"&gt;="&amp;DATE(2026,2,1),Détail!$A:$A,"&lt;"&amp;EDATE(DATE(2026,2,1),1))</f>
        <v>0</v>
      </c>
    </row>
    <row r="87" customFormat="false" ht="15" hidden="false" customHeight="true" outlineLevel="0" collapsed="false">
      <c r="A87" s="8" t="s">
        <v>59</v>
      </c>
      <c r="B87" s="30" t="n">
        <f aca="false">SUMIFS(Détail!$E:$E,Détail!$D:$D,"NASMIR  EUROPE FRAGRANCES",Détail!$A:$A,"&gt;="&amp;DATE(2026,4,1),Détail!$A:$A,"&lt;"&amp;EDATE(DATE(2026,4,1),1))</f>
        <v>0</v>
      </c>
    </row>
    <row r="88" customFormat="false" ht="15" hidden="false" customHeight="true" outlineLevel="0" collapsed="false">
      <c r="A88" s="8" t="s">
        <v>60</v>
      </c>
      <c r="B88" s="30" t="n">
        <f aca="false">SUMIFS(Détail!$E:$E,Détail!$D:$D,"NASMIR  EUROPE FRAGRANCES",Détail!$A:$A,"&gt;="&amp;DATE(2026,5,1),Détail!$A:$A,"&lt;"&amp;EDATE(DATE(2026,5,1),1))</f>
        <v>0</v>
      </c>
    </row>
    <row r="89" customFormat="false" ht="15" hidden="false" customHeight="true" outlineLevel="0" collapsed="false">
      <c r="A89" s="8" t="s">
        <v>61</v>
      </c>
      <c r="B89" s="30" t="n">
        <f aca="false">SUMIFS(Détail!$E:$E,Détail!$D:$D,"NASMIR  EUROPE FRAGRANCES",Détail!$A:$A,"&gt;="&amp;DATE(2026,6,1),Détail!$A:$A,"&lt;"&amp;EDATE(DATE(2026,6,1),1))</f>
        <v>-1738.5</v>
      </c>
    </row>
    <row r="90" customFormat="false" ht="15" hidden="false" customHeight="true" outlineLevel="0" collapsed="false">
      <c r="A90" s="8" t="s">
        <v>62</v>
      </c>
      <c r="B90" s="30" t="n">
        <f aca="false">SUMIFS(Détail!$E:$E,Détail!$D:$D,"NASMIR  EUROPE FRAGRANCES",Détail!$A:$A,"&gt;="&amp;DATE(2026,7,1),Détail!$A:$A,"&lt;"&amp;EDATE(DATE(2026,7,1),1))</f>
        <v>0</v>
      </c>
    </row>
    <row r="93" customFormat="false" ht="15" hidden="false" customHeight="true" outlineLevel="0" collapsed="false">
      <c r="A93" s="28" t="s">
        <v>84</v>
      </c>
      <c r="B93" s="28"/>
      <c r="C93" s="29" t="n">
        <f aca="false">SUMIF(Détail!$D:$D,"SCENTIS",Détail!$E:$E)</f>
        <v>-1188</v>
      </c>
    </row>
    <row r="94" customFormat="false" ht="15" hidden="false" customHeight="true" outlineLevel="0" collapsed="false">
      <c r="A94" s="23" t="s">
        <v>54</v>
      </c>
      <c r="B94" s="23" t="s">
        <v>55</v>
      </c>
    </row>
    <row r="95" customFormat="false" ht="15" hidden="false" customHeight="true" outlineLevel="0" collapsed="false">
      <c r="A95" s="8" t="s">
        <v>56</v>
      </c>
      <c r="B95" s="30" t="n">
        <f aca="false">SUMIFS(Détail!$E:$E,Détail!$D:$D,"SCENTIS",Détail!$A:$A,"&gt;="&amp;DATE(2026,1,1),Détail!$A:$A,"&lt;"&amp;EDATE(DATE(2026,1,1),1))</f>
        <v>-1188</v>
      </c>
    </row>
    <row r="96" customFormat="false" ht="15" hidden="false" customHeight="true" outlineLevel="0" collapsed="false">
      <c r="A96" s="8" t="s">
        <v>57</v>
      </c>
      <c r="B96" s="30" t="n">
        <f aca="false">SUMIFS(Détail!$E:$E,Détail!$D:$D,"SCENTIS",Détail!$A:$A,"&gt;="&amp;DATE(2026,2,1),Détail!$A:$A,"&lt;"&amp;EDATE(DATE(2026,2,1),1))</f>
        <v>0</v>
      </c>
    </row>
    <row r="97" customFormat="false" ht="15" hidden="false" customHeight="true" outlineLevel="0" collapsed="false">
      <c r="A97" s="8" t="s">
        <v>59</v>
      </c>
      <c r="B97" s="30" t="n">
        <f aca="false">SUMIFS(Détail!$E:$E,Détail!$D:$D,"SCENTIS",Détail!$A:$A,"&gt;="&amp;DATE(2026,4,1),Détail!$A:$A,"&lt;"&amp;EDATE(DATE(2026,4,1),1))</f>
        <v>0</v>
      </c>
    </row>
    <row r="98" customFormat="false" ht="15" hidden="false" customHeight="true" outlineLevel="0" collapsed="false">
      <c r="A98" s="8" t="s">
        <v>60</v>
      </c>
      <c r="B98" s="30" t="n">
        <f aca="false">SUMIFS(Détail!$E:$E,Détail!$D:$D,"SCENTIS",Détail!$A:$A,"&gt;="&amp;DATE(2026,5,1),Détail!$A:$A,"&lt;"&amp;EDATE(DATE(2026,5,1),1))</f>
        <v>0</v>
      </c>
    </row>
    <row r="99" customFormat="false" ht="15" hidden="false" customHeight="true" outlineLevel="0" collapsed="false">
      <c r="A99" s="8" t="s">
        <v>61</v>
      </c>
      <c r="B99" s="30" t="n">
        <f aca="false">SUMIFS(Détail!$E:$E,Détail!$D:$D,"SCENTIS",Détail!$A:$A,"&gt;="&amp;DATE(2026,6,1),Détail!$A:$A,"&lt;"&amp;EDATE(DATE(2026,6,1),1))</f>
        <v>0</v>
      </c>
    </row>
    <row r="100" customFormat="false" ht="15" hidden="false" customHeight="true" outlineLevel="0" collapsed="false">
      <c r="A100" s="8" t="s">
        <v>62</v>
      </c>
      <c r="B100" s="30" t="n">
        <f aca="false">SUMIFS(Détail!$E:$E,Détail!$D:$D,"SCENTIS",Détail!$A:$A,"&gt;="&amp;DATE(2026,7,1),Détail!$A:$A,"&lt;"&amp;EDATE(DATE(2026,7,1),1))</f>
        <v>0</v>
      </c>
    </row>
    <row r="103" customFormat="false" ht="15" hidden="false" customHeight="true" outlineLevel="0" collapsed="false">
      <c r="A103" s="28" t="s">
        <v>85</v>
      </c>
      <c r="B103" s="28"/>
      <c r="C103" s="29" t="n">
        <f aca="false">SUMIF(Détail!$D:$D,"NATURAL SOLTER",Détail!$E:$E)</f>
        <v>-242</v>
      </c>
    </row>
    <row r="104" customFormat="false" ht="15" hidden="false" customHeight="true" outlineLevel="0" collapsed="false">
      <c r="A104" s="23" t="s">
        <v>54</v>
      </c>
      <c r="B104" s="23" t="s">
        <v>55</v>
      </c>
    </row>
    <row r="105" customFormat="false" ht="15" hidden="false" customHeight="true" outlineLevel="0" collapsed="false">
      <c r="A105" s="8" t="s">
        <v>56</v>
      </c>
      <c r="B105" s="30" t="n">
        <f aca="false">SUMIFS(Détail!$E:$E,Détail!$D:$D,"NATURAL SOLTER",Détail!$A:$A,"&gt;="&amp;DATE(2026,1,1),Détail!$A:$A,"&lt;"&amp;EDATE(DATE(2026,1,1),1))</f>
        <v>0</v>
      </c>
    </row>
    <row r="106" customFormat="false" ht="15" hidden="false" customHeight="true" outlineLevel="0" collapsed="false">
      <c r="A106" s="8" t="s">
        <v>57</v>
      </c>
      <c r="B106" s="30" t="n">
        <f aca="false">SUMIFS(Détail!$E:$E,Détail!$D:$D,"NATURAL SOLTER",Détail!$A:$A,"&gt;="&amp;DATE(2026,2,1),Détail!$A:$A,"&lt;"&amp;EDATE(DATE(2026,2,1),1))</f>
        <v>0</v>
      </c>
    </row>
    <row r="107" customFormat="false" ht="15" hidden="false" customHeight="true" outlineLevel="0" collapsed="false">
      <c r="A107" s="8" t="s">
        <v>59</v>
      </c>
      <c r="B107" s="30" t="n">
        <f aca="false">SUMIFS(Détail!$E:$E,Détail!$D:$D,"NATURAL SOLTER",Détail!$A:$A,"&gt;="&amp;DATE(2026,4,1),Détail!$A:$A,"&lt;"&amp;EDATE(DATE(2026,4,1),1))</f>
        <v>0</v>
      </c>
    </row>
    <row r="108" customFormat="false" ht="15" hidden="false" customHeight="true" outlineLevel="0" collapsed="false">
      <c r="A108" s="8" t="s">
        <v>60</v>
      </c>
      <c r="B108" s="30" t="n">
        <f aca="false">SUMIFS(Détail!$E:$E,Détail!$D:$D,"NATURAL SOLTER",Détail!$A:$A,"&gt;="&amp;DATE(2026,5,1),Détail!$A:$A,"&lt;"&amp;EDATE(DATE(2026,5,1),1))</f>
        <v>0</v>
      </c>
    </row>
    <row r="109" customFormat="false" ht="15" hidden="false" customHeight="true" outlineLevel="0" collapsed="false">
      <c r="A109" s="8" t="s">
        <v>61</v>
      </c>
      <c r="B109" s="30" t="n">
        <f aca="false">SUMIFS(Détail!$E:$E,Détail!$D:$D,"NATURAL SOLTER",Détail!$A:$A,"&gt;="&amp;DATE(2026,6,1),Détail!$A:$A,"&lt;"&amp;EDATE(DATE(2026,6,1),1))</f>
        <v>0</v>
      </c>
    </row>
    <row r="110" customFormat="false" ht="15" hidden="false" customHeight="true" outlineLevel="0" collapsed="false">
      <c r="A110" s="8" t="s">
        <v>62</v>
      </c>
      <c r="B110" s="30" t="n">
        <f aca="false">SUMIFS(Détail!$E:$E,Détail!$D:$D,"NATURAL SOLTER",Détail!$A:$A,"&gt;="&amp;DATE(2026,7,1),Détail!$A:$A,"&lt;"&amp;EDATE(DATE(2026,7,1),1))</f>
        <v>-242</v>
      </c>
    </row>
  </sheetData>
  <mergeCells count="11">
    <mergeCell ref="A3:B3"/>
    <mergeCell ref="A13:B13"/>
    <mergeCell ref="A23:B23"/>
    <mergeCell ref="A33:B33"/>
    <mergeCell ref="A43:B43"/>
    <mergeCell ref="A53:B53"/>
    <mergeCell ref="A63:B63"/>
    <mergeCell ref="A73:B73"/>
    <mergeCell ref="A83:B83"/>
    <mergeCell ref="A93:B93"/>
    <mergeCell ref="A103:B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86</v>
      </c>
    </row>
    <row r="3" customFormat="false" ht="15" hidden="false" customHeight="true" outlineLevel="0" collapsed="false">
      <c r="A3" s="28" t="s">
        <v>87</v>
      </c>
      <c r="B3" s="28"/>
      <c r="C3" s="29" t="n">
        <f aca="false">SUMIF(Détail!$D:$D,"FRANCE CONDITIONNEMENT PARFUM",Détail!$E:$E)</f>
        <v>-136758.73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SUMIFS(Détail!$E:$E,Détail!$D:$D,"FRANCE CONDITIONNEMENT PARFUM",Détail!$A:$A,"&gt;="&amp;DATE(2026,1,1),Détail!$A:$A,"&lt;"&amp;EDATE(DATE(2026,1,1),1))</f>
        <v>-23997.81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SUMIFS(Détail!$E:$E,Détail!$D:$D,"FRANCE CONDITIONNEMENT PARFUM",Détail!$A:$A,"&gt;="&amp;DATE(2026,2,1),Détail!$A:$A,"&lt;"&amp;EDATE(DATE(2026,2,1),1))</f>
        <v>-5639.86</v>
      </c>
    </row>
    <row r="7" customFormat="false" ht="15" hidden="false" customHeight="true" outlineLevel="0" collapsed="false">
      <c r="A7" s="8" t="s">
        <v>59</v>
      </c>
      <c r="B7" s="30" t="n">
        <f aca="false">SUMIFS(Détail!$E:$E,Détail!$D:$D,"FRANCE CONDITIONNEMENT PARFUM",Détail!$A:$A,"&gt;="&amp;DATE(2026,4,1),Détail!$A:$A,"&lt;"&amp;EDATE(DATE(2026,4,1),1))</f>
        <v>-24999.66</v>
      </c>
    </row>
    <row r="8" customFormat="false" ht="15" hidden="false" customHeight="true" outlineLevel="0" collapsed="false">
      <c r="A8" s="8" t="s">
        <v>60</v>
      </c>
      <c r="B8" s="30" t="n">
        <f aca="false">SUMIFS(Détail!$E:$E,Détail!$D:$D,"FRANCE CONDITIONNEMENT PARFUM",Détail!$A:$A,"&gt;="&amp;DATE(2026,5,1),Détail!$A:$A,"&lt;"&amp;EDATE(DATE(2026,5,1),1))</f>
        <v>-26556.5</v>
      </c>
    </row>
    <row r="9" customFormat="false" ht="15" hidden="false" customHeight="true" outlineLevel="0" collapsed="false">
      <c r="A9" s="8" t="s">
        <v>61</v>
      </c>
      <c r="B9" s="30" t="n">
        <f aca="false">SUMIFS(Détail!$E:$E,Détail!$D:$D,"FRANCE CONDITIONNEMENT PARFUM",Détail!$A:$A,"&gt;="&amp;DATE(2026,6,1),Détail!$A:$A,"&lt;"&amp;EDATE(DATE(2026,6,1),1))</f>
        <v>-55564.9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88</v>
      </c>
    </row>
    <row r="3" customFormat="false" ht="15" hidden="false" customHeight="true" outlineLevel="0" collapsed="false">
      <c r="A3" s="28" t="s">
        <v>89</v>
      </c>
      <c r="B3" s="28"/>
      <c r="C3" s="29" t="n">
        <f aca="false">SUMIF(Détail!$D:$D,"GOLD ROCK COMPANY LIMITED",Détail!$E:$E)</f>
        <v>-21026.95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SUMIFS(Détail!$E:$E,Détail!$D:$D,"GOLD ROCK COMPANY LIMITED",Détail!$A:$A,"&gt;="&amp;DATE(2026,1,1),Détail!$A:$A,"&lt;"&amp;EDATE(DATE(2026,1,1),1))</f>
        <v>0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SUMIFS(Détail!$E:$E,Détail!$D:$D,"GOLD ROCK COMPANY LIMITED",Détail!$A:$A,"&gt;="&amp;DATE(2026,2,1),Détail!$A:$A,"&lt;"&amp;EDATE(DATE(2026,2,1),1))</f>
        <v>0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SUMIFS(Détail!$E:$E,Détail!$D:$D,"GOLD ROCK COMPANY LIMITED",Détail!$A:$A,"&gt;="&amp;DATE(2026,3,1),Détail!$A:$A,"&lt;"&amp;EDATE(DATE(2026,3,1),1))</f>
        <v>-21026.95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SUMIFS(Détail!$E:$E,Détail!$D:$D,"GOLD ROCK COMPANY LIMITED",Détail!$A:$A,"&gt;="&amp;DATE(2026,4,1),Détail!$A:$A,"&lt;"&amp;EDATE(DATE(2026,4,1),1))</f>
        <v>0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SUMIFS(Détail!$E:$E,Détail!$D:$D,"GOLD ROCK COMPANY LIMITED",Détail!$A:$A,"&gt;="&amp;DATE(2026,5,1),Détail!$A:$A,"&lt;"&amp;EDATE(DATE(2026,5,1),1))</f>
        <v>0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SUMIFS(Détail!$E:$E,Détail!$D:$D,"GOLD ROCK COMPANY LIMITED",Détail!$A:$A,"&gt;="&amp;DATE(2026,6,1),Détail!$A:$A,"&lt;"&amp;EDATE(DATE(2026,6,1),1))</f>
        <v>0</v>
      </c>
    </row>
    <row r="13" customFormat="false" ht="15" hidden="false" customHeight="true" outlineLevel="0" collapsed="false">
      <c r="A13" s="28" t="s">
        <v>90</v>
      </c>
      <c r="B13" s="28"/>
      <c r="C13" s="29" t="n">
        <f aca="false">SUMIF(Détail!$D:$D,"LEADERS HARDWARE PLASTIC CO LIMITED",Détail!$E:$E)</f>
        <v>-15497.84</v>
      </c>
    </row>
    <row r="14" customFormat="false" ht="15" hidden="false" customHeight="true" outlineLevel="0" collapsed="false">
      <c r="A14" s="23" t="s">
        <v>54</v>
      </c>
      <c r="B14" s="23" t="s">
        <v>55</v>
      </c>
    </row>
    <row r="15" customFormat="false" ht="15" hidden="false" customHeight="true" outlineLevel="0" collapsed="false">
      <c r="A15" s="8" t="s">
        <v>56</v>
      </c>
      <c r="B15" s="30" t="n">
        <f aca="false">SUMIFS(Détail!$E:$E,Détail!$D:$D,"LEADERS HARDWARE PLASTIC CO LIMITED",Détail!$A:$A,"&gt;="&amp;DATE(2026,1,1),Détail!$A:$A,"&lt;"&amp;EDATE(DATE(2026,1,1),1))</f>
        <v>0</v>
      </c>
    </row>
    <row r="16" customFormat="false" ht="15" hidden="false" customHeight="true" outlineLevel="0" collapsed="false">
      <c r="A16" s="8" t="s">
        <v>57</v>
      </c>
      <c r="B16" s="30" t="n">
        <f aca="false">SUMIFS(Détail!$E:$E,Détail!$D:$D,"LEADERS HARDWARE PLASTIC CO LIMITED",Détail!$A:$A,"&gt;="&amp;DATE(2026,2,1),Détail!$A:$A,"&lt;"&amp;EDATE(DATE(2026,2,1),1))</f>
        <v>0</v>
      </c>
    </row>
    <row r="17" customFormat="false" ht="15" hidden="false" customHeight="true" outlineLevel="0" collapsed="false">
      <c r="A17" s="8" t="s">
        <v>58</v>
      </c>
      <c r="B17" s="30" t="n">
        <f aca="false">SUMIFS(Détail!$E:$E,Détail!$D:$D,"LEADERS HARDWARE PLASTIC CO LIMITED",Détail!$A:$A,"&gt;="&amp;DATE(2026,3,1),Détail!$A:$A,"&lt;"&amp;EDATE(DATE(2026,3,1),1))</f>
        <v>-3489.28</v>
      </c>
    </row>
    <row r="18" customFormat="false" ht="15" hidden="false" customHeight="true" outlineLevel="0" collapsed="false">
      <c r="A18" s="8" t="s">
        <v>59</v>
      </c>
      <c r="B18" s="30" t="n">
        <f aca="false">SUMIFS(Détail!$E:$E,Détail!$D:$D,"LEADERS HARDWARE PLASTIC CO LIMITED",Détail!$A:$A,"&gt;="&amp;DATE(2026,4,1),Détail!$A:$A,"&lt;"&amp;EDATE(DATE(2026,4,1),1))</f>
        <v>-4373.08</v>
      </c>
    </row>
    <row r="19" customFormat="false" ht="15" hidden="false" customHeight="true" outlineLevel="0" collapsed="false">
      <c r="A19" s="8" t="s">
        <v>60</v>
      </c>
      <c r="B19" s="30" t="n">
        <f aca="false">SUMIFS(Détail!$E:$E,Détail!$D:$D,"LEADERS HARDWARE PLASTIC CO LIMITED",Détail!$A:$A,"&gt;="&amp;DATE(2026,5,1),Détail!$A:$A,"&lt;"&amp;EDATE(DATE(2026,5,1),1))</f>
        <v>-3057.38</v>
      </c>
    </row>
    <row r="20" customFormat="false" ht="15" hidden="false" customHeight="true" outlineLevel="0" collapsed="false">
      <c r="A20" s="8" t="s">
        <v>61</v>
      </c>
      <c r="B20" s="30" t="n">
        <f aca="false">SUMIFS(Détail!$E:$E,Détail!$D:$D,"LEADERS HARDWARE PLASTIC CO LIMITED",Détail!$A:$A,"&gt;="&amp;DATE(2026,6,1),Détail!$A:$A,"&lt;"&amp;EDATE(DATE(2026,6,1),1))</f>
        <v>-4578.1</v>
      </c>
    </row>
    <row r="23" customFormat="false" ht="15" hidden="false" customHeight="true" outlineLevel="0" collapsed="false">
      <c r="A23" s="28" t="s">
        <v>91</v>
      </c>
      <c r="B23" s="28"/>
      <c r="C23" s="29" t="n">
        <f aca="false">SUMIF(Détail!$D:$D,"FU HUI PAPER PRODUCT LIMITED",Détail!$E:$E)</f>
        <v>-13613.22</v>
      </c>
    </row>
    <row r="24" customFormat="false" ht="15" hidden="false" customHeight="true" outlineLevel="0" collapsed="false">
      <c r="A24" s="23" t="s">
        <v>54</v>
      </c>
      <c r="B24" s="23" t="s">
        <v>55</v>
      </c>
    </row>
    <row r="25" customFormat="false" ht="15" hidden="false" customHeight="true" outlineLevel="0" collapsed="false">
      <c r="A25" s="8" t="s">
        <v>56</v>
      </c>
      <c r="B25" s="30" t="n">
        <f aca="false">SUMIFS(Détail!$E:$E,Détail!$D:$D,"FU HUI PAPER PRODUCT LIMITED",Détail!$A:$A,"&gt;="&amp;DATE(2026,1,1),Détail!$A:$A,"&lt;"&amp;EDATE(DATE(2026,1,1),1))</f>
        <v>-8573.6</v>
      </c>
    </row>
    <row r="26" customFormat="false" ht="15" hidden="false" customHeight="true" outlineLevel="0" collapsed="false">
      <c r="A26" s="8" t="s">
        <v>57</v>
      </c>
      <c r="B26" s="30" t="n">
        <f aca="false">SUMIFS(Détail!$E:$E,Détail!$D:$D,"FU HUI PAPER PRODUCT LIMITED",Détail!$A:$A,"&gt;="&amp;DATE(2026,2,1),Détail!$A:$A,"&lt;"&amp;EDATE(DATE(2026,2,1),1))</f>
        <v>-5039.62</v>
      </c>
    </row>
    <row r="27" customFormat="false" ht="15" hidden="false" customHeight="true" outlineLevel="0" collapsed="false">
      <c r="A27" s="8" t="s">
        <v>58</v>
      </c>
      <c r="B27" s="30" t="n">
        <f aca="false">SUMIFS(Détail!$E:$E,Détail!$D:$D,"FU HUI PAPER PRODUCT LIMITED",Détail!$A:$A,"&gt;="&amp;DATE(2026,3,1),Détail!$A:$A,"&lt;"&amp;EDATE(DATE(2026,3,1),1))</f>
        <v>0</v>
      </c>
    </row>
    <row r="28" customFormat="false" ht="15" hidden="false" customHeight="true" outlineLevel="0" collapsed="false">
      <c r="A28" s="8" t="s">
        <v>59</v>
      </c>
      <c r="B28" s="30" t="n">
        <f aca="false">SUMIFS(Détail!$E:$E,Détail!$D:$D,"FU HUI PAPER PRODUCT LIMITED",Détail!$A:$A,"&gt;="&amp;DATE(2026,4,1),Détail!$A:$A,"&lt;"&amp;EDATE(DATE(2026,4,1),1))</f>
        <v>0</v>
      </c>
    </row>
    <row r="29" customFormat="false" ht="15" hidden="false" customHeight="true" outlineLevel="0" collapsed="false">
      <c r="A29" s="8" t="s">
        <v>60</v>
      </c>
      <c r="B29" s="30" t="n">
        <f aca="false">SUMIFS(Détail!$E:$E,Détail!$D:$D,"FU HUI PAPER PRODUCT LIMITED",Détail!$A:$A,"&gt;="&amp;DATE(2026,5,1),Détail!$A:$A,"&lt;"&amp;EDATE(DATE(2026,5,1),1))</f>
        <v>0</v>
      </c>
    </row>
    <row r="30" customFormat="false" ht="15" hidden="false" customHeight="true" outlineLevel="0" collapsed="false">
      <c r="A30" s="8" t="s">
        <v>61</v>
      </c>
      <c r="B30" s="30" t="n">
        <f aca="false">SUMIFS(Détail!$E:$E,Détail!$D:$D,"FU HUI PAPER PRODUCT LIMITED",Détail!$A:$A,"&gt;="&amp;DATE(2026,6,1),Détail!$A:$A,"&lt;"&amp;EDATE(DATE(2026,6,1),1))</f>
        <v>0</v>
      </c>
    </row>
    <row r="33" customFormat="false" ht="15" hidden="false" customHeight="true" outlineLevel="0" collapsed="false">
      <c r="A33" s="28" t="s">
        <v>92</v>
      </c>
      <c r="B33" s="28"/>
      <c r="C33" s="29" t="n">
        <f aca="false">SUMIF(Détail!$D:$D,"LEADERS  HARDWARE PLASTIC CO LIMIT",Détail!$E:$E)</f>
        <v>-6224.84</v>
      </c>
    </row>
    <row r="34" customFormat="false" ht="15" hidden="false" customHeight="true" outlineLevel="0" collapsed="false">
      <c r="A34" s="23" t="s">
        <v>54</v>
      </c>
      <c r="B34" s="23" t="s">
        <v>55</v>
      </c>
    </row>
    <row r="35" customFormat="false" ht="15" hidden="false" customHeight="true" outlineLevel="0" collapsed="false">
      <c r="A35" s="8" t="s">
        <v>56</v>
      </c>
      <c r="B35" s="30" t="n">
        <f aca="false">SUMIFS(Détail!$E:$E,Détail!$D:$D,"LEADERS  HARDWARE PLASTIC CO LIMIT",Détail!$A:$A,"&gt;="&amp;DATE(2026,1,1),Détail!$A:$A,"&lt;"&amp;EDATE(DATE(2026,1,1),1))</f>
        <v>-6224.84</v>
      </c>
    </row>
    <row r="36" customFormat="false" ht="15" hidden="false" customHeight="true" outlineLevel="0" collapsed="false">
      <c r="A36" s="8" t="s">
        <v>57</v>
      </c>
      <c r="B36" s="30" t="n">
        <f aca="false">SUMIFS(Détail!$E:$E,Détail!$D:$D,"LEADERS  HARDWARE PLASTIC CO LIMIT",Détail!$A:$A,"&gt;="&amp;DATE(2026,2,1),Détail!$A:$A,"&lt;"&amp;EDATE(DATE(2026,2,1),1))</f>
        <v>0</v>
      </c>
    </row>
    <row r="37" customFormat="false" ht="15" hidden="false" customHeight="true" outlineLevel="0" collapsed="false">
      <c r="A37" s="8" t="s">
        <v>58</v>
      </c>
      <c r="B37" s="30" t="n">
        <f aca="false">SUMIFS(Détail!$E:$E,Détail!$D:$D,"LEADERS  HARDWARE PLASTIC CO LIMIT",Détail!$A:$A,"&gt;="&amp;DATE(2026,3,1),Détail!$A:$A,"&lt;"&amp;EDATE(DATE(2026,3,1),1))</f>
        <v>0</v>
      </c>
    </row>
    <row r="38" customFormat="false" ht="15" hidden="false" customHeight="true" outlineLevel="0" collapsed="false">
      <c r="A38" s="8" t="s">
        <v>59</v>
      </c>
      <c r="B38" s="30" t="n">
        <f aca="false">SUMIFS(Détail!$E:$E,Détail!$D:$D,"LEADERS  HARDWARE PLASTIC CO LIMIT",Détail!$A:$A,"&gt;="&amp;DATE(2026,4,1),Détail!$A:$A,"&lt;"&amp;EDATE(DATE(2026,4,1),1))</f>
        <v>0</v>
      </c>
    </row>
    <row r="39" customFormat="false" ht="15" hidden="false" customHeight="true" outlineLevel="0" collapsed="false">
      <c r="A39" s="8" t="s">
        <v>60</v>
      </c>
      <c r="B39" s="30" t="n">
        <f aca="false">SUMIFS(Détail!$E:$E,Détail!$D:$D,"LEADERS  HARDWARE PLASTIC CO LIMIT",Détail!$A:$A,"&gt;="&amp;DATE(2026,5,1),Détail!$A:$A,"&lt;"&amp;EDATE(DATE(2026,5,1),1))</f>
        <v>0</v>
      </c>
    </row>
    <row r="40" customFormat="false" ht="15" hidden="false" customHeight="true" outlineLevel="0" collapsed="false">
      <c r="A40" s="8" t="s">
        <v>61</v>
      </c>
      <c r="B40" s="30" t="n">
        <f aca="false">SUMIFS(Détail!$E:$E,Détail!$D:$D,"LEADERS  HARDWARE PLASTIC CO LIMIT",Détail!$A:$A,"&gt;="&amp;DATE(2026,6,1),Détail!$A:$A,"&lt;"&amp;EDATE(DATE(2026,6,1),1))</f>
        <v>0</v>
      </c>
    </row>
    <row r="43" customFormat="false" ht="15" hidden="false" customHeight="true" outlineLevel="0" collapsed="false">
      <c r="A43" s="28" t="s">
        <v>93</v>
      </c>
      <c r="B43" s="28"/>
      <c r="C43" s="29" t="n">
        <f aca="false">SUMIF(Détail!$D:$D,"ZHEJIANG BI INDUSTRIAL CO LTD",Détail!$E:$E)</f>
        <v>-980.12</v>
      </c>
    </row>
    <row r="44" customFormat="false" ht="15" hidden="false" customHeight="true" outlineLevel="0" collapsed="false">
      <c r="A44" s="23" t="s">
        <v>54</v>
      </c>
      <c r="B44" s="23" t="s">
        <v>55</v>
      </c>
    </row>
    <row r="45" customFormat="false" ht="15" hidden="false" customHeight="true" outlineLevel="0" collapsed="false">
      <c r="A45" s="8" t="s">
        <v>56</v>
      </c>
      <c r="B45" s="30" t="n">
        <f aca="false">SUMIFS(Détail!$E:$E,Détail!$D:$D,"ZHEJIANG BI INDUSTRIAL CO LTD",Détail!$A:$A,"&gt;="&amp;DATE(2026,1,1),Détail!$A:$A,"&lt;"&amp;EDATE(DATE(2026,1,1),1))</f>
        <v>0</v>
      </c>
    </row>
    <row r="46" customFormat="false" ht="15" hidden="false" customHeight="true" outlineLevel="0" collapsed="false">
      <c r="A46" s="8" t="s">
        <v>57</v>
      </c>
      <c r="B46" s="30" t="n">
        <f aca="false">SUMIFS(Détail!$E:$E,Détail!$D:$D,"ZHEJIANG BI INDUSTRIAL CO LTD",Détail!$A:$A,"&gt;="&amp;DATE(2026,2,1),Détail!$A:$A,"&lt;"&amp;EDATE(DATE(2026,2,1),1))</f>
        <v>-715.69</v>
      </c>
    </row>
    <row r="47" customFormat="false" ht="15" hidden="false" customHeight="true" outlineLevel="0" collapsed="false">
      <c r="A47" s="8" t="s">
        <v>58</v>
      </c>
      <c r="B47" s="30" t="n">
        <f aca="false">SUMIFS(Détail!$E:$E,Détail!$D:$D,"ZHEJIANG BI INDUSTRIAL CO LTD",Détail!$A:$A,"&gt;="&amp;DATE(2026,3,1),Détail!$A:$A,"&lt;"&amp;EDATE(DATE(2026,3,1),1))</f>
        <v>-264.43</v>
      </c>
    </row>
    <row r="48" customFormat="false" ht="15" hidden="false" customHeight="true" outlineLevel="0" collapsed="false">
      <c r="A48" s="8" t="s">
        <v>59</v>
      </c>
      <c r="B48" s="30" t="n">
        <f aca="false">SUMIFS(Détail!$E:$E,Détail!$D:$D,"ZHEJIANG BI INDUSTRIAL CO LTD",Détail!$A:$A,"&gt;="&amp;DATE(2026,4,1),Détail!$A:$A,"&lt;"&amp;EDATE(DATE(2026,4,1),1))</f>
        <v>0</v>
      </c>
    </row>
    <row r="49" customFormat="false" ht="15" hidden="false" customHeight="true" outlineLevel="0" collapsed="false">
      <c r="A49" s="8" t="s">
        <v>60</v>
      </c>
      <c r="B49" s="30" t="n">
        <f aca="false">SUMIFS(Détail!$E:$E,Détail!$D:$D,"ZHEJIANG BI INDUSTRIAL CO LTD",Détail!$A:$A,"&gt;="&amp;DATE(2026,5,1),Détail!$A:$A,"&lt;"&amp;EDATE(DATE(2026,5,1),1))</f>
        <v>0</v>
      </c>
    </row>
    <row r="50" customFormat="false" ht="15" hidden="false" customHeight="true" outlineLevel="0" collapsed="false">
      <c r="A50" s="8" t="s">
        <v>61</v>
      </c>
      <c r="B50" s="30" t="n">
        <f aca="false">SUMIFS(Détail!$E:$E,Détail!$D:$D,"ZHEJIANG BI INDUSTRIAL CO LTD",Détail!$A:$A,"&gt;="&amp;DATE(2026,6,1),Détail!$A:$A,"&lt;"&amp;EDATE(DATE(2026,6,1),1))</f>
        <v>0</v>
      </c>
    </row>
  </sheetData>
  <mergeCells count="5">
    <mergeCell ref="A3:B3"/>
    <mergeCell ref="A13:B13"/>
    <mergeCell ref="A23:B23"/>
    <mergeCell ref="A33:B33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94</v>
      </c>
    </row>
    <row r="3" customFormat="false" ht="15" hidden="false" customHeight="true" outlineLevel="0" collapsed="false">
      <c r="A3" s="28" t="s">
        <v>95</v>
      </c>
      <c r="B3" s="28"/>
      <c r="C3" s="29" t="n">
        <f aca="false">SUMIF(Détail!$D:$D,"URSSAF D'ILE DE FRANCE",Détail!$E:$E)</f>
        <v>-20330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SUMIFS(Détail!$E:$E,Détail!$D:$D,"URSSAF D'ILE DE FRANCE",Détail!$A:$A,"&gt;="&amp;DATE(2026,1,1),Détail!$A:$A,"&lt;"&amp;EDATE(DATE(2026,1,1),1))</f>
        <v>-5040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SUMIFS(Détail!$E:$E,Détail!$D:$D,"URSSAF D'ILE DE FRANCE",Détail!$A:$A,"&gt;="&amp;DATE(2026,2,1),Détail!$A:$A,"&lt;"&amp;EDATE(DATE(2026,2,1),1))</f>
        <v>-2961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SUMIFS(Détail!$E:$E,Détail!$D:$D,"URSSAF D'ILE DE FRANCE",Détail!$A:$A,"&gt;="&amp;DATE(2026,3,1),Détail!$A:$A,"&lt;"&amp;EDATE(DATE(2026,3,1),1))</f>
        <v>-2958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SUMIFS(Détail!$E:$E,Détail!$D:$D,"URSSAF D'ILE DE FRANCE",Détail!$A:$A,"&gt;="&amp;DATE(2026,4,1),Détail!$A:$A,"&lt;"&amp;EDATE(DATE(2026,4,1),1))</f>
        <v>-2955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SUMIFS(Détail!$E:$E,Détail!$D:$D,"URSSAF D'ILE DE FRANCE",Détail!$A:$A,"&gt;="&amp;DATE(2026,5,1),Détail!$A:$A,"&lt;"&amp;EDATE(DATE(2026,5,1),1))</f>
        <v>-3038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SUMIFS(Détail!$E:$E,Détail!$D:$D,"URSSAF D'ILE DE FRANCE",Détail!$A:$A,"&gt;="&amp;DATE(2026,6,1),Détail!$A:$A,"&lt;"&amp;EDATE(DATE(2026,6,1),1))</f>
        <v>-3378</v>
      </c>
    </row>
    <row r="13" customFormat="false" ht="15" hidden="false" customHeight="true" outlineLevel="0" collapsed="false">
      <c r="A13" s="28" t="s">
        <v>96</v>
      </c>
      <c r="B13" s="28"/>
      <c r="C13" s="29" t="n">
        <f aca="false">SUMIF(Détail!$D:$D,"AG2R REUNICA",Détail!$E:$E)</f>
        <v>-3934.14</v>
      </c>
    </row>
    <row r="14" customFormat="false" ht="15" hidden="false" customHeight="true" outlineLevel="0" collapsed="false">
      <c r="A14" s="23" t="s">
        <v>54</v>
      </c>
      <c r="B14" s="23" t="s">
        <v>55</v>
      </c>
    </row>
    <row r="15" customFormat="false" ht="15" hidden="false" customHeight="true" outlineLevel="0" collapsed="false">
      <c r="A15" s="8" t="s">
        <v>56</v>
      </c>
      <c r="B15" s="30" t="n">
        <f aca="false">SUMIFS(Détail!$E:$E,Détail!$D:$D,"AG2R REUNICA",Détail!$A:$A,"&gt;="&amp;DATE(2026,1,1),Détail!$A:$A,"&lt;"&amp;EDATE(DATE(2026,1,1),1))</f>
        <v>-1107.3</v>
      </c>
    </row>
    <row r="16" customFormat="false" ht="15" hidden="false" customHeight="true" outlineLevel="0" collapsed="false">
      <c r="A16" s="8" t="s">
        <v>57</v>
      </c>
      <c r="B16" s="30" t="n">
        <f aca="false">SUMIFS(Détail!$E:$E,Détail!$D:$D,"AG2R REUNICA",Détail!$A:$A,"&gt;="&amp;DATE(2026,2,1),Détail!$A:$A,"&lt;"&amp;EDATE(DATE(2026,2,1),1))</f>
        <v>-552.44</v>
      </c>
    </row>
    <row r="17" customFormat="false" ht="15" hidden="false" customHeight="true" outlineLevel="0" collapsed="false">
      <c r="A17" s="8" t="s">
        <v>58</v>
      </c>
      <c r="B17" s="30" t="n">
        <f aca="false">SUMIFS(Détail!$E:$E,Détail!$D:$D,"AG2R REUNICA",Détail!$A:$A,"&gt;="&amp;DATE(2026,3,1),Détail!$A:$A,"&lt;"&amp;EDATE(DATE(2026,3,1),1))</f>
        <v>-551.83</v>
      </c>
    </row>
    <row r="18" customFormat="false" ht="15" hidden="false" customHeight="true" outlineLevel="0" collapsed="false">
      <c r="A18" s="8" t="s">
        <v>59</v>
      </c>
      <c r="B18" s="30" t="n">
        <f aca="false">SUMIFS(Détail!$E:$E,Détail!$D:$D,"AG2R REUNICA",Détail!$A:$A,"&gt;="&amp;DATE(2026,4,1),Détail!$A:$A,"&lt;"&amp;EDATE(DATE(2026,4,1),1))</f>
        <v>-551.36</v>
      </c>
    </row>
    <row r="19" customFormat="false" ht="15" hidden="false" customHeight="true" outlineLevel="0" collapsed="false">
      <c r="A19" s="8" t="s">
        <v>60</v>
      </c>
      <c r="B19" s="30" t="n">
        <f aca="false">SUMIFS(Détail!$E:$E,Détail!$D:$D,"AG2R REUNICA",Détail!$A:$A,"&gt;="&amp;DATE(2026,5,1),Détail!$A:$A,"&lt;"&amp;EDATE(DATE(2026,5,1),1))</f>
        <v>-551.35</v>
      </c>
    </row>
    <row r="20" customFormat="false" ht="15" hidden="false" customHeight="true" outlineLevel="0" collapsed="false">
      <c r="A20" s="8" t="s">
        <v>61</v>
      </c>
      <c r="B20" s="30" t="n">
        <f aca="false">SUMIFS(Détail!$E:$E,Détail!$D:$D,"AG2R REUNICA",Détail!$A:$A,"&gt;="&amp;DATE(2026,6,1),Détail!$A:$A,"&lt;"&amp;EDATE(DATE(2026,6,1),1))</f>
        <v>-619.86</v>
      </c>
    </row>
    <row r="23" customFormat="false" ht="15" hidden="false" customHeight="true" outlineLevel="0" collapsed="false">
      <c r="A23" s="28" t="s">
        <v>97</v>
      </c>
      <c r="B23" s="28"/>
      <c r="C23" s="29" t="n">
        <f aca="false">SUMIF(Détail!$D:$D,"DIRECTION GENERALE DES FINANCES PUBLIQUES (DGFIP)",Détail!$E:$E)</f>
        <v>-1417</v>
      </c>
    </row>
    <row r="24" customFormat="false" ht="15" hidden="false" customHeight="true" outlineLevel="0" collapsed="false">
      <c r="A24" s="23" t="s">
        <v>54</v>
      </c>
      <c r="B24" s="23" t="s">
        <v>55</v>
      </c>
    </row>
    <row r="25" customFormat="false" ht="15" hidden="false" customHeight="true" outlineLevel="0" collapsed="false">
      <c r="A25" s="8" t="s">
        <v>56</v>
      </c>
      <c r="B25" s="30" t="n">
        <f aca="false">SUMIFS(Détail!$E:$E,Détail!$D:$D,"DIRECTION GENERALE DES FINANCES PUBLIQUES (DGFIP)",Détail!$A:$A,"&gt;="&amp;DATE(2026,1,1),Détail!$A:$A,"&lt;"&amp;EDATE(DATE(2026,1,1),1))</f>
        <v>-237</v>
      </c>
    </row>
    <row r="26" customFormat="false" ht="15" hidden="false" customHeight="true" outlineLevel="0" collapsed="false">
      <c r="A26" s="8" t="s">
        <v>57</v>
      </c>
      <c r="B26" s="30" t="n">
        <f aca="false">SUMIFS(Détail!$E:$E,Détail!$D:$D,"DIRECTION GENERALE DES FINANCES PUBLIQUES (DGFIP)",Détail!$A:$A,"&gt;="&amp;DATE(2026,2,1),Détail!$A:$A,"&lt;"&amp;EDATE(DATE(2026,2,1),1))</f>
        <v>-236</v>
      </c>
    </row>
    <row r="27" customFormat="false" ht="15" hidden="false" customHeight="true" outlineLevel="0" collapsed="false">
      <c r="A27" s="8" t="s">
        <v>58</v>
      </c>
      <c r="B27" s="30" t="n">
        <f aca="false">SUMIFS(Détail!$E:$E,Détail!$D:$D,"DIRECTION GENERALE DES FINANCES PUBLIQUES (DGFIP)",Détail!$A:$A,"&gt;="&amp;DATE(2026,3,1),Détail!$A:$A,"&lt;"&amp;EDATE(DATE(2026,3,1),1))</f>
        <v>-236</v>
      </c>
    </row>
    <row r="28" customFormat="false" ht="15" hidden="false" customHeight="true" outlineLevel="0" collapsed="false">
      <c r="A28" s="8" t="s">
        <v>59</v>
      </c>
      <c r="B28" s="30" t="n">
        <f aca="false">SUMIFS(Détail!$E:$E,Détail!$D:$D,"DIRECTION GENERALE DES FINANCES PUBLIQUES (DGFIP)",Détail!$A:$A,"&gt;="&amp;DATE(2026,4,1),Détail!$A:$A,"&lt;"&amp;EDATE(DATE(2026,4,1),1))</f>
        <v>-236</v>
      </c>
    </row>
    <row r="29" customFormat="false" ht="15" hidden="false" customHeight="true" outlineLevel="0" collapsed="false">
      <c r="A29" s="8" t="s">
        <v>60</v>
      </c>
      <c r="B29" s="30" t="n">
        <f aca="false">SUMIFS(Détail!$E:$E,Détail!$D:$D,"DIRECTION GENERALE DES FINANCES PUBLIQUES (DGFIP)",Détail!$A:$A,"&gt;="&amp;DATE(2026,5,1),Détail!$A:$A,"&lt;"&amp;EDATE(DATE(2026,5,1),1))</f>
        <v>-236</v>
      </c>
    </row>
    <row r="30" customFormat="false" ht="15" hidden="false" customHeight="true" outlineLevel="0" collapsed="false">
      <c r="A30" s="8" t="s">
        <v>61</v>
      </c>
      <c r="B30" s="30" t="n">
        <f aca="false">SUMIFS(Détail!$E:$E,Détail!$D:$D,"DIRECTION GENERALE DES FINANCES PUBLIQUES (DGFIP)",Détail!$A:$A,"&gt;="&amp;DATE(2026,6,1),Détail!$A:$A,"&lt;"&amp;EDATE(DATE(2026,6,1),1))</f>
        <v>-236</v>
      </c>
    </row>
  </sheetData>
  <mergeCells count="3">
    <mergeCell ref="A3:B3"/>
    <mergeCell ref="A13:B13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98</v>
      </c>
    </row>
    <row r="3" customFormat="false" ht="15" hidden="false" customHeight="true" outlineLevel="0" collapsed="false">
      <c r="A3" s="28" t="s">
        <v>99</v>
      </c>
      <c r="B3" s="28"/>
      <c r="C3" s="29" t="n">
        <f aca="false">SUMIF(Détail!$D:$D,"EMIRATES",Détail!$E:$E)</f>
        <v>-3743.41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SUMIFS(Détail!$E:$E,Détail!$D:$D,"EMIRATES",Détail!$A:$A,"&gt;="&amp;DATE(2026,1,1),Détail!$A:$A,"&lt;"&amp;EDATE(DATE(2026,1,1),1))</f>
        <v>-202</v>
      </c>
    </row>
    <row r="6" customFormat="false" ht="15" hidden="false" customHeight="true" outlineLevel="0" collapsed="false">
      <c r="A6" s="8" t="s">
        <v>58</v>
      </c>
      <c r="B6" s="30" t="n">
        <f aca="false">SUMIFS(Détail!$E:$E,Détail!$D:$D,"EMIRATES",Détail!$A:$A,"&gt;="&amp;DATE(2026,3,1),Détail!$A:$A,"&lt;"&amp;EDATE(DATE(2026,3,1),1))</f>
        <v>0</v>
      </c>
    </row>
    <row r="7" customFormat="false" ht="15" hidden="false" customHeight="true" outlineLevel="0" collapsed="false">
      <c r="A7" s="8" t="s">
        <v>59</v>
      </c>
      <c r="B7" s="30" t="n">
        <f aca="false">SUMIFS(Détail!$E:$E,Détail!$D:$D,"EMIRATES",Détail!$A:$A,"&gt;="&amp;DATE(2026,4,1),Détail!$A:$A,"&lt;"&amp;EDATE(DATE(2026,4,1),1))</f>
        <v>-1011.86</v>
      </c>
    </row>
    <row r="8" customFormat="false" ht="15" hidden="false" customHeight="true" outlineLevel="0" collapsed="false">
      <c r="A8" s="8" t="s">
        <v>60</v>
      </c>
      <c r="B8" s="30" t="n">
        <f aca="false">SUMIFS(Détail!$E:$E,Détail!$D:$D,"EMIRATES",Détail!$A:$A,"&gt;="&amp;DATE(2026,5,1),Détail!$A:$A,"&lt;"&amp;EDATE(DATE(2026,5,1),1))</f>
        <v>-590.91</v>
      </c>
    </row>
    <row r="9" customFormat="false" ht="15" hidden="false" customHeight="true" outlineLevel="0" collapsed="false">
      <c r="A9" s="8" t="s">
        <v>61</v>
      </c>
      <c r="B9" s="30" t="n">
        <f aca="false">SUMIFS(Détail!$E:$E,Détail!$D:$D,"EMIRATES",Détail!$A:$A,"&gt;="&amp;DATE(2026,6,1),Détail!$A:$A,"&lt;"&amp;EDATE(DATE(2026,6,1),1))</f>
        <v>-757.12</v>
      </c>
    </row>
    <row r="10" customFormat="false" ht="15" hidden="false" customHeight="true" outlineLevel="0" collapsed="false">
      <c r="A10" s="8" t="s">
        <v>62</v>
      </c>
      <c r="B10" s="30" t="n">
        <f aca="false">SUMIFS(Détail!$E:$E,Détail!$D:$D,"EMIRATES",Détail!$A:$A,"&gt;="&amp;DATE(2026,7,1),Détail!$A:$A,"&lt;"&amp;EDATE(DATE(2026,7,1),1))</f>
        <v>-1181.52</v>
      </c>
    </row>
    <row r="13" customFormat="false" ht="15" hidden="false" customHeight="true" outlineLevel="0" collapsed="false">
      <c r="A13" s="28" t="s">
        <v>100</v>
      </c>
      <c r="B13" s="28"/>
      <c r="C13" s="29" t="n">
        <f aca="false">SUMIF(Détail!$D:$D,"FIVE LUXE HOTEL",Détail!$E:$E)</f>
        <v>-1859.74</v>
      </c>
    </row>
    <row r="14" customFormat="false" ht="15" hidden="false" customHeight="true" outlineLevel="0" collapsed="false">
      <c r="A14" s="23" t="s">
        <v>54</v>
      </c>
      <c r="B14" s="23" t="s">
        <v>55</v>
      </c>
    </row>
    <row r="15" customFormat="false" ht="15" hidden="false" customHeight="true" outlineLevel="0" collapsed="false">
      <c r="A15" s="8" t="s">
        <v>56</v>
      </c>
      <c r="B15" s="30" t="n">
        <f aca="false">SUMIFS(Détail!$E:$E,Détail!$D:$D,"FIVE LUXE HOTEL",Détail!$A:$A,"&gt;="&amp;DATE(2026,1,1),Détail!$A:$A,"&lt;"&amp;EDATE(DATE(2026,1,1),1))</f>
        <v>0</v>
      </c>
    </row>
    <row r="16" customFormat="false" ht="15" hidden="false" customHeight="true" outlineLevel="0" collapsed="false">
      <c r="A16" s="8" t="s">
        <v>58</v>
      </c>
      <c r="B16" s="30" t="n">
        <f aca="false">SUMIFS(Détail!$E:$E,Détail!$D:$D,"FIVE LUXE HOTEL",Détail!$A:$A,"&gt;="&amp;DATE(2026,3,1),Détail!$A:$A,"&lt;"&amp;EDATE(DATE(2026,3,1),1))</f>
        <v>0</v>
      </c>
    </row>
    <row r="17" customFormat="false" ht="15" hidden="false" customHeight="true" outlineLevel="0" collapsed="false">
      <c r="A17" s="8" t="s">
        <v>59</v>
      </c>
      <c r="B17" s="30" t="n">
        <f aca="false">SUMIFS(Détail!$E:$E,Détail!$D:$D,"FIVE LUXE HOTEL",Détail!$A:$A,"&gt;="&amp;DATE(2026,4,1),Détail!$A:$A,"&lt;"&amp;EDATE(DATE(2026,4,1),1))</f>
        <v>0</v>
      </c>
    </row>
    <row r="18" customFormat="false" ht="15" hidden="false" customHeight="true" outlineLevel="0" collapsed="false">
      <c r="A18" s="8" t="s">
        <v>60</v>
      </c>
      <c r="B18" s="30" t="n">
        <f aca="false">SUMIFS(Détail!$E:$E,Détail!$D:$D,"FIVE LUXE HOTEL",Détail!$A:$A,"&gt;="&amp;DATE(2026,5,1),Détail!$A:$A,"&lt;"&amp;EDATE(DATE(2026,5,1),1))</f>
        <v>0</v>
      </c>
    </row>
    <row r="19" customFormat="false" ht="15" hidden="false" customHeight="true" outlineLevel="0" collapsed="false">
      <c r="A19" s="8" t="s">
        <v>61</v>
      </c>
      <c r="B19" s="30" t="n">
        <f aca="false">SUMIFS(Détail!$E:$E,Détail!$D:$D,"FIVE LUXE HOTEL",Détail!$A:$A,"&gt;="&amp;DATE(2026,6,1),Détail!$A:$A,"&lt;"&amp;EDATE(DATE(2026,6,1),1))</f>
        <v>-1860.01</v>
      </c>
    </row>
    <row r="20" customFormat="false" ht="15" hidden="false" customHeight="true" outlineLevel="0" collapsed="false">
      <c r="A20" s="8" t="s">
        <v>62</v>
      </c>
      <c r="B20" s="30" t="n">
        <f aca="false">SUMIFS(Détail!$E:$E,Détail!$D:$D,"FIVE LUXE HOTEL",Détail!$A:$A,"&gt;="&amp;DATE(2026,7,1),Détail!$A:$A,"&lt;"&amp;EDATE(DATE(2026,7,1),1))</f>
        <v>0.269999999999988</v>
      </c>
    </row>
    <row r="23" customFormat="false" ht="15" hidden="false" customHeight="true" outlineLevel="0" collapsed="false">
      <c r="A23" s="28" t="s">
        <v>101</v>
      </c>
      <c r="B23" s="28"/>
      <c r="C23" s="29" t="n">
        <f aca="false">SUMIF(Détail!$D:$D,"AIR FRANCE",Détail!$E:$E)</f>
        <v>-1460.32</v>
      </c>
    </row>
    <row r="24" customFormat="false" ht="15" hidden="false" customHeight="true" outlineLevel="0" collapsed="false">
      <c r="A24" s="23" t="s">
        <v>54</v>
      </c>
      <c r="B24" s="23" t="s">
        <v>55</v>
      </c>
    </row>
    <row r="25" customFormat="false" ht="15" hidden="false" customHeight="true" outlineLevel="0" collapsed="false">
      <c r="A25" s="8" t="s">
        <v>56</v>
      </c>
      <c r="B25" s="30" t="n">
        <f aca="false">SUMIFS(Détail!$E:$E,Détail!$D:$D,"AIR FRANCE",Détail!$A:$A,"&gt;="&amp;DATE(2026,1,1),Détail!$A:$A,"&lt;"&amp;EDATE(DATE(2026,1,1),1))</f>
        <v>0</v>
      </c>
    </row>
    <row r="26" customFormat="false" ht="15" hidden="false" customHeight="true" outlineLevel="0" collapsed="false">
      <c r="A26" s="8" t="s">
        <v>58</v>
      </c>
      <c r="B26" s="30" t="n">
        <f aca="false">SUMIFS(Détail!$E:$E,Détail!$D:$D,"AIR FRANCE",Détail!$A:$A,"&gt;="&amp;DATE(2026,3,1),Détail!$A:$A,"&lt;"&amp;EDATE(DATE(2026,3,1),1))</f>
        <v>-440.58</v>
      </c>
    </row>
    <row r="27" customFormat="false" ht="15" hidden="false" customHeight="true" outlineLevel="0" collapsed="false">
      <c r="A27" s="8" t="s">
        <v>59</v>
      </c>
      <c r="B27" s="30" t="n">
        <f aca="false">SUMIFS(Détail!$E:$E,Détail!$D:$D,"AIR FRANCE",Détail!$A:$A,"&gt;="&amp;DATE(2026,4,1),Détail!$A:$A,"&lt;"&amp;EDATE(DATE(2026,4,1),1))</f>
        <v>0</v>
      </c>
    </row>
    <row r="28" customFormat="false" ht="15" hidden="false" customHeight="true" outlineLevel="0" collapsed="false">
      <c r="A28" s="8" t="s">
        <v>60</v>
      </c>
      <c r="B28" s="30" t="n">
        <f aca="false">SUMIFS(Détail!$E:$E,Détail!$D:$D,"AIR FRANCE",Détail!$A:$A,"&gt;="&amp;DATE(2026,5,1),Détail!$A:$A,"&lt;"&amp;EDATE(DATE(2026,5,1),1))</f>
        <v>0</v>
      </c>
    </row>
    <row r="29" customFormat="false" ht="15" hidden="false" customHeight="true" outlineLevel="0" collapsed="false">
      <c r="A29" s="8" t="s">
        <v>61</v>
      </c>
      <c r="B29" s="30" t="n">
        <f aca="false">SUMIFS(Détail!$E:$E,Détail!$D:$D,"AIR FRANCE",Détail!$A:$A,"&gt;="&amp;DATE(2026,6,1),Détail!$A:$A,"&lt;"&amp;EDATE(DATE(2026,6,1),1))</f>
        <v>-995.74</v>
      </c>
    </row>
    <row r="30" customFormat="false" ht="15" hidden="false" customHeight="true" outlineLevel="0" collapsed="false">
      <c r="A30" s="8" t="s">
        <v>62</v>
      </c>
      <c r="B30" s="30" t="n">
        <f aca="false">SUMIFS(Détail!$E:$E,Détail!$D:$D,"AIR FRANCE",Détail!$A:$A,"&gt;="&amp;DATE(2026,7,1),Détail!$A:$A,"&lt;"&amp;EDATE(DATE(2026,7,1),1))</f>
        <v>-24</v>
      </c>
    </row>
    <row r="33" customFormat="false" ht="15" hidden="false" customHeight="true" outlineLevel="0" collapsed="false">
      <c r="A33" s="28" t="s">
        <v>102</v>
      </c>
      <c r="B33" s="28"/>
      <c r="C33" s="29" t="n">
        <f aca="false">SUMIF(Détail!$D:$D,"AIRBNB",Détail!$E:$E)</f>
        <v>-1207.64</v>
      </c>
    </row>
    <row r="34" customFormat="false" ht="15" hidden="false" customHeight="true" outlineLevel="0" collapsed="false">
      <c r="A34" s="23" t="s">
        <v>54</v>
      </c>
      <c r="B34" s="23" t="s">
        <v>55</v>
      </c>
    </row>
    <row r="35" customFormat="false" ht="15" hidden="false" customHeight="true" outlineLevel="0" collapsed="false">
      <c r="A35" s="8" t="s">
        <v>56</v>
      </c>
      <c r="B35" s="30" t="n">
        <f aca="false">SUMIFS(Détail!$E:$E,Détail!$D:$D,"AIRBNB",Détail!$A:$A,"&gt;="&amp;DATE(2026,1,1),Détail!$A:$A,"&lt;"&amp;EDATE(DATE(2026,1,1),1))</f>
        <v>0</v>
      </c>
    </row>
    <row r="36" customFormat="false" ht="15" hidden="false" customHeight="true" outlineLevel="0" collapsed="false">
      <c r="A36" s="8" t="s">
        <v>58</v>
      </c>
      <c r="B36" s="30" t="n">
        <f aca="false">SUMIFS(Détail!$E:$E,Détail!$D:$D,"AIRBNB",Détail!$A:$A,"&gt;="&amp;DATE(2026,3,1),Détail!$A:$A,"&lt;"&amp;EDATE(DATE(2026,3,1),1))</f>
        <v>0</v>
      </c>
    </row>
    <row r="37" customFormat="false" ht="15" hidden="false" customHeight="true" outlineLevel="0" collapsed="false">
      <c r="A37" s="8" t="s">
        <v>59</v>
      </c>
      <c r="B37" s="30" t="n">
        <f aca="false">SUMIFS(Détail!$E:$E,Détail!$D:$D,"AIRBNB",Détail!$A:$A,"&gt;="&amp;DATE(2026,4,1),Détail!$A:$A,"&lt;"&amp;EDATE(DATE(2026,4,1),1))</f>
        <v>-1207.64</v>
      </c>
    </row>
    <row r="38" customFormat="false" ht="15" hidden="false" customHeight="true" outlineLevel="0" collapsed="false">
      <c r="A38" s="8" t="s">
        <v>60</v>
      </c>
      <c r="B38" s="30" t="n">
        <f aca="false">SUMIFS(Détail!$E:$E,Détail!$D:$D,"AIRBNB",Détail!$A:$A,"&gt;="&amp;DATE(2026,5,1),Détail!$A:$A,"&lt;"&amp;EDATE(DATE(2026,5,1),1))</f>
        <v>0</v>
      </c>
    </row>
    <row r="39" customFormat="false" ht="15" hidden="false" customHeight="true" outlineLevel="0" collapsed="false">
      <c r="A39" s="8" t="s">
        <v>61</v>
      </c>
      <c r="B39" s="30" t="n">
        <f aca="false">SUMIFS(Détail!$E:$E,Détail!$D:$D,"AIRBNB",Détail!$A:$A,"&gt;="&amp;DATE(2026,6,1),Détail!$A:$A,"&lt;"&amp;EDATE(DATE(2026,6,1),1))</f>
        <v>0</v>
      </c>
    </row>
    <row r="40" customFormat="false" ht="15" hidden="false" customHeight="true" outlineLevel="0" collapsed="false">
      <c r="A40" s="8" t="s">
        <v>62</v>
      </c>
      <c r="B40" s="30" t="n">
        <f aca="false">SUMIFS(Détail!$E:$E,Détail!$D:$D,"AIRBNB",Détail!$A:$A,"&gt;="&amp;DATE(2026,7,1),Détail!$A:$A,"&lt;"&amp;EDATE(DATE(2026,7,1),1))</f>
        <v>0</v>
      </c>
    </row>
    <row r="43" customFormat="false" ht="15" hidden="false" customHeight="true" outlineLevel="0" collapsed="false">
      <c r="A43" s="28" t="s">
        <v>103</v>
      </c>
      <c r="B43" s="28"/>
      <c r="C43" s="29" t="n">
        <f aca="false">SUMIF(Détail!$D:$D,"HOTEL LE ROYAL",Détail!$E:$E)</f>
        <v>-757</v>
      </c>
    </row>
    <row r="44" customFormat="false" ht="15" hidden="false" customHeight="true" outlineLevel="0" collapsed="false">
      <c r="A44" s="23" t="s">
        <v>54</v>
      </c>
      <c r="B44" s="23" t="s">
        <v>55</v>
      </c>
    </row>
    <row r="45" customFormat="false" ht="15" hidden="false" customHeight="true" outlineLevel="0" collapsed="false">
      <c r="A45" s="8" t="s">
        <v>56</v>
      </c>
      <c r="B45" s="30" t="n">
        <f aca="false">SUMIFS(Détail!$E:$E,Détail!$D:$D,"HOTEL LE ROYAL",Détail!$A:$A,"&gt;="&amp;DATE(2026,1,1),Détail!$A:$A,"&lt;"&amp;EDATE(DATE(2026,1,1),1))</f>
        <v>0</v>
      </c>
    </row>
    <row r="46" customFormat="false" ht="15" hidden="false" customHeight="true" outlineLevel="0" collapsed="false">
      <c r="A46" s="8" t="s">
        <v>58</v>
      </c>
      <c r="B46" s="30" t="n">
        <f aca="false">SUMIFS(Détail!$E:$E,Détail!$D:$D,"HOTEL LE ROYAL",Détail!$A:$A,"&gt;="&amp;DATE(2026,3,1),Détail!$A:$A,"&lt;"&amp;EDATE(DATE(2026,3,1),1))</f>
        <v>0</v>
      </c>
    </row>
    <row r="47" customFormat="false" ht="15" hidden="false" customHeight="true" outlineLevel="0" collapsed="false">
      <c r="A47" s="8" t="s">
        <v>59</v>
      </c>
      <c r="B47" s="30" t="n">
        <f aca="false">SUMIFS(Détail!$E:$E,Détail!$D:$D,"HOTEL LE ROYAL",Détail!$A:$A,"&gt;="&amp;DATE(2026,4,1),Détail!$A:$A,"&lt;"&amp;EDATE(DATE(2026,4,1),1))</f>
        <v>-757</v>
      </c>
    </row>
    <row r="48" customFormat="false" ht="15" hidden="false" customHeight="true" outlineLevel="0" collapsed="false">
      <c r="A48" s="8" t="s">
        <v>60</v>
      </c>
      <c r="B48" s="30" t="n">
        <f aca="false">SUMIFS(Détail!$E:$E,Détail!$D:$D,"HOTEL LE ROYAL",Détail!$A:$A,"&gt;="&amp;DATE(2026,5,1),Détail!$A:$A,"&lt;"&amp;EDATE(DATE(2026,5,1),1))</f>
        <v>0</v>
      </c>
    </row>
    <row r="49" customFormat="false" ht="15" hidden="false" customHeight="true" outlineLevel="0" collapsed="false">
      <c r="A49" s="8" t="s">
        <v>61</v>
      </c>
      <c r="B49" s="30" t="n">
        <f aca="false">SUMIFS(Détail!$E:$E,Détail!$D:$D,"HOTEL LE ROYAL",Détail!$A:$A,"&gt;="&amp;DATE(2026,6,1),Détail!$A:$A,"&lt;"&amp;EDATE(DATE(2026,6,1),1))</f>
        <v>0</v>
      </c>
    </row>
    <row r="50" customFormat="false" ht="15" hidden="false" customHeight="true" outlineLevel="0" collapsed="false">
      <c r="A50" s="8" t="s">
        <v>62</v>
      </c>
      <c r="B50" s="30" t="n">
        <f aca="false">SUMIFS(Détail!$E:$E,Détail!$D:$D,"HOTEL LE ROYAL",Détail!$A:$A,"&gt;="&amp;DATE(2026,7,1),Détail!$A:$A,"&lt;"&amp;EDATE(DATE(2026,7,1),1))</f>
        <v>0</v>
      </c>
    </row>
    <row r="53" customFormat="false" ht="15" hidden="false" customHeight="true" outlineLevel="0" collapsed="false">
      <c r="A53" s="28" t="s">
        <v>104</v>
      </c>
      <c r="B53" s="28"/>
      <c r="C53" s="29" t="n">
        <f aca="false">SUMIF(Détail!$D:$D,"UBER",Détail!$E:$E)</f>
        <v>-504.71</v>
      </c>
    </row>
    <row r="54" customFormat="false" ht="15" hidden="false" customHeight="true" outlineLevel="0" collapsed="false">
      <c r="A54" s="23" t="s">
        <v>54</v>
      </c>
      <c r="B54" s="23" t="s">
        <v>55</v>
      </c>
    </row>
    <row r="55" customFormat="false" ht="15" hidden="false" customHeight="true" outlineLevel="0" collapsed="false">
      <c r="A55" s="8" t="s">
        <v>56</v>
      </c>
      <c r="B55" s="30" t="n">
        <f aca="false">SUMIFS(Détail!$E:$E,Détail!$D:$D,"UBER",Détail!$A:$A,"&gt;="&amp;DATE(2026,1,1),Détail!$A:$A,"&lt;"&amp;EDATE(DATE(2026,1,1),1))</f>
        <v>-9.36</v>
      </c>
    </row>
    <row r="56" customFormat="false" ht="15" hidden="false" customHeight="true" outlineLevel="0" collapsed="false">
      <c r="A56" s="8" t="s">
        <v>58</v>
      </c>
      <c r="B56" s="30" t="n">
        <f aca="false">SUMIFS(Détail!$E:$E,Détail!$D:$D,"UBER",Détail!$A:$A,"&gt;="&amp;DATE(2026,3,1),Détail!$A:$A,"&lt;"&amp;EDATE(DATE(2026,3,1),1))</f>
        <v>-12.98</v>
      </c>
    </row>
    <row r="57" customFormat="false" ht="15" hidden="false" customHeight="true" outlineLevel="0" collapsed="false">
      <c r="A57" s="8" t="s">
        <v>59</v>
      </c>
      <c r="B57" s="30" t="n">
        <f aca="false">SUMIFS(Détail!$E:$E,Détail!$D:$D,"UBER",Détail!$A:$A,"&gt;="&amp;DATE(2026,4,1),Détail!$A:$A,"&lt;"&amp;EDATE(DATE(2026,4,1),1))</f>
        <v>-120.86</v>
      </c>
    </row>
    <row r="58" customFormat="false" ht="15" hidden="false" customHeight="true" outlineLevel="0" collapsed="false">
      <c r="A58" s="8" t="s">
        <v>60</v>
      </c>
      <c r="B58" s="30" t="n">
        <f aca="false">SUMIFS(Détail!$E:$E,Détail!$D:$D,"UBER",Détail!$A:$A,"&gt;="&amp;DATE(2026,5,1),Détail!$A:$A,"&lt;"&amp;EDATE(DATE(2026,5,1),1))</f>
        <v>-34.39</v>
      </c>
    </row>
    <row r="59" customFormat="false" ht="15" hidden="false" customHeight="true" outlineLevel="0" collapsed="false">
      <c r="A59" s="8" t="s">
        <v>61</v>
      </c>
      <c r="B59" s="30" t="n">
        <f aca="false">SUMIFS(Détail!$E:$E,Détail!$D:$D,"UBER",Détail!$A:$A,"&gt;="&amp;DATE(2026,6,1),Détail!$A:$A,"&lt;"&amp;EDATE(DATE(2026,6,1),1))</f>
        <v>-327.12</v>
      </c>
    </row>
    <row r="60" customFormat="false" ht="15" hidden="false" customHeight="true" outlineLevel="0" collapsed="false">
      <c r="A60" s="8" t="s">
        <v>62</v>
      </c>
      <c r="B60" s="30" t="n">
        <f aca="false">SUMIFS(Détail!$E:$E,Détail!$D:$D,"UBER",Détail!$A:$A,"&gt;="&amp;DATE(2026,7,1),Détail!$A:$A,"&lt;"&amp;EDATE(DATE(2026,7,1),1))</f>
        <v>0</v>
      </c>
    </row>
    <row r="63" customFormat="false" ht="15" hidden="false" customHeight="true" outlineLevel="0" collapsed="false">
      <c r="A63" s="28" t="s">
        <v>105</v>
      </c>
      <c r="B63" s="28"/>
      <c r="C63" s="29" t="n">
        <f aca="false">SUMIF(Détail!$D:$D,"DOUBLETREE BY H",Détail!$E:$E)</f>
        <v>-350</v>
      </c>
    </row>
    <row r="64" customFormat="false" ht="15" hidden="false" customHeight="true" outlineLevel="0" collapsed="false">
      <c r="A64" s="23" t="s">
        <v>54</v>
      </c>
      <c r="B64" s="23" t="s">
        <v>55</v>
      </c>
    </row>
    <row r="65" customFormat="false" ht="15" hidden="false" customHeight="true" outlineLevel="0" collapsed="false">
      <c r="A65" s="8" t="s">
        <v>56</v>
      </c>
      <c r="B65" s="30" t="n">
        <f aca="false">SUMIFS(Détail!$E:$E,Détail!$D:$D,"DOUBLETREE BY H",Détail!$A:$A,"&gt;="&amp;DATE(2026,1,1),Détail!$A:$A,"&lt;"&amp;EDATE(DATE(2026,1,1),1))</f>
        <v>0</v>
      </c>
    </row>
    <row r="66" customFormat="false" ht="15" hidden="false" customHeight="true" outlineLevel="0" collapsed="false">
      <c r="A66" s="8" t="s">
        <v>58</v>
      </c>
      <c r="B66" s="30" t="n">
        <f aca="false">SUMIFS(Détail!$E:$E,Détail!$D:$D,"DOUBLETREE BY H",Détail!$A:$A,"&gt;="&amp;DATE(2026,3,1),Détail!$A:$A,"&lt;"&amp;EDATE(DATE(2026,3,1),1))</f>
        <v>0</v>
      </c>
    </row>
    <row r="67" customFormat="false" ht="15" hidden="false" customHeight="true" outlineLevel="0" collapsed="false">
      <c r="A67" s="8" t="s">
        <v>59</v>
      </c>
      <c r="B67" s="30" t="n">
        <f aca="false">SUMIFS(Détail!$E:$E,Détail!$D:$D,"DOUBLETREE BY H",Détail!$A:$A,"&gt;="&amp;DATE(2026,4,1),Détail!$A:$A,"&lt;"&amp;EDATE(DATE(2026,4,1),1))</f>
        <v>0</v>
      </c>
    </row>
    <row r="68" customFormat="false" ht="15" hidden="false" customHeight="true" outlineLevel="0" collapsed="false">
      <c r="A68" s="8" t="s">
        <v>60</v>
      </c>
      <c r="B68" s="30" t="n">
        <f aca="false">SUMIFS(Détail!$E:$E,Détail!$D:$D,"DOUBLETREE BY H",Détail!$A:$A,"&gt;="&amp;DATE(2026,5,1),Détail!$A:$A,"&lt;"&amp;EDATE(DATE(2026,5,1),1))</f>
        <v>0</v>
      </c>
    </row>
    <row r="69" customFormat="false" ht="15" hidden="false" customHeight="true" outlineLevel="0" collapsed="false">
      <c r="A69" s="8" t="s">
        <v>61</v>
      </c>
      <c r="B69" s="30" t="n">
        <f aca="false">SUMIFS(Détail!$E:$E,Détail!$D:$D,"DOUBLETREE BY H",Détail!$A:$A,"&gt;="&amp;DATE(2026,6,1),Détail!$A:$A,"&lt;"&amp;EDATE(DATE(2026,6,1),1))</f>
        <v>-350</v>
      </c>
    </row>
    <row r="70" customFormat="false" ht="15" hidden="false" customHeight="true" outlineLevel="0" collapsed="false">
      <c r="A70" s="8" t="s">
        <v>62</v>
      </c>
      <c r="B70" s="30" t="n">
        <f aca="false">SUMIFS(Détail!$E:$E,Détail!$D:$D,"DOUBLETREE BY H",Détail!$A:$A,"&gt;="&amp;DATE(2026,7,1),Détail!$A:$A,"&lt;"&amp;EDATE(DATE(2026,7,1),1))</f>
        <v>0</v>
      </c>
    </row>
    <row r="73" customFormat="false" ht="15" hidden="false" customHeight="true" outlineLevel="0" collapsed="false">
      <c r="A73" s="28" t="s">
        <v>106</v>
      </c>
      <c r="B73" s="28"/>
      <c r="C73" s="29" t="n">
        <f aca="false">SUMIF(Détail!$D:$D,"HOTEL AT BOOKIN",Détail!$E:$E)</f>
        <v>-177.81</v>
      </c>
    </row>
    <row r="74" customFormat="false" ht="15" hidden="false" customHeight="true" outlineLevel="0" collapsed="false">
      <c r="A74" s="23" t="s">
        <v>54</v>
      </c>
      <c r="B74" s="23" t="s">
        <v>55</v>
      </c>
    </row>
    <row r="75" customFormat="false" ht="15" hidden="false" customHeight="true" outlineLevel="0" collapsed="false">
      <c r="A75" s="8" t="s">
        <v>56</v>
      </c>
      <c r="B75" s="30" t="n">
        <f aca="false">SUMIFS(Détail!$E:$E,Détail!$D:$D,"HOTEL AT BOOKIN",Détail!$A:$A,"&gt;="&amp;DATE(2026,1,1),Détail!$A:$A,"&lt;"&amp;EDATE(DATE(2026,1,1),1))</f>
        <v>0</v>
      </c>
    </row>
    <row r="76" customFormat="false" ht="15" hidden="false" customHeight="true" outlineLevel="0" collapsed="false">
      <c r="A76" s="8" t="s">
        <v>58</v>
      </c>
      <c r="B76" s="30" t="n">
        <f aca="false">SUMIFS(Détail!$E:$E,Détail!$D:$D,"HOTEL AT BOOKIN",Détail!$A:$A,"&gt;="&amp;DATE(2026,3,1),Détail!$A:$A,"&lt;"&amp;EDATE(DATE(2026,3,1),1))</f>
        <v>-177.81</v>
      </c>
    </row>
    <row r="77" customFormat="false" ht="15" hidden="false" customHeight="true" outlineLevel="0" collapsed="false">
      <c r="A77" s="8" t="s">
        <v>59</v>
      </c>
      <c r="B77" s="30" t="n">
        <f aca="false">SUMIFS(Détail!$E:$E,Détail!$D:$D,"HOTEL AT BOOKIN",Détail!$A:$A,"&gt;="&amp;DATE(2026,4,1),Détail!$A:$A,"&lt;"&amp;EDATE(DATE(2026,4,1),1))</f>
        <v>0</v>
      </c>
    </row>
    <row r="78" customFormat="false" ht="15" hidden="false" customHeight="true" outlineLevel="0" collapsed="false">
      <c r="A78" s="8" t="s">
        <v>60</v>
      </c>
      <c r="B78" s="30" t="n">
        <f aca="false">SUMIFS(Détail!$E:$E,Détail!$D:$D,"HOTEL AT BOOKIN",Détail!$A:$A,"&gt;="&amp;DATE(2026,5,1),Détail!$A:$A,"&lt;"&amp;EDATE(DATE(2026,5,1),1))</f>
        <v>0</v>
      </c>
    </row>
    <row r="79" customFormat="false" ht="15" hidden="false" customHeight="true" outlineLevel="0" collapsed="false">
      <c r="A79" s="8" t="s">
        <v>61</v>
      </c>
      <c r="B79" s="30" t="n">
        <f aca="false">SUMIFS(Détail!$E:$E,Détail!$D:$D,"HOTEL AT BOOKIN",Détail!$A:$A,"&gt;="&amp;DATE(2026,6,1),Détail!$A:$A,"&lt;"&amp;EDATE(DATE(2026,6,1),1))</f>
        <v>0</v>
      </c>
    </row>
    <row r="80" customFormat="false" ht="15" hidden="false" customHeight="true" outlineLevel="0" collapsed="false">
      <c r="A80" s="8" t="s">
        <v>62</v>
      </c>
      <c r="B80" s="30" t="n">
        <f aca="false">SUMIFS(Détail!$E:$E,Détail!$D:$D,"HOTEL AT BOOKIN",Détail!$A:$A,"&gt;="&amp;DATE(2026,7,1),Détail!$A:$A,"&lt;"&amp;EDATE(DATE(2026,7,1),1))</f>
        <v>0</v>
      </c>
    </row>
    <row r="83" customFormat="false" ht="15" hidden="false" customHeight="true" outlineLevel="0" collapsed="false">
      <c r="A83" s="28" t="s">
        <v>107</v>
      </c>
      <c r="B83" s="28"/>
      <c r="C83" s="29" t="n">
        <f aca="false">SUMIF(Détail!$D:$D,"DUBAI MARINA HO",Détail!$E:$E)</f>
        <v>-141.76</v>
      </c>
    </row>
    <row r="84" customFormat="false" ht="15" hidden="false" customHeight="true" outlineLevel="0" collapsed="false">
      <c r="A84" s="23" t="s">
        <v>54</v>
      </c>
      <c r="B84" s="23" t="s">
        <v>55</v>
      </c>
    </row>
    <row r="85" customFormat="false" ht="15" hidden="false" customHeight="true" outlineLevel="0" collapsed="false">
      <c r="A85" s="8" t="s">
        <v>56</v>
      </c>
      <c r="B85" s="30" t="n">
        <f aca="false">SUMIFS(Détail!$E:$E,Détail!$D:$D,"DUBAI MARINA HO",Détail!$A:$A,"&gt;="&amp;DATE(2026,1,1),Détail!$A:$A,"&lt;"&amp;EDATE(DATE(2026,1,1),1))</f>
        <v>0</v>
      </c>
    </row>
    <row r="86" customFormat="false" ht="15" hidden="false" customHeight="true" outlineLevel="0" collapsed="false">
      <c r="A86" s="8" t="s">
        <v>58</v>
      </c>
      <c r="B86" s="30" t="n">
        <f aca="false">SUMIFS(Détail!$E:$E,Détail!$D:$D,"DUBAI MARINA HO",Détail!$A:$A,"&gt;="&amp;DATE(2026,3,1),Détail!$A:$A,"&lt;"&amp;EDATE(DATE(2026,3,1),1))</f>
        <v>0</v>
      </c>
    </row>
    <row r="87" customFormat="false" ht="15" hidden="false" customHeight="true" outlineLevel="0" collapsed="false">
      <c r="A87" s="8" t="s">
        <v>59</v>
      </c>
      <c r="B87" s="30" t="n">
        <f aca="false">SUMIFS(Détail!$E:$E,Détail!$D:$D,"DUBAI MARINA HO",Détail!$A:$A,"&gt;="&amp;DATE(2026,4,1),Détail!$A:$A,"&lt;"&amp;EDATE(DATE(2026,4,1),1))</f>
        <v>-141.76</v>
      </c>
    </row>
    <row r="88" customFormat="false" ht="15" hidden="false" customHeight="true" outlineLevel="0" collapsed="false">
      <c r="A88" s="8" t="s">
        <v>60</v>
      </c>
      <c r="B88" s="30" t="n">
        <f aca="false">SUMIFS(Détail!$E:$E,Détail!$D:$D,"DUBAI MARINA HO",Détail!$A:$A,"&gt;="&amp;DATE(2026,5,1),Détail!$A:$A,"&lt;"&amp;EDATE(DATE(2026,5,1),1))</f>
        <v>0</v>
      </c>
    </row>
    <row r="89" customFormat="false" ht="15" hidden="false" customHeight="true" outlineLevel="0" collapsed="false">
      <c r="A89" s="8" t="s">
        <v>61</v>
      </c>
      <c r="B89" s="30" t="n">
        <f aca="false">SUMIFS(Détail!$E:$E,Détail!$D:$D,"DUBAI MARINA HO",Détail!$A:$A,"&gt;="&amp;DATE(2026,6,1),Détail!$A:$A,"&lt;"&amp;EDATE(DATE(2026,6,1),1))</f>
        <v>0</v>
      </c>
    </row>
    <row r="90" customFormat="false" ht="15" hidden="false" customHeight="true" outlineLevel="0" collapsed="false">
      <c r="A90" s="8" t="s">
        <v>62</v>
      </c>
      <c r="B90" s="30" t="n">
        <f aca="false">SUMIFS(Détail!$E:$E,Détail!$D:$D,"DUBAI MARINA HO",Détail!$A:$A,"&gt;="&amp;DATE(2026,7,1),Détail!$A:$A,"&lt;"&amp;EDATE(DATE(2026,7,1),1))</f>
        <v>0</v>
      </c>
    </row>
    <row r="93" customFormat="false" ht="15" hidden="false" customHeight="true" outlineLevel="0" collapsed="false">
      <c r="A93" s="28" t="s">
        <v>108</v>
      </c>
      <c r="B93" s="28"/>
      <c r="C93" s="29" t="n">
        <f aca="false">SUMIF(Détail!$D:$D,"TERME MILANO S.",Détail!$E:$E)</f>
        <v>-122</v>
      </c>
    </row>
    <row r="94" customFormat="false" ht="15" hidden="false" customHeight="true" outlineLevel="0" collapsed="false">
      <c r="A94" s="23" t="s">
        <v>54</v>
      </c>
      <c r="B94" s="23" t="s">
        <v>55</v>
      </c>
    </row>
    <row r="95" customFormat="false" ht="15" hidden="false" customHeight="true" outlineLevel="0" collapsed="false">
      <c r="A95" s="8" t="s">
        <v>56</v>
      </c>
      <c r="B95" s="30" t="n">
        <f aca="false">SUMIFS(Détail!$E:$E,Détail!$D:$D,"TERME MILANO S.",Détail!$A:$A,"&gt;="&amp;DATE(2026,1,1),Détail!$A:$A,"&lt;"&amp;EDATE(DATE(2026,1,1),1))</f>
        <v>0</v>
      </c>
    </row>
    <row r="96" customFormat="false" ht="15" hidden="false" customHeight="true" outlineLevel="0" collapsed="false">
      <c r="A96" s="8" t="s">
        <v>58</v>
      </c>
      <c r="B96" s="30" t="n">
        <f aca="false">SUMIFS(Détail!$E:$E,Détail!$D:$D,"TERME MILANO S.",Détail!$A:$A,"&gt;="&amp;DATE(2026,3,1),Détail!$A:$A,"&lt;"&amp;EDATE(DATE(2026,3,1),1))</f>
        <v>0</v>
      </c>
    </row>
    <row r="97" customFormat="false" ht="15" hidden="false" customHeight="true" outlineLevel="0" collapsed="false">
      <c r="A97" s="8" t="s">
        <v>59</v>
      </c>
      <c r="B97" s="30" t="n">
        <f aca="false">SUMIFS(Détail!$E:$E,Détail!$D:$D,"TERME MILANO S.",Détail!$A:$A,"&gt;="&amp;DATE(2026,4,1),Détail!$A:$A,"&lt;"&amp;EDATE(DATE(2026,4,1),1))</f>
        <v>0</v>
      </c>
    </row>
    <row r="98" customFormat="false" ht="15" hidden="false" customHeight="true" outlineLevel="0" collapsed="false">
      <c r="A98" s="8" t="s">
        <v>60</v>
      </c>
      <c r="B98" s="30" t="n">
        <f aca="false">SUMIFS(Détail!$E:$E,Détail!$D:$D,"TERME MILANO S.",Détail!$A:$A,"&gt;="&amp;DATE(2026,5,1),Détail!$A:$A,"&lt;"&amp;EDATE(DATE(2026,5,1),1))</f>
        <v>0</v>
      </c>
    </row>
    <row r="99" customFormat="false" ht="15" hidden="false" customHeight="true" outlineLevel="0" collapsed="false">
      <c r="A99" s="8" t="s">
        <v>61</v>
      </c>
      <c r="B99" s="30" t="n">
        <f aca="false">SUMIFS(Détail!$E:$E,Détail!$D:$D,"TERME MILANO S.",Détail!$A:$A,"&gt;="&amp;DATE(2026,6,1),Détail!$A:$A,"&lt;"&amp;EDATE(DATE(2026,6,1),1))</f>
        <v>-122</v>
      </c>
    </row>
    <row r="100" customFormat="false" ht="15" hidden="false" customHeight="true" outlineLevel="0" collapsed="false">
      <c r="A100" s="8" t="s">
        <v>62</v>
      </c>
      <c r="B100" s="30" t="n">
        <f aca="false">SUMIFS(Détail!$E:$E,Détail!$D:$D,"TERME MILANO S.",Détail!$A:$A,"&gt;="&amp;DATE(2026,7,1),Détail!$A:$A,"&lt;"&amp;EDATE(DATE(2026,7,1),1))</f>
        <v>0</v>
      </c>
    </row>
    <row r="103" customFormat="false" ht="15" hidden="false" customHeight="true" outlineLevel="0" collapsed="false">
      <c r="A103" s="28" t="s">
        <v>109</v>
      </c>
      <c r="B103" s="28"/>
      <c r="C103" s="29" t="n">
        <f aca="false">SUMIF(Détail!$D:$D,"RELAIS MILLAU L",Détail!$E:$E)</f>
        <v>-11.75</v>
      </c>
    </row>
    <row r="104" customFormat="false" ht="15" hidden="false" customHeight="true" outlineLevel="0" collapsed="false">
      <c r="A104" s="23" t="s">
        <v>54</v>
      </c>
      <c r="B104" s="23" t="s">
        <v>55</v>
      </c>
    </row>
    <row r="105" customFormat="false" ht="15" hidden="false" customHeight="true" outlineLevel="0" collapsed="false">
      <c r="A105" s="8" t="s">
        <v>56</v>
      </c>
      <c r="B105" s="30" t="n">
        <f aca="false">SUMIFS(Détail!$E:$E,Détail!$D:$D,"RELAIS MILLAU L",Détail!$A:$A,"&gt;="&amp;DATE(2026,1,1),Détail!$A:$A,"&lt;"&amp;EDATE(DATE(2026,1,1),1))</f>
        <v>0</v>
      </c>
    </row>
    <row r="106" customFormat="false" ht="15" hidden="false" customHeight="true" outlineLevel="0" collapsed="false">
      <c r="A106" s="8" t="s">
        <v>58</v>
      </c>
      <c r="B106" s="30" t="n">
        <f aca="false">SUMIFS(Détail!$E:$E,Détail!$D:$D,"RELAIS MILLAU L",Détail!$A:$A,"&gt;="&amp;DATE(2026,3,1),Détail!$A:$A,"&lt;"&amp;EDATE(DATE(2026,3,1),1))</f>
        <v>0</v>
      </c>
    </row>
    <row r="107" customFormat="false" ht="15" hidden="false" customHeight="true" outlineLevel="0" collapsed="false">
      <c r="A107" s="8" t="s">
        <v>59</v>
      </c>
      <c r="B107" s="30" t="n">
        <f aca="false">SUMIFS(Détail!$E:$E,Détail!$D:$D,"RELAIS MILLAU L",Détail!$A:$A,"&gt;="&amp;DATE(2026,4,1),Détail!$A:$A,"&lt;"&amp;EDATE(DATE(2026,4,1),1))</f>
        <v>-11.75</v>
      </c>
    </row>
    <row r="108" customFormat="false" ht="15" hidden="false" customHeight="true" outlineLevel="0" collapsed="false">
      <c r="A108" s="8" t="s">
        <v>60</v>
      </c>
      <c r="B108" s="30" t="n">
        <f aca="false">SUMIFS(Détail!$E:$E,Détail!$D:$D,"RELAIS MILLAU L",Détail!$A:$A,"&gt;="&amp;DATE(2026,5,1),Détail!$A:$A,"&lt;"&amp;EDATE(DATE(2026,5,1),1))</f>
        <v>0</v>
      </c>
    </row>
    <row r="109" customFormat="false" ht="15" hidden="false" customHeight="true" outlineLevel="0" collapsed="false">
      <c r="A109" s="8" t="s">
        <v>61</v>
      </c>
      <c r="B109" s="30" t="n">
        <f aca="false">SUMIFS(Détail!$E:$E,Détail!$D:$D,"RELAIS MILLAU L",Détail!$A:$A,"&gt;="&amp;DATE(2026,6,1),Détail!$A:$A,"&lt;"&amp;EDATE(DATE(2026,6,1),1))</f>
        <v>0</v>
      </c>
    </row>
    <row r="110" customFormat="false" ht="15" hidden="false" customHeight="true" outlineLevel="0" collapsed="false">
      <c r="A110" s="8" t="s">
        <v>62</v>
      </c>
      <c r="B110" s="30" t="n">
        <f aca="false">SUMIFS(Détail!$E:$E,Détail!$D:$D,"RELAIS MILLAU L",Détail!$A:$A,"&gt;="&amp;DATE(2026,7,1),Détail!$A:$A,"&lt;"&amp;EDATE(DATE(2026,7,1),1))</f>
        <v>0</v>
      </c>
    </row>
    <row r="113" customFormat="false" ht="15" hidden="false" customHeight="true" outlineLevel="0" collapsed="false">
      <c r="A113" s="28" t="s">
        <v>110</v>
      </c>
      <c r="B113" s="28"/>
      <c r="C113" s="29" t="n">
        <f aca="false">SUMIF(Détail!$D:$D,"ISTANBUL 62",Détail!$E:$E)</f>
        <v>-10</v>
      </c>
    </row>
    <row r="114" customFormat="false" ht="15" hidden="false" customHeight="true" outlineLevel="0" collapsed="false">
      <c r="A114" s="23" t="s">
        <v>54</v>
      </c>
      <c r="B114" s="23" t="s">
        <v>55</v>
      </c>
    </row>
    <row r="115" customFormat="false" ht="15" hidden="false" customHeight="true" outlineLevel="0" collapsed="false">
      <c r="A115" s="8" t="s">
        <v>56</v>
      </c>
      <c r="B115" s="30" t="n">
        <f aca="false">SUMIFS(Détail!$E:$E,Détail!$D:$D,"ISTANBUL 62",Détail!$A:$A,"&gt;="&amp;DATE(2026,1,1),Détail!$A:$A,"&lt;"&amp;EDATE(DATE(2026,1,1),1))</f>
        <v>-10</v>
      </c>
    </row>
    <row r="116" customFormat="false" ht="15" hidden="false" customHeight="true" outlineLevel="0" collapsed="false">
      <c r="A116" s="8" t="s">
        <v>58</v>
      </c>
      <c r="B116" s="30" t="n">
        <f aca="false">SUMIFS(Détail!$E:$E,Détail!$D:$D,"ISTANBUL 62",Détail!$A:$A,"&gt;="&amp;DATE(2026,3,1),Détail!$A:$A,"&lt;"&amp;EDATE(DATE(2026,3,1),1))</f>
        <v>0</v>
      </c>
    </row>
    <row r="117" customFormat="false" ht="15" hidden="false" customHeight="true" outlineLevel="0" collapsed="false">
      <c r="A117" s="8" t="s">
        <v>59</v>
      </c>
      <c r="B117" s="30" t="n">
        <f aca="false">SUMIFS(Détail!$E:$E,Détail!$D:$D,"ISTANBUL 62",Détail!$A:$A,"&gt;="&amp;DATE(2026,4,1),Détail!$A:$A,"&lt;"&amp;EDATE(DATE(2026,4,1),1))</f>
        <v>0</v>
      </c>
    </row>
    <row r="118" customFormat="false" ht="15" hidden="false" customHeight="true" outlineLevel="0" collapsed="false">
      <c r="A118" s="8" t="s">
        <v>60</v>
      </c>
      <c r="B118" s="30" t="n">
        <f aca="false">SUMIFS(Détail!$E:$E,Détail!$D:$D,"ISTANBUL 62",Détail!$A:$A,"&gt;="&amp;DATE(2026,5,1),Détail!$A:$A,"&lt;"&amp;EDATE(DATE(2026,5,1),1))</f>
        <v>0</v>
      </c>
    </row>
    <row r="119" customFormat="false" ht="15" hidden="false" customHeight="true" outlineLevel="0" collapsed="false">
      <c r="A119" s="8" t="s">
        <v>61</v>
      </c>
      <c r="B119" s="30" t="n">
        <f aca="false">SUMIFS(Détail!$E:$E,Détail!$D:$D,"ISTANBUL 62",Détail!$A:$A,"&gt;="&amp;DATE(2026,6,1),Détail!$A:$A,"&lt;"&amp;EDATE(DATE(2026,6,1),1))</f>
        <v>0</v>
      </c>
    </row>
    <row r="120" customFormat="false" ht="15" hidden="false" customHeight="true" outlineLevel="0" collapsed="false">
      <c r="A120" s="8" t="s">
        <v>62</v>
      </c>
      <c r="B120" s="30" t="n">
        <f aca="false">SUMIFS(Détail!$E:$E,Détail!$D:$D,"ISTANBUL 62",Détail!$A:$A,"&gt;="&amp;DATE(2026,7,1),Détail!$A:$A,"&lt;"&amp;EDATE(DATE(2026,7,1),1))</f>
        <v>0</v>
      </c>
    </row>
  </sheetData>
  <mergeCells count="12">
    <mergeCell ref="A3:B3"/>
    <mergeCell ref="A13:B13"/>
    <mergeCell ref="A23:B23"/>
    <mergeCell ref="A33:B33"/>
    <mergeCell ref="A43:B43"/>
    <mergeCell ref="A53:B53"/>
    <mergeCell ref="A63:B63"/>
    <mergeCell ref="A73:B73"/>
    <mergeCell ref="A83:B83"/>
    <mergeCell ref="A93:B93"/>
    <mergeCell ref="A103:B103"/>
    <mergeCell ref="A113:B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111</v>
      </c>
    </row>
    <row r="3" customFormat="false" ht="15" hidden="false" customHeight="true" outlineLevel="0" collapsed="false">
      <c r="A3" s="28" t="s">
        <v>112</v>
      </c>
      <c r="B3" s="28"/>
      <c r="C3" s="29" t="n">
        <f aca="false">SUMIF(Détail!$D:$D,"ORANGE SA",Détail!$E:$E)</f>
        <v>-3596.25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SUMIFS(Détail!$E:$E,Détail!$D:$D,"ORANGE SA",Détail!$A:$A,"&gt;="&amp;DATE(2026,1,1),Détail!$A:$A,"&lt;"&amp;EDATE(DATE(2026,1,1),1))</f>
        <v>-670.88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SUMIFS(Détail!$E:$E,Détail!$D:$D,"ORANGE SA",Détail!$A:$A,"&gt;="&amp;DATE(2026,2,1),Détail!$A:$A,"&lt;"&amp;EDATE(DATE(2026,2,1),1))</f>
        <v>-703.49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SUMIFS(Détail!$E:$E,Détail!$D:$D,"ORANGE SA",Détail!$A:$A,"&gt;="&amp;DATE(2026,3,1),Détail!$A:$A,"&lt;"&amp;EDATE(DATE(2026,3,1),1))</f>
        <v>-518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SUMIFS(Détail!$E:$E,Détail!$D:$D,"ORANGE SA",Détail!$A:$A,"&gt;="&amp;DATE(2026,4,1),Détail!$A:$A,"&lt;"&amp;EDATE(DATE(2026,4,1),1))</f>
        <v>-527.32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SUMIFS(Détail!$E:$E,Détail!$D:$D,"ORANGE SA",Détail!$A:$A,"&gt;="&amp;DATE(2026,5,1),Détail!$A:$A,"&lt;"&amp;EDATE(DATE(2026,5,1),1))</f>
        <v>-642.82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SUMIFS(Détail!$E:$E,Détail!$D:$D,"ORANGE SA",Détail!$A:$A,"&gt;="&amp;DATE(2026,6,1),Détail!$A:$A,"&lt;"&amp;EDATE(DATE(2026,6,1),1))</f>
        <v>-533.74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SUMIFS(Détail!$E:$E,Détail!$D:$D,"ORANGE SA",Détail!$A:$A,"&gt;="&amp;DATE(2026,7,1),Détail!$A:$A,"&lt;"&amp;EDATE(DATE(2026,7,1),1))</f>
        <v>0</v>
      </c>
    </row>
    <row r="14" customFormat="false" ht="15" hidden="false" customHeight="true" outlineLevel="0" collapsed="false">
      <c r="A14" s="28" t="s">
        <v>113</v>
      </c>
      <c r="B14" s="28"/>
      <c r="C14" s="29" t="n">
        <f aca="false">SUMIF(Détail!$D:$D,"APPLE",Détail!$E:$E)</f>
        <v>-1914.69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SUMIFS(Détail!$E:$E,Détail!$D:$D,"APPLE",Détail!$A:$A,"&gt;="&amp;DATE(2026,1,1),Détail!$A:$A,"&lt;"&amp;EDATE(DATE(2026,1,1),1))</f>
        <v>-38.95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SUMIFS(Détail!$E:$E,Détail!$D:$D,"APPLE",Détail!$A:$A,"&gt;="&amp;DATE(2026,2,1),Détail!$A:$A,"&lt;"&amp;EDATE(DATE(2026,2,1),1))</f>
        <v>-137.95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SUMIFS(Détail!$E:$E,Détail!$D:$D,"APPLE",Détail!$A:$A,"&gt;="&amp;DATE(2026,3,1),Détail!$A:$A,"&lt;"&amp;EDATE(DATE(2026,3,1),1))</f>
        <v>-38.95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SUMIFS(Détail!$E:$E,Détail!$D:$D,"APPLE",Détail!$A:$A,"&gt;="&amp;DATE(2026,4,1),Détail!$A:$A,"&lt;"&amp;EDATE(DATE(2026,4,1),1))</f>
        <v>-56.93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SUMIFS(Détail!$E:$E,Détail!$D:$D,"APPLE",Détail!$A:$A,"&gt;="&amp;DATE(2026,5,1),Détail!$A:$A,"&lt;"&amp;EDATE(DATE(2026,5,1),1))</f>
        <v>-721.94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SUMIFS(Détail!$E:$E,Détail!$D:$D,"APPLE",Détail!$A:$A,"&gt;="&amp;DATE(2026,6,1),Détail!$A:$A,"&lt;"&amp;EDATE(DATE(2026,6,1),1))</f>
        <v>-905.98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SUMIFS(Détail!$E:$E,Détail!$D:$D,"APPLE",Détail!$A:$A,"&gt;="&amp;DATE(2026,7,1),Détail!$A:$A,"&lt;"&amp;EDATE(DATE(2026,7,1),1))</f>
        <v>-13.99</v>
      </c>
    </row>
    <row r="25" customFormat="false" ht="15" hidden="false" customHeight="true" outlineLevel="0" collapsed="false">
      <c r="A25" s="28" t="s">
        <v>114</v>
      </c>
      <c r="B25" s="28"/>
      <c r="C25" s="29" t="n">
        <f aca="false">SUMIF(Détail!$D:$D,"GOOGLE WORKSPACE",Détail!$E:$E)</f>
        <v>-1036.58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SUMIFS(Détail!$E:$E,Détail!$D:$D,"GOOGLE WORKSPACE",Détail!$A:$A,"&gt;="&amp;DATE(2026,1,1),Détail!$A:$A,"&lt;"&amp;EDATE(DATE(2026,1,1),1))</f>
        <v>-145.8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SUMIFS(Détail!$E:$E,Détail!$D:$D,"GOOGLE WORKSPACE",Détail!$A:$A,"&gt;="&amp;DATE(2026,2,1),Détail!$A:$A,"&lt;"&amp;EDATE(DATE(2026,2,1),1))</f>
        <v>-145.8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SUMIFS(Détail!$E:$E,Détail!$D:$D,"GOOGLE WORKSPACE",Détail!$A:$A,"&gt;="&amp;DATE(2026,3,1),Détail!$A:$A,"&lt;"&amp;EDATE(DATE(2026,3,1),1))</f>
        <v>-145.8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SUMIFS(Détail!$E:$E,Détail!$D:$D,"GOOGLE WORKSPACE",Détail!$A:$A,"&gt;="&amp;DATE(2026,4,1),Détail!$A:$A,"&lt;"&amp;EDATE(DATE(2026,4,1),1))</f>
        <v>-145.8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SUMIFS(Détail!$E:$E,Détail!$D:$D,"GOOGLE WORKSPACE",Détail!$A:$A,"&gt;="&amp;DATE(2026,5,1),Détail!$A:$A,"&lt;"&amp;EDATE(DATE(2026,5,1),1))</f>
        <v>-145.8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SUMIFS(Détail!$E:$E,Détail!$D:$D,"GOOGLE WORKSPACE",Détail!$A:$A,"&gt;="&amp;DATE(2026,6,1),Détail!$A:$A,"&lt;"&amp;EDATE(DATE(2026,6,1),1))</f>
        <v>-152.06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SUMIFS(Détail!$E:$E,Détail!$D:$D,"GOOGLE WORKSPACE",Détail!$A:$A,"&gt;="&amp;DATE(2026,7,1),Détail!$A:$A,"&lt;"&amp;EDATE(DATE(2026,7,1),1))</f>
        <v>-155.52</v>
      </c>
    </row>
    <row r="36" customFormat="false" ht="15" hidden="false" customHeight="true" outlineLevel="0" collapsed="false">
      <c r="A36" s="28" t="s">
        <v>115</v>
      </c>
      <c r="B36" s="28"/>
      <c r="C36" s="29" t="n">
        <f aca="false">SUMIF(Détail!$D:$D,"ADOBE",Détail!$E:$E)</f>
        <v>-393.24</v>
      </c>
    </row>
    <row r="37" customFormat="false" ht="15" hidden="false" customHeight="true" outlineLevel="0" collapsed="false">
      <c r="A37" s="23" t="s">
        <v>54</v>
      </c>
      <c r="B37" s="23" t="s">
        <v>55</v>
      </c>
    </row>
    <row r="38" customFormat="false" ht="15" hidden="false" customHeight="true" outlineLevel="0" collapsed="false">
      <c r="A38" s="8" t="s">
        <v>56</v>
      </c>
      <c r="B38" s="30" t="n">
        <f aca="false">SUMIFS(Détail!$E:$E,Détail!$D:$D,"ADOBE",Détail!$A:$A,"&gt;="&amp;DATE(2026,1,1),Détail!$A:$A,"&lt;"&amp;EDATE(DATE(2026,1,1),1))</f>
        <v>-65.54</v>
      </c>
    </row>
    <row r="39" customFormat="false" ht="15" hidden="false" customHeight="true" outlineLevel="0" collapsed="false">
      <c r="A39" s="8" t="s">
        <v>57</v>
      </c>
      <c r="B39" s="30" t="n">
        <f aca="false">SUMIFS(Détail!$E:$E,Détail!$D:$D,"ADOBE",Détail!$A:$A,"&gt;="&amp;DATE(2026,2,1),Détail!$A:$A,"&lt;"&amp;EDATE(DATE(2026,2,1),1))</f>
        <v>0</v>
      </c>
    </row>
    <row r="40" customFormat="false" ht="15" hidden="false" customHeight="true" outlineLevel="0" collapsed="false">
      <c r="A40" s="8" t="s">
        <v>58</v>
      </c>
      <c r="B40" s="30" t="n">
        <f aca="false">SUMIFS(Détail!$E:$E,Détail!$D:$D,"ADOBE",Détail!$A:$A,"&gt;="&amp;DATE(2026,3,1),Détail!$A:$A,"&lt;"&amp;EDATE(DATE(2026,3,1),1))</f>
        <v>-131.08</v>
      </c>
    </row>
    <row r="41" customFormat="false" ht="15" hidden="false" customHeight="true" outlineLevel="0" collapsed="false">
      <c r="A41" s="8" t="s">
        <v>59</v>
      </c>
      <c r="B41" s="30" t="n">
        <f aca="false">SUMIFS(Détail!$E:$E,Détail!$D:$D,"ADOBE",Détail!$A:$A,"&gt;="&amp;DATE(2026,4,1),Détail!$A:$A,"&lt;"&amp;EDATE(DATE(2026,4,1),1))</f>
        <v>-65.54</v>
      </c>
    </row>
    <row r="42" customFormat="false" ht="15" hidden="false" customHeight="true" outlineLevel="0" collapsed="false">
      <c r="A42" s="8" t="s">
        <v>60</v>
      </c>
      <c r="B42" s="30" t="n">
        <f aca="false">SUMIFS(Détail!$E:$E,Détail!$D:$D,"ADOBE",Détail!$A:$A,"&gt;="&amp;DATE(2026,5,1),Détail!$A:$A,"&lt;"&amp;EDATE(DATE(2026,5,1),1))</f>
        <v>-65.54</v>
      </c>
    </row>
    <row r="43" customFormat="false" ht="15" hidden="false" customHeight="true" outlineLevel="0" collapsed="false">
      <c r="A43" s="8" t="s">
        <v>61</v>
      </c>
      <c r="B43" s="30" t="n">
        <f aca="false">SUMIFS(Détail!$E:$E,Détail!$D:$D,"ADOBE",Détail!$A:$A,"&gt;="&amp;DATE(2026,6,1),Détail!$A:$A,"&lt;"&amp;EDATE(DATE(2026,6,1),1))</f>
        <v>-65.54</v>
      </c>
    </row>
    <row r="44" customFormat="false" ht="15" hidden="false" customHeight="true" outlineLevel="0" collapsed="false">
      <c r="A44" s="8" t="s">
        <v>62</v>
      </c>
      <c r="B44" s="30" t="n">
        <f aca="false">SUMIFS(Détail!$E:$E,Détail!$D:$D,"ADOBE",Détail!$A:$A,"&gt;="&amp;DATE(2026,7,1),Détail!$A:$A,"&lt;"&amp;EDATE(DATE(2026,7,1),1))</f>
        <v>0</v>
      </c>
    </row>
    <row r="47" customFormat="false" ht="15" hidden="false" customHeight="true" outlineLevel="0" collapsed="false">
      <c r="A47" s="28" t="s">
        <v>116</v>
      </c>
      <c r="B47" s="28"/>
      <c r="C47" s="29" t="n">
        <f aca="false">SUMIF(Détail!$D:$D,"SHOPIFY",Détail!$E:$E)</f>
        <v>-239.02</v>
      </c>
    </row>
    <row r="48" customFormat="false" ht="15" hidden="false" customHeight="true" outlineLevel="0" collapsed="false">
      <c r="A48" s="23" t="s">
        <v>54</v>
      </c>
      <c r="B48" s="23" t="s">
        <v>55</v>
      </c>
    </row>
    <row r="49" customFormat="false" ht="15" hidden="false" customHeight="true" outlineLevel="0" collapsed="false">
      <c r="A49" s="8" t="s">
        <v>56</v>
      </c>
      <c r="B49" s="30" t="n">
        <f aca="false">SUMIFS(Détail!$E:$E,Détail!$D:$D,"SHOPIFY",Détail!$A:$A,"&gt;="&amp;DATE(2026,1,1),Détail!$A:$A,"&lt;"&amp;EDATE(DATE(2026,1,1),1))</f>
        <v>-33.92</v>
      </c>
    </row>
    <row r="50" customFormat="false" ht="15" hidden="false" customHeight="true" outlineLevel="0" collapsed="false">
      <c r="A50" s="8" t="s">
        <v>57</v>
      </c>
      <c r="B50" s="30" t="n">
        <f aca="false">SUMIFS(Détail!$E:$E,Détail!$D:$D,"SHOPIFY",Détail!$A:$A,"&gt;="&amp;DATE(2026,2,1),Détail!$A:$A,"&lt;"&amp;EDATE(DATE(2026,2,1),1))</f>
        <v>-33.64</v>
      </c>
    </row>
    <row r="51" customFormat="false" ht="15" hidden="false" customHeight="true" outlineLevel="0" collapsed="false">
      <c r="A51" s="8" t="s">
        <v>58</v>
      </c>
      <c r="B51" s="30" t="n">
        <f aca="false">SUMIFS(Détail!$E:$E,Détail!$D:$D,"SHOPIFY",Détail!$A:$A,"&gt;="&amp;DATE(2026,3,1),Détail!$A:$A,"&lt;"&amp;EDATE(DATE(2026,3,1),1))</f>
        <v>-34.28</v>
      </c>
    </row>
    <row r="52" customFormat="false" ht="15" hidden="false" customHeight="true" outlineLevel="0" collapsed="false">
      <c r="A52" s="8" t="s">
        <v>59</v>
      </c>
      <c r="B52" s="30" t="n">
        <f aca="false">SUMIFS(Détail!$E:$E,Détail!$D:$D,"SHOPIFY",Détail!$A:$A,"&gt;="&amp;DATE(2026,4,1),Détail!$A:$A,"&lt;"&amp;EDATE(DATE(2026,4,1),1))</f>
        <v>-34.35</v>
      </c>
    </row>
    <row r="53" customFormat="false" ht="15" hidden="false" customHeight="true" outlineLevel="0" collapsed="false">
      <c r="A53" s="8" t="s">
        <v>60</v>
      </c>
      <c r="B53" s="30" t="n">
        <f aca="false">SUMIFS(Détail!$E:$E,Détail!$D:$D,"SHOPIFY",Détail!$A:$A,"&gt;="&amp;DATE(2026,5,1),Détail!$A:$A,"&lt;"&amp;EDATE(DATE(2026,5,1),1))</f>
        <v>-33.76</v>
      </c>
    </row>
    <row r="54" customFormat="false" ht="15" hidden="false" customHeight="true" outlineLevel="0" collapsed="false">
      <c r="A54" s="8" t="s">
        <v>61</v>
      </c>
      <c r="B54" s="30" t="n">
        <f aca="false">SUMIFS(Détail!$E:$E,Détail!$D:$D,"SHOPIFY",Détail!$A:$A,"&gt;="&amp;DATE(2026,6,1),Détail!$A:$A,"&lt;"&amp;EDATE(DATE(2026,6,1),1))</f>
        <v>-34.37</v>
      </c>
    </row>
    <row r="55" customFormat="false" ht="15" hidden="false" customHeight="true" outlineLevel="0" collapsed="false">
      <c r="A55" s="8" t="s">
        <v>62</v>
      </c>
      <c r="B55" s="30" t="n">
        <f aca="false">SUMIFS(Détail!$E:$E,Détail!$D:$D,"SHOPIFY",Détail!$A:$A,"&gt;="&amp;DATE(2026,7,1),Détail!$A:$A,"&lt;"&amp;EDATE(DATE(2026,7,1),1))</f>
        <v>-34.7</v>
      </c>
    </row>
    <row r="58" customFormat="false" ht="15" hidden="false" customHeight="true" outlineLevel="0" collapsed="false">
      <c r="A58" s="28" t="s">
        <v>117</v>
      </c>
      <c r="B58" s="28"/>
      <c r="C58" s="29" t="n">
        <f aca="false">SUMIF(Détail!$D:$D,"ANTHROPIC / CLAUDE.AI",Détail!$E:$E)</f>
        <v>-113.89</v>
      </c>
    </row>
    <row r="59" customFormat="false" ht="15" hidden="false" customHeight="true" outlineLevel="0" collapsed="false">
      <c r="A59" s="23" t="s">
        <v>54</v>
      </c>
      <c r="B59" s="23" t="s">
        <v>55</v>
      </c>
    </row>
    <row r="60" customFormat="false" ht="15" hidden="false" customHeight="true" outlineLevel="0" collapsed="false">
      <c r="A60" s="8" t="s">
        <v>56</v>
      </c>
      <c r="B60" s="30" t="n">
        <f aca="false">SUMIFS(Détail!$E:$E,Détail!$D:$D,"ANTHROPIC / CLAUDE.AI",Détail!$A:$A,"&gt;="&amp;DATE(2026,1,1),Détail!$A:$A,"&lt;"&amp;EDATE(DATE(2026,1,1),1))</f>
        <v>0</v>
      </c>
    </row>
    <row r="61" customFormat="false" ht="15" hidden="false" customHeight="true" outlineLevel="0" collapsed="false">
      <c r="A61" s="8" t="s">
        <v>57</v>
      </c>
      <c r="B61" s="30" t="n">
        <f aca="false">SUMIFS(Détail!$E:$E,Détail!$D:$D,"ANTHROPIC / CLAUDE.AI",Détail!$A:$A,"&gt;="&amp;DATE(2026,2,1),Détail!$A:$A,"&lt;"&amp;EDATE(DATE(2026,2,1),1))</f>
        <v>0</v>
      </c>
    </row>
    <row r="62" customFormat="false" ht="15" hidden="false" customHeight="true" outlineLevel="0" collapsed="false">
      <c r="A62" s="8" t="s">
        <v>58</v>
      </c>
      <c r="B62" s="30" t="n">
        <f aca="false">SUMIFS(Détail!$E:$E,Détail!$D:$D,"ANTHROPIC / CLAUDE.AI",Détail!$A:$A,"&gt;="&amp;DATE(2026,3,1),Détail!$A:$A,"&lt;"&amp;EDATE(DATE(2026,3,1),1))</f>
        <v>0</v>
      </c>
    </row>
    <row r="63" customFormat="false" ht="15" hidden="false" customHeight="true" outlineLevel="0" collapsed="false">
      <c r="A63" s="8" t="s">
        <v>59</v>
      </c>
      <c r="B63" s="30" t="n">
        <f aca="false">SUMIFS(Détail!$E:$E,Détail!$D:$D,"ANTHROPIC / CLAUDE.AI",Détail!$A:$A,"&gt;="&amp;DATE(2026,4,1),Détail!$A:$A,"&lt;"&amp;EDATE(DATE(2026,4,1),1))</f>
        <v>-22.22</v>
      </c>
    </row>
    <row r="64" customFormat="false" ht="15" hidden="false" customHeight="true" outlineLevel="0" collapsed="false">
      <c r="A64" s="8" t="s">
        <v>60</v>
      </c>
      <c r="B64" s="30" t="n">
        <f aca="false">SUMIFS(Détail!$E:$E,Détail!$D:$D,"ANTHROPIC / CLAUDE.AI",Détail!$A:$A,"&gt;="&amp;DATE(2026,5,1),Détail!$A:$A,"&lt;"&amp;EDATE(DATE(2026,5,1),1))</f>
        <v>-69.45</v>
      </c>
    </row>
    <row r="65" customFormat="false" ht="15" hidden="false" customHeight="true" outlineLevel="0" collapsed="false">
      <c r="A65" s="8" t="s">
        <v>61</v>
      </c>
      <c r="B65" s="30" t="n">
        <f aca="false">SUMIFS(Détail!$E:$E,Détail!$D:$D,"ANTHROPIC / CLAUDE.AI",Détail!$A:$A,"&gt;="&amp;DATE(2026,6,1),Détail!$A:$A,"&lt;"&amp;EDATE(DATE(2026,6,1),1))</f>
        <v>-22.22</v>
      </c>
    </row>
    <row r="66" customFormat="false" ht="15" hidden="false" customHeight="true" outlineLevel="0" collapsed="false">
      <c r="A66" s="8" t="s">
        <v>62</v>
      </c>
      <c r="B66" s="30" t="n">
        <f aca="false">SUMIFS(Détail!$E:$E,Détail!$D:$D,"ANTHROPIC / CLAUDE.AI",Détail!$A:$A,"&gt;="&amp;DATE(2026,7,1),Détail!$A:$A,"&lt;"&amp;EDATE(DATE(2026,7,1),1))</f>
        <v>0</v>
      </c>
    </row>
    <row r="69" customFormat="false" ht="15" hidden="false" customHeight="true" outlineLevel="0" collapsed="false">
      <c r="A69" s="28" t="s">
        <v>118</v>
      </c>
      <c r="B69" s="28"/>
      <c r="C69" s="29" t="n">
        <f aca="false">SUMIF(Détail!$D:$D,"MICROSOFT",Détail!$E:$E)</f>
        <v>-98</v>
      </c>
    </row>
    <row r="70" customFormat="false" ht="15" hidden="false" customHeight="true" outlineLevel="0" collapsed="false">
      <c r="A70" s="23" t="s">
        <v>54</v>
      </c>
      <c r="B70" s="23" t="s">
        <v>55</v>
      </c>
    </row>
    <row r="71" customFormat="false" ht="15" hidden="false" customHeight="true" outlineLevel="0" collapsed="false">
      <c r="A71" s="8" t="s">
        <v>56</v>
      </c>
      <c r="B71" s="30" t="n">
        <f aca="false">SUMIFS(Détail!$E:$E,Détail!$D:$D,"MICROSOFT",Détail!$A:$A,"&gt;="&amp;DATE(2026,1,1),Détail!$A:$A,"&lt;"&amp;EDATE(DATE(2026,1,1),1))</f>
        <v>-13</v>
      </c>
    </row>
    <row r="72" customFormat="false" ht="15" hidden="false" customHeight="true" outlineLevel="0" collapsed="false">
      <c r="A72" s="8" t="s">
        <v>57</v>
      </c>
      <c r="B72" s="30" t="n">
        <f aca="false">SUMIFS(Détail!$E:$E,Détail!$D:$D,"MICROSOFT",Détail!$A:$A,"&gt;="&amp;DATE(2026,2,1),Détail!$A:$A,"&lt;"&amp;EDATE(DATE(2026,2,1),1))</f>
        <v>0</v>
      </c>
    </row>
    <row r="73" customFormat="false" ht="15" hidden="false" customHeight="true" outlineLevel="0" collapsed="false">
      <c r="A73" s="8" t="s">
        <v>58</v>
      </c>
      <c r="B73" s="30" t="n">
        <f aca="false">SUMIFS(Détail!$E:$E,Détail!$D:$D,"MICROSOFT",Détail!$A:$A,"&gt;="&amp;DATE(2026,3,1),Détail!$A:$A,"&lt;"&amp;EDATE(DATE(2026,3,1),1))</f>
        <v>-26</v>
      </c>
    </row>
    <row r="74" customFormat="false" ht="15" hidden="false" customHeight="true" outlineLevel="0" collapsed="false">
      <c r="A74" s="8" t="s">
        <v>59</v>
      </c>
      <c r="B74" s="30" t="n">
        <f aca="false">SUMIFS(Détail!$E:$E,Détail!$D:$D,"MICROSOFT",Détail!$A:$A,"&gt;="&amp;DATE(2026,4,1),Détail!$A:$A,"&lt;"&amp;EDATE(DATE(2026,4,1),1))</f>
        <v>-13</v>
      </c>
    </row>
    <row r="75" customFormat="false" ht="15" hidden="false" customHeight="true" outlineLevel="0" collapsed="false">
      <c r="A75" s="8" t="s">
        <v>60</v>
      </c>
      <c r="B75" s="30" t="n">
        <f aca="false">SUMIFS(Détail!$E:$E,Détail!$D:$D,"MICROSOFT",Détail!$A:$A,"&gt;="&amp;DATE(2026,5,1),Détail!$A:$A,"&lt;"&amp;EDATE(DATE(2026,5,1),1))</f>
        <v>-23</v>
      </c>
    </row>
    <row r="76" customFormat="false" ht="15" hidden="false" customHeight="true" outlineLevel="0" collapsed="false">
      <c r="A76" s="8" t="s">
        <v>61</v>
      </c>
      <c r="B76" s="30" t="n">
        <f aca="false">SUMIFS(Détail!$E:$E,Détail!$D:$D,"MICROSOFT",Détail!$A:$A,"&gt;="&amp;DATE(2026,6,1),Détail!$A:$A,"&lt;"&amp;EDATE(DATE(2026,6,1),1))</f>
        <v>-23</v>
      </c>
    </row>
    <row r="77" customFormat="false" ht="15" hidden="false" customHeight="true" outlineLevel="0" collapsed="false">
      <c r="A77" s="8" t="s">
        <v>62</v>
      </c>
      <c r="B77" s="30" t="n">
        <f aca="false">SUMIFS(Détail!$E:$E,Détail!$D:$D,"MICROSOFT",Détail!$A:$A,"&gt;="&amp;DATE(2026,7,1),Détail!$A:$A,"&lt;"&amp;EDATE(DATE(2026,7,1),1))</f>
        <v>0</v>
      </c>
    </row>
    <row r="80" customFormat="false" ht="15" hidden="false" customHeight="true" outlineLevel="0" collapsed="false">
      <c r="A80" s="28" t="s">
        <v>119</v>
      </c>
      <c r="B80" s="28"/>
      <c r="C80" s="29" t="n">
        <f aca="false">SUMIF(Détail!$D:$D,"FIVERR",Détail!$E:$E)</f>
        <v>-80.73</v>
      </c>
    </row>
    <row r="81" customFormat="false" ht="15" hidden="false" customHeight="true" outlineLevel="0" collapsed="false">
      <c r="A81" s="23" t="s">
        <v>54</v>
      </c>
      <c r="B81" s="23" t="s">
        <v>55</v>
      </c>
    </row>
    <row r="82" customFormat="false" ht="15" hidden="false" customHeight="true" outlineLevel="0" collapsed="false">
      <c r="A82" s="8" t="s">
        <v>56</v>
      </c>
      <c r="B82" s="30" t="n">
        <f aca="false">SUMIFS(Détail!$E:$E,Détail!$D:$D,"FIVERR",Détail!$A:$A,"&gt;="&amp;DATE(2026,1,1),Détail!$A:$A,"&lt;"&amp;EDATE(DATE(2026,1,1),1))</f>
        <v>0</v>
      </c>
    </row>
    <row r="83" customFormat="false" ht="15" hidden="false" customHeight="true" outlineLevel="0" collapsed="false">
      <c r="A83" s="8" t="s">
        <v>57</v>
      </c>
      <c r="B83" s="30" t="n">
        <f aca="false">SUMIFS(Détail!$E:$E,Détail!$D:$D,"FIVERR",Détail!$A:$A,"&gt;="&amp;DATE(2026,2,1),Détail!$A:$A,"&lt;"&amp;EDATE(DATE(2026,2,1),1))</f>
        <v>0</v>
      </c>
    </row>
    <row r="84" customFormat="false" ht="15" hidden="false" customHeight="true" outlineLevel="0" collapsed="false">
      <c r="A84" s="8" t="s">
        <v>58</v>
      </c>
      <c r="B84" s="30" t="n">
        <f aca="false">SUMIFS(Détail!$E:$E,Détail!$D:$D,"FIVERR",Détail!$A:$A,"&gt;="&amp;DATE(2026,3,1),Détail!$A:$A,"&lt;"&amp;EDATE(DATE(2026,3,1),1))</f>
        <v>0</v>
      </c>
    </row>
    <row r="85" customFormat="false" ht="15" hidden="false" customHeight="true" outlineLevel="0" collapsed="false">
      <c r="A85" s="8" t="s">
        <v>59</v>
      </c>
      <c r="B85" s="30" t="n">
        <f aca="false">SUMIFS(Détail!$E:$E,Détail!$D:$D,"FIVERR",Détail!$A:$A,"&gt;="&amp;DATE(2026,4,1),Détail!$A:$A,"&lt;"&amp;EDATE(DATE(2026,4,1),1))</f>
        <v>0</v>
      </c>
    </row>
    <row r="86" customFormat="false" ht="15" hidden="false" customHeight="true" outlineLevel="0" collapsed="false">
      <c r="A86" s="8" t="s">
        <v>60</v>
      </c>
      <c r="B86" s="30" t="n">
        <f aca="false">SUMIFS(Détail!$E:$E,Détail!$D:$D,"FIVERR",Détail!$A:$A,"&gt;="&amp;DATE(2026,5,1),Détail!$A:$A,"&lt;"&amp;EDATE(DATE(2026,5,1),1))</f>
        <v>0</v>
      </c>
    </row>
    <row r="87" customFormat="false" ht="15" hidden="false" customHeight="true" outlineLevel="0" collapsed="false">
      <c r="A87" s="8" t="s">
        <v>61</v>
      </c>
      <c r="B87" s="30" t="n">
        <f aca="false">SUMIFS(Détail!$E:$E,Détail!$D:$D,"FIVERR",Détail!$A:$A,"&gt;="&amp;DATE(2026,6,1),Détail!$A:$A,"&lt;"&amp;EDATE(DATE(2026,6,1),1))</f>
        <v>-80.73</v>
      </c>
    </row>
    <row r="88" customFormat="false" ht="15" hidden="false" customHeight="true" outlineLevel="0" collapsed="false">
      <c r="A88" s="8" t="s">
        <v>62</v>
      </c>
      <c r="B88" s="30" t="n">
        <f aca="false">SUMIFS(Détail!$E:$E,Détail!$D:$D,"FIVERR",Détail!$A:$A,"&gt;="&amp;DATE(2026,7,1),Détail!$A:$A,"&lt;"&amp;EDATE(DATE(2026,7,1),1))</f>
        <v>0</v>
      </c>
    </row>
    <row r="91" customFormat="false" ht="15" hidden="false" customHeight="true" outlineLevel="0" collapsed="false">
      <c r="A91" s="28" t="s">
        <v>120</v>
      </c>
      <c r="B91" s="28"/>
      <c r="C91" s="29" t="n">
        <f aca="false">SUMIF(Détail!$D:$D,"SITE WEB EMMANUELLEJANE.COM",Détail!$E:$E)</f>
        <v>-19.99</v>
      </c>
    </row>
    <row r="92" customFormat="false" ht="15" hidden="false" customHeight="true" outlineLevel="0" collapsed="false">
      <c r="A92" s="23" t="s">
        <v>54</v>
      </c>
      <c r="B92" s="23" t="s">
        <v>55</v>
      </c>
    </row>
    <row r="93" customFormat="false" ht="15" hidden="false" customHeight="true" outlineLevel="0" collapsed="false">
      <c r="A93" s="8" t="s">
        <v>56</v>
      </c>
      <c r="B93" s="30" t="n">
        <f aca="false">SUMIFS(Détail!$E:$E,Détail!$D:$D,"SITE WEB EMMANUELLEJANE.COM",Détail!$A:$A,"&gt;="&amp;DATE(2026,1,1),Détail!$A:$A,"&lt;"&amp;EDATE(DATE(2026,1,1),1))</f>
        <v>0</v>
      </c>
    </row>
    <row r="94" customFormat="false" ht="15" hidden="false" customHeight="true" outlineLevel="0" collapsed="false">
      <c r="A94" s="8" t="s">
        <v>57</v>
      </c>
      <c r="B94" s="30" t="n">
        <f aca="false">SUMIFS(Détail!$E:$E,Détail!$D:$D,"SITE WEB EMMANUELLEJANE.COM",Détail!$A:$A,"&gt;="&amp;DATE(2026,2,1),Détail!$A:$A,"&lt;"&amp;EDATE(DATE(2026,2,1),1))</f>
        <v>0</v>
      </c>
    </row>
    <row r="95" customFormat="false" ht="15" hidden="false" customHeight="true" outlineLevel="0" collapsed="false">
      <c r="A95" s="8" t="s">
        <v>58</v>
      </c>
      <c r="B95" s="30" t="n">
        <f aca="false">SUMIFS(Détail!$E:$E,Détail!$D:$D,"SITE WEB EMMANUELLEJANE.COM",Détail!$A:$A,"&gt;="&amp;DATE(2026,3,1),Détail!$A:$A,"&lt;"&amp;EDATE(DATE(2026,3,1),1))</f>
        <v>0</v>
      </c>
    </row>
    <row r="96" customFormat="false" ht="15" hidden="false" customHeight="true" outlineLevel="0" collapsed="false">
      <c r="A96" s="8" t="s">
        <v>59</v>
      </c>
      <c r="B96" s="30" t="n">
        <f aca="false">SUMIFS(Détail!$E:$E,Détail!$D:$D,"SITE WEB EMMANUELLEJANE.COM",Détail!$A:$A,"&gt;="&amp;DATE(2026,4,1),Détail!$A:$A,"&lt;"&amp;EDATE(DATE(2026,4,1),1))</f>
        <v>0</v>
      </c>
    </row>
    <row r="97" customFormat="false" ht="15" hidden="false" customHeight="true" outlineLevel="0" collapsed="false">
      <c r="A97" s="8" t="s">
        <v>60</v>
      </c>
      <c r="B97" s="30" t="n">
        <f aca="false">SUMIFS(Détail!$E:$E,Détail!$D:$D,"SITE WEB EMMANUELLEJANE.COM",Détail!$A:$A,"&gt;="&amp;DATE(2026,5,1),Détail!$A:$A,"&lt;"&amp;EDATE(DATE(2026,5,1),1))</f>
        <v>-19.99</v>
      </c>
    </row>
    <row r="98" customFormat="false" ht="15" hidden="false" customHeight="true" outlineLevel="0" collapsed="false">
      <c r="A98" s="8" t="s">
        <v>61</v>
      </c>
      <c r="B98" s="30" t="n">
        <f aca="false">SUMIFS(Détail!$E:$E,Détail!$D:$D,"SITE WEB EMMANUELLEJANE.COM",Détail!$A:$A,"&gt;="&amp;DATE(2026,6,1),Détail!$A:$A,"&lt;"&amp;EDATE(DATE(2026,6,1),1))</f>
        <v>0</v>
      </c>
    </row>
    <row r="99" customFormat="false" ht="15" hidden="false" customHeight="true" outlineLevel="0" collapsed="false">
      <c r="A99" s="8" t="s">
        <v>62</v>
      </c>
      <c r="B99" s="30" t="n">
        <f aca="false">SUMIFS(Détail!$E:$E,Détail!$D:$D,"SITE WEB EMMANUELLEJANE.COM",Détail!$A:$A,"&gt;="&amp;DATE(2026,7,1),Détail!$A:$A,"&lt;"&amp;EDATE(DATE(2026,7,1),1))</f>
        <v>0</v>
      </c>
    </row>
    <row r="102" customFormat="false" ht="15" hidden="false" customHeight="true" outlineLevel="0" collapsed="false">
      <c r="A102" s="28" t="s">
        <v>121</v>
      </c>
      <c r="B102" s="28"/>
      <c r="C102" s="29" t="n">
        <f aca="false">SUMIF(Détail!$D:$D,"NYX*EGFRANCESAS",Détail!$E:$E)</f>
        <v>-13.5</v>
      </c>
    </row>
    <row r="103" customFormat="false" ht="15" hidden="false" customHeight="true" outlineLevel="0" collapsed="false">
      <c r="A103" s="23" t="s">
        <v>54</v>
      </c>
      <c r="B103" s="23" t="s">
        <v>55</v>
      </c>
    </row>
    <row r="104" customFormat="false" ht="15" hidden="false" customHeight="true" outlineLevel="0" collapsed="false">
      <c r="A104" s="8" t="s">
        <v>56</v>
      </c>
      <c r="B104" s="30" t="n">
        <f aca="false">SUMIFS(Détail!$E:$E,Détail!$D:$D,"NYX*EGFRANCESAS",Détail!$A:$A,"&gt;="&amp;DATE(2026,1,1),Détail!$A:$A,"&lt;"&amp;EDATE(DATE(2026,1,1),1))</f>
        <v>-6</v>
      </c>
    </row>
    <row r="105" customFormat="false" ht="15" hidden="false" customHeight="true" outlineLevel="0" collapsed="false">
      <c r="A105" s="8" t="s">
        <v>57</v>
      </c>
      <c r="B105" s="30" t="n">
        <f aca="false">SUMIFS(Détail!$E:$E,Détail!$D:$D,"NYX*EGFRANCESAS",Détail!$A:$A,"&gt;="&amp;DATE(2026,2,1),Détail!$A:$A,"&lt;"&amp;EDATE(DATE(2026,2,1),1))</f>
        <v>0</v>
      </c>
    </row>
    <row r="106" customFormat="false" ht="15" hidden="false" customHeight="true" outlineLevel="0" collapsed="false">
      <c r="A106" s="8" t="s">
        <v>58</v>
      </c>
      <c r="B106" s="30" t="n">
        <f aca="false">SUMIFS(Détail!$E:$E,Détail!$D:$D,"NYX*EGFRANCESAS",Détail!$A:$A,"&gt;="&amp;DATE(2026,3,1),Détail!$A:$A,"&lt;"&amp;EDATE(DATE(2026,3,1),1))</f>
        <v>0</v>
      </c>
    </row>
    <row r="107" customFormat="false" ht="15" hidden="false" customHeight="true" outlineLevel="0" collapsed="false">
      <c r="A107" s="8" t="s">
        <v>59</v>
      </c>
      <c r="B107" s="30" t="n">
        <f aca="false">SUMIFS(Détail!$E:$E,Détail!$D:$D,"NYX*EGFRANCESAS",Détail!$A:$A,"&gt;="&amp;DATE(2026,4,1),Détail!$A:$A,"&lt;"&amp;EDATE(DATE(2026,4,1),1))</f>
        <v>-3</v>
      </c>
    </row>
    <row r="108" customFormat="false" ht="15" hidden="false" customHeight="true" outlineLevel="0" collapsed="false">
      <c r="A108" s="8" t="s">
        <v>60</v>
      </c>
      <c r="B108" s="30" t="n">
        <f aca="false">SUMIFS(Détail!$E:$E,Détail!$D:$D,"NYX*EGFRANCESAS",Détail!$A:$A,"&gt;="&amp;DATE(2026,5,1),Détail!$A:$A,"&lt;"&amp;EDATE(DATE(2026,5,1),1))</f>
        <v>0</v>
      </c>
    </row>
    <row r="109" customFormat="false" ht="15" hidden="false" customHeight="true" outlineLevel="0" collapsed="false">
      <c r="A109" s="8" t="s">
        <v>61</v>
      </c>
      <c r="B109" s="30" t="n">
        <f aca="false">SUMIFS(Détail!$E:$E,Détail!$D:$D,"NYX*EGFRANCESAS",Détail!$A:$A,"&gt;="&amp;DATE(2026,6,1),Détail!$A:$A,"&lt;"&amp;EDATE(DATE(2026,6,1),1))</f>
        <v>-4.5</v>
      </c>
    </row>
    <row r="110" customFormat="false" ht="15" hidden="false" customHeight="true" outlineLevel="0" collapsed="false">
      <c r="A110" s="8" t="s">
        <v>62</v>
      </c>
      <c r="B110" s="30" t="n">
        <f aca="false">SUMIFS(Détail!$E:$E,Détail!$D:$D,"NYX*EGFRANCESAS",Détail!$A:$A,"&gt;="&amp;DATE(2026,7,1),Détail!$A:$A,"&lt;"&amp;EDATE(DATE(2026,7,1),1))</f>
        <v>0</v>
      </c>
    </row>
    <row r="113" customFormat="false" ht="15" hidden="false" customHeight="true" outlineLevel="0" collapsed="false">
      <c r="A113" s="28" t="s">
        <v>122</v>
      </c>
      <c r="B113" s="28"/>
      <c r="C113" s="29" t="n">
        <f aca="false">SUMIF(Détail!$D:$D,"OVH SAS",Détail!$E:$E)</f>
        <v>-2.52</v>
      </c>
    </row>
    <row r="114" customFormat="false" ht="15" hidden="false" customHeight="true" outlineLevel="0" collapsed="false">
      <c r="A114" s="23" t="s">
        <v>54</v>
      </c>
      <c r="B114" s="23" t="s">
        <v>55</v>
      </c>
    </row>
    <row r="115" customFormat="false" ht="15" hidden="false" customHeight="true" outlineLevel="0" collapsed="false">
      <c r="A115" s="8" t="s">
        <v>56</v>
      </c>
      <c r="B115" s="30" t="n">
        <f aca="false">SUMIFS(Détail!$E:$E,Détail!$D:$D,"OVH SAS",Détail!$A:$A,"&gt;="&amp;DATE(2026,1,1),Détail!$A:$A,"&lt;"&amp;EDATE(DATE(2026,1,1),1))</f>
        <v>-0.36</v>
      </c>
    </row>
    <row r="116" customFormat="false" ht="15" hidden="false" customHeight="true" outlineLevel="0" collapsed="false">
      <c r="A116" s="8" t="s">
        <v>57</v>
      </c>
      <c r="B116" s="30" t="n">
        <f aca="false">SUMIFS(Détail!$E:$E,Détail!$D:$D,"OVH SAS",Détail!$A:$A,"&gt;="&amp;DATE(2026,2,1),Détail!$A:$A,"&lt;"&amp;EDATE(DATE(2026,2,1),1))</f>
        <v>-0.36</v>
      </c>
    </row>
    <row r="117" customFormat="false" ht="15" hidden="false" customHeight="true" outlineLevel="0" collapsed="false">
      <c r="A117" s="8" t="s">
        <v>58</v>
      </c>
      <c r="B117" s="30" t="n">
        <f aca="false">SUMIFS(Détail!$E:$E,Détail!$D:$D,"OVH SAS",Détail!$A:$A,"&gt;="&amp;DATE(2026,3,1),Détail!$A:$A,"&lt;"&amp;EDATE(DATE(2026,3,1),1))</f>
        <v>-0.36</v>
      </c>
    </row>
    <row r="118" customFormat="false" ht="15" hidden="false" customHeight="true" outlineLevel="0" collapsed="false">
      <c r="A118" s="8" t="s">
        <v>59</v>
      </c>
      <c r="B118" s="30" t="n">
        <f aca="false">SUMIFS(Détail!$E:$E,Détail!$D:$D,"OVH SAS",Détail!$A:$A,"&gt;="&amp;DATE(2026,4,1),Détail!$A:$A,"&lt;"&amp;EDATE(DATE(2026,4,1),1))</f>
        <v>-0.36</v>
      </c>
    </row>
    <row r="119" customFormat="false" ht="15" hidden="false" customHeight="true" outlineLevel="0" collapsed="false">
      <c r="A119" s="8" t="s">
        <v>60</v>
      </c>
      <c r="B119" s="30" t="n">
        <f aca="false">SUMIFS(Détail!$E:$E,Détail!$D:$D,"OVH SAS",Détail!$A:$A,"&gt;="&amp;DATE(2026,5,1),Détail!$A:$A,"&lt;"&amp;EDATE(DATE(2026,5,1),1))</f>
        <v>-0.36</v>
      </c>
    </row>
    <row r="120" customFormat="false" ht="15" hidden="false" customHeight="true" outlineLevel="0" collapsed="false">
      <c r="A120" s="8" t="s">
        <v>61</v>
      </c>
      <c r="B120" s="30" t="n">
        <f aca="false">SUMIFS(Détail!$E:$E,Détail!$D:$D,"OVH SAS",Détail!$A:$A,"&gt;="&amp;DATE(2026,6,1),Détail!$A:$A,"&lt;"&amp;EDATE(DATE(2026,6,1),1))</f>
        <v>-0.36</v>
      </c>
    </row>
    <row r="121" customFormat="false" ht="15" hidden="false" customHeight="true" outlineLevel="0" collapsed="false">
      <c r="A121" s="8" t="s">
        <v>62</v>
      </c>
      <c r="B121" s="30" t="n">
        <f aca="false">SUMIFS(Détail!$E:$E,Détail!$D:$D,"OVH SAS",Détail!$A:$A,"&gt;="&amp;DATE(2026,7,1),Détail!$A:$A,"&lt;"&amp;EDATE(DATE(2026,7,1),1))</f>
        <v>-0.36</v>
      </c>
    </row>
  </sheetData>
  <mergeCells count="11">
    <mergeCell ref="A3:B3"/>
    <mergeCell ref="A14:B14"/>
    <mergeCell ref="A25:B25"/>
    <mergeCell ref="A36:B36"/>
    <mergeCell ref="A47:B47"/>
    <mergeCell ref="A58:B58"/>
    <mergeCell ref="A69:B69"/>
    <mergeCell ref="A80:B80"/>
    <mergeCell ref="A91:B91"/>
    <mergeCell ref="A102:B102"/>
    <mergeCell ref="A113:B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123</v>
      </c>
    </row>
    <row r="3" customFormat="false" ht="15" hidden="false" customHeight="true" outlineLevel="0" collapsed="false">
      <c r="A3" s="28" t="s">
        <v>124</v>
      </c>
      <c r="B3" s="28"/>
      <c r="C3" s="29" t="n">
        <f aca="false">SUMIF(Détail!$D:$D,"EATON TECHNOLOGIES GMBH",Détail!$E:$E)</f>
        <v>-3990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SUMIFS(Détail!$E:$E,Détail!$D:$D,"EATON TECHNOLOGIES GMBH",Détail!$A:$A,"&gt;="&amp;DATE(2026,1,1),Détail!$A:$A,"&lt;"&amp;EDATE(DATE(2026,1,1),1))</f>
        <v>-3990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SUMIFS(Détail!$E:$E,Détail!$D:$D,"EATON TECHNOLOGIES GMBH",Détail!$A:$A,"&gt;="&amp;DATE(2026,2,1),Détail!$A:$A,"&lt;"&amp;EDATE(DATE(2026,2,1),1))</f>
        <v>0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SUMIFS(Détail!$E:$E,Détail!$D:$D,"EATON TECHNOLOGIES GMBH",Détail!$A:$A,"&gt;="&amp;DATE(2026,3,1),Détail!$A:$A,"&lt;"&amp;EDATE(DATE(2026,3,1),1))</f>
        <v>0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SUMIFS(Détail!$E:$E,Détail!$D:$D,"EATON TECHNOLOGIES GMBH",Détail!$A:$A,"&gt;="&amp;DATE(2026,4,1),Détail!$A:$A,"&lt;"&amp;EDATE(DATE(2026,4,1),1))</f>
        <v>0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SUMIFS(Détail!$E:$E,Détail!$D:$D,"EATON TECHNOLOGIES GMBH",Détail!$A:$A,"&gt;="&amp;DATE(2026,5,1),Détail!$A:$A,"&lt;"&amp;EDATE(DATE(2026,5,1),1))</f>
        <v>0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SUMIFS(Détail!$E:$E,Détail!$D:$D,"EATON TECHNOLOGIES GMBH",Détail!$A:$A,"&gt;="&amp;DATE(2026,6,1),Détail!$A:$A,"&lt;"&amp;EDATE(DATE(2026,6,1),1))</f>
        <v>0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SUMIFS(Détail!$E:$E,Détail!$D:$D,"EATON TECHNOLOGIES GMBH",Détail!$A:$A,"&gt;="&amp;DATE(2026,7,1),Détail!$A:$A,"&lt;"&amp;EDATE(DATE(2026,7,1),1))</f>
        <v>0</v>
      </c>
    </row>
    <row r="14" customFormat="false" ht="15" hidden="false" customHeight="true" outlineLevel="0" collapsed="false">
      <c r="A14" s="28" t="s">
        <v>125</v>
      </c>
      <c r="B14" s="28"/>
      <c r="C14" s="29" t="n">
        <f aca="false">SUMIF(Détail!$D:$D,"SUMUP *ULTIME",Détail!$E:$E)</f>
        <v>-2529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SUMIFS(Détail!$E:$E,Détail!$D:$D,"SUMUP *ULTIME",Détail!$A:$A,"&gt;="&amp;DATE(2026,1,1),Détail!$A:$A,"&lt;"&amp;EDATE(DATE(2026,1,1),1))</f>
        <v>0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SUMIFS(Détail!$E:$E,Détail!$D:$D,"SUMUP *ULTIME",Détail!$A:$A,"&gt;="&amp;DATE(2026,2,1),Détail!$A:$A,"&lt;"&amp;EDATE(DATE(2026,2,1),1))</f>
        <v>0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SUMIFS(Détail!$E:$E,Détail!$D:$D,"SUMUP *ULTIME",Détail!$A:$A,"&gt;="&amp;DATE(2026,3,1),Détail!$A:$A,"&lt;"&amp;EDATE(DATE(2026,3,1),1))</f>
        <v>0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SUMIFS(Détail!$E:$E,Détail!$D:$D,"SUMUP *ULTIME",Détail!$A:$A,"&gt;="&amp;DATE(2026,4,1),Détail!$A:$A,"&lt;"&amp;EDATE(DATE(2026,4,1),1))</f>
        <v>0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SUMIFS(Détail!$E:$E,Détail!$D:$D,"SUMUP *ULTIME",Détail!$A:$A,"&gt;="&amp;DATE(2026,5,1),Détail!$A:$A,"&lt;"&amp;EDATE(DATE(2026,5,1),1))</f>
        <v>-2529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SUMIFS(Détail!$E:$E,Détail!$D:$D,"SUMUP *ULTIME",Détail!$A:$A,"&gt;="&amp;DATE(2026,6,1),Détail!$A:$A,"&lt;"&amp;EDATE(DATE(2026,6,1),1))</f>
        <v>0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SUMIFS(Détail!$E:$E,Détail!$D:$D,"SUMUP *ULTIME",Détail!$A:$A,"&gt;="&amp;DATE(2026,7,1),Détail!$A:$A,"&lt;"&amp;EDATE(DATE(2026,7,1),1))</f>
        <v>0</v>
      </c>
    </row>
    <row r="25" customFormat="false" ht="15" hidden="false" customHeight="true" outlineLevel="0" collapsed="false">
      <c r="A25" s="28" t="s">
        <v>126</v>
      </c>
      <c r="B25" s="28"/>
      <c r="C25" s="29" t="n">
        <f aca="false">SUMIF(Détail!$D:$D,"TUV RHEINLAND FRANCE SAS",Détail!$E:$E)</f>
        <v>-1947.77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SUMIFS(Détail!$E:$E,Détail!$D:$D,"TUV RHEINLAND FRANCE SAS",Détail!$A:$A,"&gt;="&amp;DATE(2026,1,1),Détail!$A:$A,"&lt;"&amp;EDATE(DATE(2026,1,1),1))</f>
        <v>-827.87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SUMIFS(Détail!$E:$E,Détail!$D:$D,"TUV RHEINLAND FRANCE SAS",Détail!$A:$A,"&gt;="&amp;DATE(2026,2,1),Détail!$A:$A,"&lt;"&amp;EDATE(DATE(2026,2,1),1))</f>
        <v>-1119.9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SUMIFS(Détail!$E:$E,Détail!$D:$D,"TUV RHEINLAND FRANCE SAS",Détail!$A:$A,"&gt;="&amp;DATE(2026,3,1),Détail!$A:$A,"&lt;"&amp;EDATE(DATE(2026,3,1),1))</f>
        <v>0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SUMIFS(Détail!$E:$E,Détail!$D:$D,"TUV RHEINLAND FRANCE SAS",Détail!$A:$A,"&gt;="&amp;DATE(2026,4,1),Détail!$A:$A,"&lt;"&amp;EDATE(DATE(2026,4,1),1))</f>
        <v>0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SUMIFS(Détail!$E:$E,Détail!$D:$D,"TUV RHEINLAND FRANCE SAS",Détail!$A:$A,"&gt;="&amp;DATE(2026,5,1),Détail!$A:$A,"&lt;"&amp;EDATE(DATE(2026,5,1),1))</f>
        <v>0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SUMIFS(Détail!$E:$E,Détail!$D:$D,"TUV RHEINLAND FRANCE SAS",Détail!$A:$A,"&gt;="&amp;DATE(2026,6,1),Détail!$A:$A,"&lt;"&amp;EDATE(DATE(2026,6,1),1))</f>
        <v>0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SUMIFS(Détail!$E:$E,Détail!$D:$D,"TUV RHEINLAND FRANCE SAS",Détail!$A:$A,"&gt;="&amp;DATE(2026,7,1),Détail!$A:$A,"&lt;"&amp;EDATE(DATE(2026,7,1),1))</f>
        <v>0</v>
      </c>
    </row>
    <row r="36" customFormat="false" ht="15" hidden="false" customHeight="true" outlineLevel="0" collapsed="false">
      <c r="A36" s="28" t="s">
        <v>127</v>
      </c>
      <c r="B36" s="28"/>
      <c r="C36" s="29" t="n">
        <f aca="false">SUMIF(Détail!$D:$D,"GS1 FRANCE",Détail!$E:$E)</f>
        <v>-757.2</v>
      </c>
    </row>
    <row r="37" customFormat="false" ht="15" hidden="false" customHeight="true" outlineLevel="0" collapsed="false">
      <c r="A37" s="23" t="s">
        <v>54</v>
      </c>
      <c r="B37" s="23" t="s">
        <v>55</v>
      </c>
    </row>
    <row r="38" customFormat="false" ht="15" hidden="false" customHeight="true" outlineLevel="0" collapsed="false">
      <c r="A38" s="8" t="s">
        <v>56</v>
      </c>
      <c r="B38" s="30" t="n">
        <f aca="false">SUMIFS(Détail!$E:$E,Détail!$D:$D,"GS1 FRANCE",Détail!$A:$A,"&gt;="&amp;DATE(2026,1,1),Détail!$A:$A,"&lt;"&amp;EDATE(DATE(2026,1,1),1))</f>
        <v>-757.2</v>
      </c>
    </row>
    <row r="39" customFormat="false" ht="15" hidden="false" customHeight="true" outlineLevel="0" collapsed="false">
      <c r="A39" s="8" t="s">
        <v>57</v>
      </c>
      <c r="B39" s="30" t="n">
        <f aca="false">SUMIFS(Détail!$E:$E,Détail!$D:$D,"GS1 FRANCE",Détail!$A:$A,"&gt;="&amp;DATE(2026,2,1),Détail!$A:$A,"&lt;"&amp;EDATE(DATE(2026,2,1),1))</f>
        <v>0</v>
      </c>
    </row>
    <row r="40" customFormat="false" ht="15" hidden="false" customHeight="true" outlineLevel="0" collapsed="false">
      <c r="A40" s="8" t="s">
        <v>58</v>
      </c>
      <c r="B40" s="30" t="n">
        <f aca="false">SUMIFS(Détail!$E:$E,Détail!$D:$D,"GS1 FRANCE",Détail!$A:$A,"&gt;="&amp;DATE(2026,3,1),Détail!$A:$A,"&lt;"&amp;EDATE(DATE(2026,3,1),1))</f>
        <v>0</v>
      </c>
    </row>
    <row r="41" customFormat="false" ht="15" hidden="false" customHeight="true" outlineLevel="0" collapsed="false">
      <c r="A41" s="8" t="s">
        <v>59</v>
      </c>
      <c r="B41" s="30" t="n">
        <f aca="false">SUMIFS(Détail!$E:$E,Détail!$D:$D,"GS1 FRANCE",Détail!$A:$A,"&gt;="&amp;DATE(2026,4,1),Détail!$A:$A,"&lt;"&amp;EDATE(DATE(2026,4,1),1))</f>
        <v>0</v>
      </c>
    </row>
    <row r="42" customFormat="false" ht="15" hidden="false" customHeight="true" outlineLevel="0" collapsed="false">
      <c r="A42" s="8" t="s">
        <v>60</v>
      </c>
      <c r="B42" s="30" t="n">
        <f aca="false">SUMIFS(Détail!$E:$E,Détail!$D:$D,"GS1 FRANCE",Détail!$A:$A,"&gt;="&amp;DATE(2026,5,1),Détail!$A:$A,"&lt;"&amp;EDATE(DATE(2026,5,1),1))</f>
        <v>0</v>
      </c>
    </row>
    <row r="43" customFormat="false" ht="15" hidden="false" customHeight="true" outlineLevel="0" collapsed="false">
      <c r="A43" s="8" t="s">
        <v>61</v>
      </c>
      <c r="B43" s="30" t="n">
        <f aca="false">SUMIFS(Détail!$E:$E,Détail!$D:$D,"GS1 FRANCE",Détail!$A:$A,"&gt;="&amp;DATE(2026,6,1),Détail!$A:$A,"&lt;"&amp;EDATE(DATE(2026,6,1),1))</f>
        <v>0</v>
      </c>
    </row>
    <row r="44" customFormat="false" ht="15" hidden="false" customHeight="true" outlineLevel="0" collapsed="false">
      <c r="A44" s="8" t="s">
        <v>62</v>
      </c>
      <c r="B44" s="30" t="n">
        <f aca="false">SUMIFS(Détail!$E:$E,Détail!$D:$D,"GS1 FRANCE",Détail!$A:$A,"&gt;="&amp;DATE(2026,7,1),Détail!$A:$A,"&lt;"&amp;EDATE(DATE(2026,7,1),1))</f>
        <v>0</v>
      </c>
    </row>
    <row r="47" customFormat="false" ht="15" hidden="false" customHeight="true" outlineLevel="0" collapsed="false">
      <c r="A47" s="28" t="s">
        <v>128</v>
      </c>
      <c r="B47" s="28"/>
      <c r="C47" s="29" t="n">
        <f aca="false">SUMIF(Détail!$D:$D,"CCIP DFCE GEFI",Détail!$E:$E)</f>
        <v>-716</v>
      </c>
    </row>
    <row r="48" customFormat="false" ht="15" hidden="false" customHeight="true" outlineLevel="0" collapsed="false">
      <c r="A48" s="23" t="s">
        <v>54</v>
      </c>
      <c r="B48" s="23" t="s">
        <v>55</v>
      </c>
    </row>
    <row r="49" customFormat="false" ht="15" hidden="false" customHeight="true" outlineLevel="0" collapsed="false">
      <c r="A49" s="8" t="s">
        <v>56</v>
      </c>
      <c r="B49" s="30" t="n">
        <f aca="false">SUMIFS(Détail!$E:$E,Détail!$D:$D,"CCIP DFCE GEFI",Détail!$A:$A,"&gt;="&amp;DATE(2026,1,1),Détail!$A:$A,"&lt;"&amp;EDATE(DATE(2026,1,1),1))</f>
        <v>-99</v>
      </c>
    </row>
    <row r="50" customFormat="false" ht="15" hidden="false" customHeight="true" outlineLevel="0" collapsed="false">
      <c r="A50" s="8" t="s">
        <v>57</v>
      </c>
      <c r="B50" s="30" t="n">
        <f aca="false">SUMIFS(Détail!$E:$E,Détail!$D:$D,"CCIP DFCE GEFI",Détail!$A:$A,"&gt;="&amp;DATE(2026,2,1),Détail!$A:$A,"&lt;"&amp;EDATE(DATE(2026,2,1),1))</f>
        <v>-86</v>
      </c>
    </row>
    <row r="51" customFormat="false" ht="15" hidden="false" customHeight="true" outlineLevel="0" collapsed="false">
      <c r="A51" s="8" t="s">
        <v>58</v>
      </c>
      <c r="B51" s="30" t="n">
        <f aca="false">SUMIFS(Détail!$E:$E,Détail!$D:$D,"CCIP DFCE GEFI",Détail!$A:$A,"&gt;="&amp;DATE(2026,3,1),Détail!$A:$A,"&lt;"&amp;EDATE(DATE(2026,3,1),1))</f>
        <v>-234</v>
      </c>
    </row>
    <row r="52" customFormat="false" ht="15" hidden="false" customHeight="true" outlineLevel="0" collapsed="false">
      <c r="A52" s="8" t="s">
        <v>59</v>
      </c>
      <c r="B52" s="30" t="n">
        <f aca="false">SUMIFS(Détail!$E:$E,Détail!$D:$D,"CCIP DFCE GEFI",Détail!$A:$A,"&gt;="&amp;DATE(2026,4,1),Détail!$A:$A,"&lt;"&amp;EDATE(DATE(2026,4,1),1))</f>
        <v>-84</v>
      </c>
    </row>
    <row r="53" customFormat="false" ht="15" hidden="false" customHeight="true" outlineLevel="0" collapsed="false">
      <c r="A53" s="8" t="s">
        <v>60</v>
      </c>
      <c r="B53" s="30" t="n">
        <f aca="false">SUMIFS(Détail!$E:$E,Détail!$D:$D,"CCIP DFCE GEFI",Détail!$A:$A,"&gt;="&amp;DATE(2026,5,1),Détail!$A:$A,"&lt;"&amp;EDATE(DATE(2026,5,1),1))</f>
        <v>-114</v>
      </c>
    </row>
    <row r="54" customFormat="false" ht="15" hidden="false" customHeight="true" outlineLevel="0" collapsed="false">
      <c r="A54" s="8" t="s">
        <v>61</v>
      </c>
      <c r="B54" s="30" t="n">
        <f aca="false">SUMIFS(Détail!$E:$E,Détail!$D:$D,"CCIP DFCE GEFI",Détail!$A:$A,"&gt;="&amp;DATE(2026,6,1),Détail!$A:$A,"&lt;"&amp;EDATE(DATE(2026,6,1),1))</f>
        <v>-71</v>
      </c>
    </row>
    <row r="55" customFormat="false" ht="15" hidden="false" customHeight="true" outlineLevel="0" collapsed="false">
      <c r="A55" s="8" t="s">
        <v>62</v>
      </c>
      <c r="B55" s="30" t="n">
        <f aca="false">SUMIFS(Détail!$E:$E,Détail!$D:$D,"CCIP DFCE GEFI",Détail!$A:$A,"&gt;="&amp;DATE(2026,7,1),Détail!$A:$A,"&lt;"&amp;EDATE(DATE(2026,7,1),1))</f>
        <v>-28</v>
      </c>
    </row>
    <row r="58" customFormat="false" ht="15" hidden="false" customHeight="true" outlineLevel="0" collapsed="false">
      <c r="A58" s="28" t="s">
        <v>129</v>
      </c>
      <c r="B58" s="28"/>
      <c r="C58" s="29" t="n">
        <f aca="false">SUMIF(Détail!$D:$D,"PLOMBIER",Détail!$E:$E)</f>
        <v>-415</v>
      </c>
    </row>
    <row r="59" customFormat="false" ht="15" hidden="false" customHeight="true" outlineLevel="0" collapsed="false">
      <c r="A59" s="23" t="s">
        <v>54</v>
      </c>
      <c r="B59" s="23" t="s">
        <v>55</v>
      </c>
    </row>
    <row r="60" customFormat="false" ht="15" hidden="false" customHeight="true" outlineLevel="0" collapsed="false">
      <c r="A60" s="8" t="s">
        <v>56</v>
      </c>
      <c r="B60" s="30" t="n">
        <f aca="false">SUMIFS(Détail!$E:$E,Détail!$D:$D,"PLOMBIER",Détail!$A:$A,"&gt;="&amp;DATE(2026,1,1),Détail!$A:$A,"&lt;"&amp;EDATE(DATE(2026,1,1),1))</f>
        <v>0</v>
      </c>
    </row>
    <row r="61" customFormat="false" ht="15" hidden="false" customHeight="true" outlineLevel="0" collapsed="false">
      <c r="A61" s="8" t="s">
        <v>57</v>
      </c>
      <c r="B61" s="30" t="n">
        <f aca="false">SUMIFS(Détail!$E:$E,Détail!$D:$D,"PLOMBIER",Détail!$A:$A,"&gt;="&amp;DATE(2026,2,1),Détail!$A:$A,"&lt;"&amp;EDATE(DATE(2026,2,1),1))</f>
        <v>-415</v>
      </c>
    </row>
    <row r="62" customFormat="false" ht="15" hidden="false" customHeight="true" outlineLevel="0" collapsed="false">
      <c r="A62" s="8" t="s">
        <v>58</v>
      </c>
      <c r="B62" s="30" t="n">
        <f aca="false">SUMIFS(Détail!$E:$E,Détail!$D:$D,"PLOMBIER",Détail!$A:$A,"&gt;="&amp;DATE(2026,3,1),Détail!$A:$A,"&lt;"&amp;EDATE(DATE(2026,3,1),1))</f>
        <v>0</v>
      </c>
    </row>
    <row r="63" customFormat="false" ht="15" hidden="false" customHeight="true" outlineLevel="0" collapsed="false">
      <c r="A63" s="8" t="s">
        <v>59</v>
      </c>
      <c r="B63" s="30" t="n">
        <f aca="false">SUMIFS(Détail!$E:$E,Détail!$D:$D,"PLOMBIER",Détail!$A:$A,"&gt;="&amp;DATE(2026,4,1),Détail!$A:$A,"&lt;"&amp;EDATE(DATE(2026,4,1),1))</f>
        <v>0</v>
      </c>
    </row>
    <row r="64" customFormat="false" ht="15" hidden="false" customHeight="true" outlineLevel="0" collapsed="false">
      <c r="A64" s="8" t="s">
        <v>60</v>
      </c>
      <c r="B64" s="30" t="n">
        <f aca="false">SUMIFS(Détail!$E:$E,Détail!$D:$D,"PLOMBIER",Détail!$A:$A,"&gt;="&amp;DATE(2026,5,1),Détail!$A:$A,"&lt;"&amp;EDATE(DATE(2026,5,1),1))</f>
        <v>0</v>
      </c>
    </row>
    <row r="65" customFormat="false" ht="15" hidden="false" customHeight="true" outlineLevel="0" collapsed="false">
      <c r="A65" s="8" t="s">
        <v>61</v>
      </c>
      <c r="B65" s="30" t="n">
        <f aca="false">SUMIFS(Détail!$E:$E,Détail!$D:$D,"PLOMBIER",Détail!$A:$A,"&gt;="&amp;DATE(2026,6,1),Détail!$A:$A,"&lt;"&amp;EDATE(DATE(2026,6,1),1))</f>
        <v>0</v>
      </c>
    </row>
    <row r="66" customFormat="false" ht="15" hidden="false" customHeight="true" outlineLevel="0" collapsed="false">
      <c r="A66" s="8" t="s">
        <v>62</v>
      </c>
      <c r="B66" s="30" t="n">
        <f aca="false">SUMIFS(Détail!$E:$E,Détail!$D:$D,"PLOMBIER",Détail!$A:$A,"&gt;="&amp;DATE(2026,7,1),Détail!$A:$A,"&lt;"&amp;EDATE(DATE(2026,7,1),1))</f>
        <v>0</v>
      </c>
    </row>
    <row r="69" customFormat="false" ht="15" hidden="false" customHeight="true" outlineLevel="0" collapsed="false">
      <c r="A69" s="28" t="s">
        <v>130</v>
      </c>
      <c r="B69" s="28"/>
      <c r="C69" s="29" t="n">
        <f aca="false">SUMIF(Détail!$D:$D,"SOGESCO SAS",Détail!$E:$E)</f>
        <v>-313.6</v>
      </c>
    </row>
    <row r="70" customFormat="false" ht="15" hidden="false" customHeight="true" outlineLevel="0" collapsed="false">
      <c r="A70" s="23" t="s">
        <v>54</v>
      </c>
      <c r="B70" s="23" t="s">
        <v>55</v>
      </c>
    </row>
    <row r="71" customFormat="false" ht="15" hidden="false" customHeight="true" outlineLevel="0" collapsed="false">
      <c r="A71" s="8" t="s">
        <v>56</v>
      </c>
      <c r="B71" s="30" t="n">
        <f aca="false">SUMIFS(Détail!$E:$E,Détail!$D:$D,"SOGESCO SAS",Détail!$A:$A,"&gt;="&amp;DATE(2026,1,1),Détail!$A:$A,"&lt;"&amp;EDATE(DATE(2026,1,1),1))</f>
        <v>0</v>
      </c>
    </row>
    <row r="72" customFormat="false" ht="15" hidden="false" customHeight="true" outlineLevel="0" collapsed="false">
      <c r="A72" s="8" t="s">
        <v>57</v>
      </c>
      <c r="B72" s="30" t="n">
        <f aca="false">SUMIFS(Détail!$E:$E,Détail!$D:$D,"SOGESCO SAS",Détail!$A:$A,"&gt;="&amp;DATE(2026,2,1),Détail!$A:$A,"&lt;"&amp;EDATE(DATE(2026,2,1),1))</f>
        <v>-197.6</v>
      </c>
    </row>
    <row r="73" customFormat="false" ht="15" hidden="false" customHeight="true" outlineLevel="0" collapsed="false">
      <c r="A73" s="8" t="s">
        <v>58</v>
      </c>
      <c r="B73" s="30" t="n">
        <f aca="false">SUMIFS(Détail!$E:$E,Détail!$D:$D,"SOGESCO SAS",Détail!$A:$A,"&gt;="&amp;DATE(2026,3,1),Détail!$A:$A,"&lt;"&amp;EDATE(DATE(2026,3,1),1))</f>
        <v>0</v>
      </c>
    </row>
    <row r="74" customFormat="false" ht="15" hidden="false" customHeight="true" outlineLevel="0" collapsed="false">
      <c r="A74" s="8" t="s">
        <v>59</v>
      </c>
      <c r="B74" s="30" t="n">
        <f aca="false">SUMIFS(Détail!$E:$E,Détail!$D:$D,"SOGESCO SAS",Détail!$A:$A,"&gt;="&amp;DATE(2026,4,1),Détail!$A:$A,"&lt;"&amp;EDATE(DATE(2026,4,1),1))</f>
        <v>0</v>
      </c>
    </row>
    <row r="75" customFormat="false" ht="15" hidden="false" customHeight="true" outlineLevel="0" collapsed="false">
      <c r="A75" s="8" t="s">
        <v>60</v>
      </c>
      <c r="B75" s="30" t="n">
        <f aca="false">SUMIFS(Détail!$E:$E,Détail!$D:$D,"SOGESCO SAS",Détail!$A:$A,"&gt;="&amp;DATE(2026,5,1),Détail!$A:$A,"&lt;"&amp;EDATE(DATE(2026,5,1),1))</f>
        <v>-116</v>
      </c>
    </row>
    <row r="76" customFormat="false" ht="15" hidden="false" customHeight="true" outlineLevel="0" collapsed="false">
      <c r="A76" s="8" t="s">
        <v>61</v>
      </c>
      <c r="B76" s="30" t="n">
        <f aca="false">SUMIFS(Détail!$E:$E,Détail!$D:$D,"SOGESCO SAS",Détail!$A:$A,"&gt;="&amp;DATE(2026,6,1),Détail!$A:$A,"&lt;"&amp;EDATE(DATE(2026,6,1),1))</f>
        <v>0</v>
      </c>
    </row>
    <row r="77" customFormat="false" ht="15" hidden="false" customHeight="true" outlineLevel="0" collapsed="false">
      <c r="A77" s="8" t="s">
        <v>62</v>
      </c>
      <c r="B77" s="30" t="n">
        <f aca="false">SUMIFS(Détail!$E:$E,Détail!$D:$D,"SOGESCO SAS",Détail!$A:$A,"&gt;="&amp;DATE(2026,7,1),Détail!$A:$A,"&lt;"&amp;EDATE(DATE(2026,7,1),1))</f>
        <v>0</v>
      </c>
    </row>
    <row r="80" customFormat="false" ht="15" hidden="false" customHeight="true" outlineLevel="0" collapsed="false">
      <c r="A80" s="28" t="s">
        <v>131</v>
      </c>
      <c r="B80" s="28"/>
      <c r="C80" s="29" t="n">
        <f aca="false">SUMIF(Détail!$D:$D,"ASSISTANCE DEMARCHES",Détail!$E:$E)</f>
        <v>-281.6</v>
      </c>
    </row>
    <row r="81" customFormat="false" ht="15" hidden="false" customHeight="true" outlineLevel="0" collapsed="false">
      <c r="A81" s="23" t="s">
        <v>54</v>
      </c>
      <c r="B81" s="23" t="s">
        <v>55</v>
      </c>
    </row>
    <row r="82" customFormat="false" ht="15" hidden="false" customHeight="true" outlineLevel="0" collapsed="false">
      <c r="A82" s="8" t="s">
        <v>56</v>
      </c>
      <c r="B82" s="30" t="n">
        <f aca="false">SUMIFS(Détail!$E:$E,Détail!$D:$D,"ASSISTANCE DEMARCHES",Détail!$A:$A,"&gt;="&amp;DATE(2026,1,1),Détail!$A:$A,"&lt;"&amp;EDATE(DATE(2026,1,1),1))</f>
        <v>0</v>
      </c>
    </row>
    <row r="83" customFormat="false" ht="15" hidden="false" customHeight="true" outlineLevel="0" collapsed="false">
      <c r="A83" s="8" t="s">
        <v>57</v>
      </c>
      <c r="B83" s="30" t="n">
        <f aca="false">SUMIFS(Détail!$E:$E,Détail!$D:$D,"ASSISTANCE DEMARCHES",Détail!$A:$A,"&gt;="&amp;DATE(2026,2,1),Détail!$A:$A,"&lt;"&amp;EDATE(DATE(2026,2,1),1))</f>
        <v>0</v>
      </c>
    </row>
    <row r="84" customFormat="false" ht="15" hidden="false" customHeight="true" outlineLevel="0" collapsed="false">
      <c r="A84" s="8" t="s">
        <v>58</v>
      </c>
      <c r="B84" s="30" t="n">
        <f aca="false">SUMIFS(Détail!$E:$E,Détail!$D:$D,"ASSISTANCE DEMARCHES",Détail!$A:$A,"&gt;="&amp;DATE(2026,3,1),Détail!$A:$A,"&lt;"&amp;EDATE(DATE(2026,3,1),1))</f>
        <v>0</v>
      </c>
    </row>
    <row r="85" customFormat="false" ht="15" hidden="false" customHeight="true" outlineLevel="0" collapsed="false">
      <c r="A85" s="8" t="s">
        <v>59</v>
      </c>
      <c r="B85" s="30" t="n">
        <f aca="false">SUMIFS(Détail!$E:$E,Détail!$D:$D,"ASSISTANCE DEMARCHES",Détail!$A:$A,"&gt;="&amp;DATE(2026,4,1),Détail!$A:$A,"&lt;"&amp;EDATE(DATE(2026,4,1),1))</f>
        <v>0</v>
      </c>
    </row>
    <row r="86" customFormat="false" ht="15" hidden="false" customHeight="true" outlineLevel="0" collapsed="false">
      <c r="A86" s="8" t="s">
        <v>60</v>
      </c>
      <c r="B86" s="30" t="n">
        <f aca="false">SUMIFS(Détail!$E:$E,Détail!$D:$D,"ASSISTANCE DEMARCHES",Détail!$A:$A,"&gt;="&amp;DATE(2026,5,1),Détail!$A:$A,"&lt;"&amp;EDATE(DATE(2026,5,1),1))</f>
        <v>0</v>
      </c>
    </row>
    <row r="87" customFormat="false" ht="15" hidden="false" customHeight="true" outlineLevel="0" collapsed="false">
      <c r="A87" s="8" t="s">
        <v>61</v>
      </c>
      <c r="B87" s="30" t="n">
        <f aca="false">SUMIFS(Détail!$E:$E,Détail!$D:$D,"ASSISTANCE DEMARCHES",Détail!$A:$A,"&gt;="&amp;DATE(2026,6,1),Détail!$A:$A,"&lt;"&amp;EDATE(DATE(2026,6,1),1))</f>
        <v>-281.6</v>
      </c>
    </row>
    <row r="88" customFormat="false" ht="15" hidden="false" customHeight="true" outlineLevel="0" collapsed="false">
      <c r="A88" s="8" t="s">
        <v>62</v>
      </c>
      <c r="B88" s="30" t="n">
        <f aca="false">SUMIFS(Détail!$E:$E,Détail!$D:$D,"ASSISTANCE DEMARCHES",Détail!$A:$A,"&gt;="&amp;DATE(2026,7,1),Détail!$A:$A,"&lt;"&amp;EDATE(DATE(2026,7,1),1))</f>
        <v>0</v>
      </c>
    </row>
    <row r="91" customFormat="false" ht="15" hidden="false" customHeight="true" outlineLevel="0" collapsed="false">
      <c r="A91" s="28" t="s">
        <v>132</v>
      </c>
      <c r="B91" s="28"/>
      <c r="C91" s="29" t="n">
        <f aca="false">SUMIF(Détail!$D:$D,"AMIVAL",Détail!$E:$E)</f>
        <v>-252</v>
      </c>
    </row>
    <row r="92" customFormat="false" ht="15" hidden="false" customHeight="true" outlineLevel="0" collapsed="false">
      <c r="A92" s="23" t="s">
        <v>54</v>
      </c>
      <c r="B92" s="23" t="s">
        <v>55</v>
      </c>
    </row>
    <row r="93" customFormat="false" ht="15" hidden="false" customHeight="true" outlineLevel="0" collapsed="false">
      <c r="A93" s="8" t="s">
        <v>56</v>
      </c>
      <c r="B93" s="30" t="n">
        <f aca="false">SUMIFS(Détail!$E:$E,Détail!$D:$D,"AMIVAL",Détail!$A:$A,"&gt;="&amp;DATE(2026,1,1),Détail!$A:$A,"&lt;"&amp;EDATE(DATE(2026,1,1),1))</f>
        <v>0</v>
      </c>
    </row>
    <row r="94" customFormat="false" ht="15" hidden="false" customHeight="true" outlineLevel="0" collapsed="false">
      <c r="A94" s="8" t="s">
        <v>57</v>
      </c>
      <c r="B94" s="30" t="n">
        <f aca="false">SUMIFS(Détail!$E:$E,Détail!$D:$D,"AMIVAL",Détail!$A:$A,"&gt;="&amp;DATE(2026,2,1),Détail!$A:$A,"&lt;"&amp;EDATE(DATE(2026,2,1),1))</f>
        <v>0</v>
      </c>
    </row>
    <row r="95" customFormat="false" ht="15" hidden="false" customHeight="true" outlineLevel="0" collapsed="false">
      <c r="A95" s="8" t="s">
        <v>58</v>
      </c>
      <c r="B95" s="30" t="n">
        <f aca="false">SUMIFS(Détail!$E:$E,Détail!$D:$D,"AMIVAL",Détail!$A:$A,"&gt;="&amp;DATE(2026,3,1),Détail!$A:$A,"&lt;"&amp;EDATE(DATE(2026,3,1),1))</f>
        <v>0</v>
      </c>
    </row>
    <row r="96" customFormat="false" ht="15" hidden="false" customHeight="true" outlineLevel="0" collapsed="false">
      <c r="A96" s="8" t="s">
        <v>59</v>
      </c>
      <c r="B96" s="30" t="n">
        <f aca="false">SUMIFS(Détail!$E:$E,Détail!$D:$D,"AMIVAL",Détail!$A:$A,"&gt;="&amp;DATE(2026,4,1),Détail!$A:$A,"&lt;"&amp;EDATE(DATE(2026,4,1),1))</f>
        <v>-252</v>
      </c>
    </row>
    <row r="97" customFormat="false" ht="15" hidden="false" customHeight="true" outlineLevel="0" collapsed="false">
      <c r="A97" s="8" t="s">
        <v>60</v>
      </c>
      <c r="B97" s="30" t="n">
        <f aca="false">SUMIFS(Détail!$E:$E,Détail!$D:$D,"AMIVAL",Détail!$A:$A,"&gt;="&amp;DATE(2026,5,1),Détail!$A:$A,"&lt;"&amp;EDATE(DATE(2026,5,1),1))</f>
        <v>0</v>
      </c>
    </row>
    <row r="98" customFormat="false" ht="15" hidden="false" customHeight="true" outlineLevel="0" collapsed="false">
      <c r="A98" s="8" t="s">
        <v>61</v>
      </c>
      <c r="B98" s="30" t="n">
        <f aca="false">SUMIFS(Détail!$E:$E,Détail!$D:$D,"AMIVAL",Détail!$A:$A,"&gt;="&amp;DATE(2026,6,1),Détail!$A:$A,"&lt;"&amp;EDATE(DATE(2026,6,1),1))</f>
        <v>0</v>
      </c>
    </row>
    <row r="99" customFormat="false" ht="15" hidden="false" customHeight="true" outlineLevel="0" collapsed="false">
      <c r="A99" s="8" t="s">
        <v>62</v>
      </c>
      <c r="B99" s="30" t="n">
        <f aca="false">SUMIFS(Détail!$E:$E,Détail!$D:$D,"AMIVAL",Détail!$A:$A,"&gt;="&amp;DATE(2026,7,1),Détail!$A:$A,"&lt;"&amp;EDATE(DATE(2026,7,1),1))</f>
        <v>0</v>
      </c>
    </row>
    <row r="102" customFormat="false" ht="15" hidden="false" customHeight="true" outlineLevel="0" collapsed="false">
      <c r="A102" s="28" t="s">
        <v>133</v>
      </c>
      <c r="B102" s="28"/>
      <c r="C102" s="29" t="n">
        <f aca="false">SUMIF(Détail!$D:$D,"BRUNEAU",Détail!$E:$E)</f>
        <v>-245.86</v>
      </c>
    </row>
    <row r="103" customFormat="false" ht="15" hidden="false" customHeight="true" outlineLevel="0" collapsed="false">
      <c r="A103" s="23" t="s">
        <v>54</v>
      </c>
      <c r="B103" s="23" t="s">
        <v>55</v>
      </c>
    </row>
    <row r="104" customFormat="false" ht="15" hidden="false" customHeight="true" outlineLevel="0" collapsed="false">
      <c r="A104" s="8" t="s">
        <v>56</v>
      </c>
      <c r="B104" s="30" t="n">
        <f aca="false">SUMIFS(Détail!$E:$E,Détail!$D:$D,"BRUNEAU",Détail!$A:$A,"&gt;="&amp;DATE(2026,1,1),Détail!$A:$A,"&lt;"&amp;EDATE(DATE(2026,1,1),1))</f>
        <v>-245.86</v>
      </c>
    </row>
    <row r="105" customFormat="false" ht="15" hidden="false" customHeight="true" outlineLevel="0" collapsed="false">
      <c r="A105" s="8" t="s">
        <v>57</v>
      </c>
      <c r="B105" s="30" t="n">
        <f aca="false">SUMIFS(Détail!$E:$E,Détail!$D:$D,"BRUNEAU",Détail!$A:$A,"&gt;="&amp;DATE(2026,2,1),Détail!$A:$A,"&lt;"&amp;EDATE(DATE(2026,2,1),1))</f>
        <v>0</v>
      </c>
    </row>
    <row r="106" customFormat="false" ht="15" hidden="false" customHeight="true" outlineLevel="0" collapsed="false">
      <c r="A106" s="8" t="s">
        <v>58</v>
      </c>
      <c r="B106" s="30" t="n">
        <f aca="false">SUMIFS(Détail!$E:$E,Détail!$D:$D,"BRUNEAU",Détail!$A:$A,"&gt;="&amp;DATE(2026,3,1),Détail!$A:$A,"&lt;"&amp;EDATE(DATE(2026,3,1),1))</f>
        <v>0</v>
      </c>
    </row>
    <row r="107" customFormat="false" ht="15" hidden="false" customHeight="true" outlineLevel="0" collapsed="false">
      <c r="A107" s="8" t="s">
        <v>59</v>
      </c>
      <c r="B107" s="30" t="n">
        <f aca="false">SUMIFS(Détail!$E:$E,Détail!$D:$D,"BRUNEAU",Détail!$A:$A,"&gt;="&amp;DATE(2026,4,1),Détail!$A:$A,"&lt;"&amp;EDATE(DATE(2026,4,1),1))</f>
        <v>0</v>
      </c>
    </row>
    <row r="108" customFormat="false" ht="15" hidden="false" customHeight="true" outlineLevel="0" collapsed="false">
      <c r="A108" s="8" t="s">
        <v>60</v>
      </c>
      <c r="B108" s="30" t="n">
        <f aca="false">SUMIFS(Détail!$E:$E,Détail!$D:$D,"BRUNEAU",Détail!$A:$A,"&gt;="&amp;DATE(2026,5,1),Détail!$A:$A,"&lt;"&amp;EDATE(DATE(2026,5,1),1))</f>
        <v>0</v>
      </c>
    </row>
    <row r="109" customFormat="false" ht="15" hidden="false" customHeight="true" outlineLevel="0" collapsed="false">
      <c r="A109" s="8" t="s">
        <v>61</v>
      </c>
      <c r="B109" s="30" t="n">
        <f aca="false">SUMIFS(Détail!$E:$E,Détail!$D:$D,"BRUNEAU",Détail!$A:$A,"&gt;="&amp;DATE(2026,6,1),Détail!$A:$A,"&lt;"&amp;EDATE(DATE(2026,6,1),1))</f>
        <v>0</v>
      </c>
    </row>
    <row r="110" customFormat="false" ht="15" hidden="false" customHeight="true" outlineLevel="0" collapsed="false">
      <c r="A110" s="8" t="s">
        <v>62</v>
      </c>
      <c r="B110" s="30" t="n">
        <f aca="false">SUMIFS(Détail!$E:$E,Détail!$D:$D,"BRUNEAU",Détail!$A:$A,"&gt;="&amp;DATE(2026,7,1),Détail!$A:$A,"&lt;"&amp;EDATE(DATE(2026,7,1),1))</f>
        <v>0</v>
      </c>
    </row>
    <row r="113" customFormat="false" ht="15" hidden="false" customHeight="true" outlineLevel="0" collapsed="false">
      <c r="A113" s="28" t="s">
        <v>134</v>
      </c>
      <c r="B113" s="28"/>
      <c r="C113" s="29" t="n">
        <f aca="false">SUMIF(Détail!$D:$D,"SUMUP *TNS DEP",Détail!$E:$E)</f>
        <v>-245</v>
      </c>
    </row>
    <row r="114" customFormat="false" ht="15" hidden="false" customHeight="true" outlineLevel="0" collapsed="false">
      <c r="A114" s="23" t="s">
        <v>54</v>
      </c>
      <c r="B114" s="23" t="s">
        <v>55</v>
      </c>
    </row>
    <row r="115" customFormat="false" ht="15" hidden="false" customHeight="true" outlineLevel="0" collapsed="false">
      <c r="A115" s="8" t="s">
        <v>56</v>
      </c>
      <c r="B115" s="30" t="n">
        <f aca="false">SUMIFS(Détail!$E:$E,Détail!$D:$D,"SUMUP *TNS DEP",Détail!$A:$A,"&gt;="&amp;DATE(2026,1,1),Détail!$A:$A,"&lt;"&amp;EDATE(DATE(2026,1,1),1))</f>
        <v>0</v>
      </c>
    </row>
    <row r="116" customFormat="false" ht="15" hidden="false" customHeight="true" outlineLevel="0" collapsed="false">
      <c r="A116" s="8" t="s">
        <v>57</v>
      </c>
      <c r="B116" s="30" t="n">
        <f aca="false">SUMIFS(Détail!$E:$E,Détail!$D:$D,"SUMUP *TNS DEP",Détail!$A:$A,"&gt;="&amp;DATE(2026,2,1),Détail!$A:$A,"&lt;"&amp;EDATE(DATE(2026,2,1),1))</f>
        <v>0</v>
      </c>
    </row>
    <row r="117" customFormat="false" ht="15" hidden="false" customHeight="true" outlineLevel="0" collapsed="false">
      <c r="A117" s="8" t="s">
        <v>58</v>
      </c>
      <c r="B117" s="30" t="n">
        <f aca="false">SUMIFS(Détail!$E:$E,Détail!$D:$D,"SUMUP *TNS DEP",Détail!$A:$A,"&gt;="&amp;DATE(2026,3,1),Détail!$A:$A,"&lt;"&amp;EDATE(DATE(2026,3,1),1))</f>
        <v>-135</v>
      </c>
    </row>
    <row r="118" customFormat="false" ht="15" hidden="false" customHeight="true" outlineLevel="0" collapsed="false">
      <c r="A118" s="8" t="s">
        <v>59</v>
      </c>
      <c r="B118" s="30" t="n">
        <f aca="false">SUMIFS(Détail!$E:$E,Détail!$D:$D,"SUMUP *TNS DEP",Détail!$A:$A,"&gt;="&amp;DATE(2026,4,1),Détail!$A:$A,"&lt;"&amp;EDATE(DATE(2026,4,1),1))</f>
        <v>-110</v>
      </c>
    </row>
    <row r="119" customFormat="false" ht="15" hidden="false" customHeight="true" outlineLevel="0" collapsed="false">
      <c r="A119" s="8" t="s">
        <v>60</v>
      </c>
      <c r="B119" s="30" t="n">
        <f aca="false">SUMIFS(Détail!$E:$E,Détail!$D:$D,"SUMUP *TNS DEP",Détail!$A:$A,"&gt;="&amp;DATE(2026,5,1),Détail!$A:$A,"&lt;"&amp;EDATE(DATE(2026,5,1),1))</f>
        <v>0</v>
      </c>
    </row>
    <row r="120" customFormat="false" ht="15" hidden="false" customHeight="true" outlineLevel="0" collapsed="false">
      <c r="A120" s="8" t="s">
        <v>61</v>
      </c>
      <c r="B120" s="30" t="n">
        <f aca="false">SUMIFS(Détail!$E:$E,Détail!$D:$D,"SUMUP *TNS DEP",Détail!$A:$A,"&gt;="&amp;DATE(2026,6,1),Détail!$A:$A,"&lt;"&amp;EDATE(DATE(2026,6,1),1))</f>
        <v>0</v>
      </c>
    </row>
    <row r="121" customFormat="false" ht="15" hidden="false" customHeight="true" outlineLevel="0" collapsed="false">
      <c r="A121" s="8" t="s">
        <v>62</v>
      </c>
      <c r="B121" s="30" t="n">
        <f aca="false">SUMIFS(Détail!$E:$E,Détail!$D:$D,"SUMUP *TNS DEP",Détail!$A:$A,"&gt;="&amp;DATE(2026,7,1),Détail!$A:$A,"&lt;"&amp;EDATE(DATE(2026,7,1),1))</f>
        <v>0</v>
      </c>
    </row>
    <row r="124" customFormat="false" ht="15" hidden="false" customHeight="true" outlineLevel="0" collapsed="false">
      <c r="A124" s="28" t="s">
        <v>135</v>
      </c>
      <c r="B124" s="28"/>
      <c r="C124" s="29" t="n">
        <f aca="false">SUMIF(Détail!$D:$D,"IZI CONFORT",Détail!$E:$E)</f>
        <v>-222.64</v>
      </c>
    </row>
    <row r="125" customFormat="false" ht="15" hidden="false" customHeight="true" outlineLevel="0" collapsed="false">
      <c r="A125" s="23" t="s">
        <v>54</v>
      </c>
      <c r="B125" s="23" t="s">
        <v>55</v>
      </c>
    </row>
    <row r="126" customFormat="false" ht="15" hidden="false" customHeight="true" outlineLevel="0" collapsed="false">
      <c r="A126" s="8" t="s">
        <v>56</v>
      </c>
      <c r="B126" s="30" t="n">
        <f aca="false">SUMIFS(Détail!$E:$E,Détail!$D:$D,"IZI CONFORT",Détail!$A:$A,"&gt;="&amp;DATE(2026,1,1),Détail!$A:$A,"&lt;"&amp;EDATE(DATE(2026,1,1),1))</f>
        <v>0</v>
      </c>
    </row>
    <row r="127" customFormat="false" ht="15" hidden="false" customHeight="true" outlineLevel="0" collapsed="false">
      <c r="A127" s="8" t="s">
        <v>57</v>
      </c>
      <c r="B127" s="30" t="n">
        <f aca="false">SUMIFS(Détail!$E:$E,Détail!$D:$D,"IZI CONFORT",Détail!$A:$A,"&gt;="&amp;DATE(2026,2,1),Détail!$A:$A,"&lt;"&amp;EDATE(DATE(2026,2,1),1))</f>
        <v>0</v>
      </c>
    </row>
    <row r="128" customFormat="false" ht="15" hidden="false" customHeight="true" outlineLevel="0" collapsed="false">
      <c r="A128" s="8" t="s">
        <v>58</v>
      </c>
      <c r="B128" s="30" t="n">
        <f aca="false">SUMIFS(Détail!$E:$E,Détail!$D:$D,"IZI CONFORT",Détail!$A:$A,"&gt;="&amp;DATE(2026,3,1),Détail!$A:$A,"&lt;"&amp;EDATE(DATE(2026,3,1),1))</f>
        <v>0</v>
      </c>
    </row>
    <row r="129" customFormat="false" ht="15" hidden="false" customHeight="true" outlineLevel="0" collapsed="false">
      <c r="A129" s="8" t="s">
        <v>59</v>
      </c>
      <c r="B129" s="30" t="n">
        <f aca="false">SUMIFS(Détail!$E:$E,Détail!$D:$D,"IZI CONFORT",Détail!$A:$A,"&gt;="&amp;DATE(2026,4,1),Détail!$A:$A,"&lt;"&amp;EDATE(DATE(2026,4,1),1))</f>
        <v>-222.64</v>
      </c>
    </row>
    <row r="130" customFormat="false" ht="15" hidden="false" customHeight="true" outlineLevel="0" collapsed="false">
      <c r="A130" s="8" t="s">
        <v>60</v>
      </c>
      <c r="B130" s="30" t="n">
        <f aca="false">SUMIFS(Détail!$E:$E,Détail!$D:$D,"IZI CONFORT",Détail!$A:$A,"&gt;="&amp;DATE(2026,5,1),Détail!$A:$A,"&lt;"&amp;EDATE(DATE(2026,5,1),1))</f>
        <v>0</v>
      </c>
    </row>
    <row r="131" customFormat="false" ht="15" hidden="false" customHeight="true" outlineLevel="0" collapsed="false">
      <c r="A131" s="8" t="s">
        <v>61</v>
      </c>
      <c r="B131" s="30" t="n">
        <f aca="false">SUMIFS(Détail!$E:$E,Détail!$D:$D,"IZI CONFORT",Détail!$A:$A,"&gt;="&amp;DATE(2026,6,1),Détail!$A:$A,"&lt;"&amp;EDATE(DATE(2026,6,1),1))</f>
        <v>0</v>
      </c>
    </row>
    <row r="132" customFormat="false" ht="15" hidden="false" customHeight="true" outlineLevel="0" collapsed="false">
      <c r="A132" s="8" t="s">
        <v>62</v>
      </c>
      <c r="B132" s="30" t="n">
        <f aca="false">SUMIFS(Détail!$E:$E,Détail!$D:$D,"IZI CONFORT",Détail!$A:$A,"&gt;="&amp;DATE(2026,7,1),Détail!$A:$A,"&lt;"&amp;EDATE(DATE(2026,7,1),1))</f>
        <v>0</v>
      </c>
    </row>
    <row r="135" customFormat="false" ht="15" hidden="false" customHeight="true" outlineLevel="0" collapsed="false">
      <c r="A135" s="28" t="s">
        <v>136</v>
      </c>
      <c r="B135" s="28"/>
      <c r="C135" s="29" t="n">
        <f aca="false">SUMIF(Détail!$D:$D,"RX* REED EXHIBI",Détail!$E:$E)</f>
        <v>-197.56</v>
      </c>
    </row>
    <row r="136" customFormat="false" ht="15" hidden="false" customHeight="true" outlineLevel="0" collapsed="false">
      <c r="A136" s="23" t="s">
        <v>54</v>
      </c>
      <c r="B136" s="23" t="s">
        <v>55</v>
      </c>
    </row>
    <row r="137" customFormat="false" ht="15" hidden="false" customHeight="true" outlineLevel="0" collapsed="false">
      <c r="A137" s="8" t="s">
        <v>56</v>
      </c>
      <c r="B137" s="30" t="n">
        <f aca="false">SUMIFS(Détail!$E:$E,Détail!$D:$D,"RX* REED EXHIBI",Détail!$A:$A,"&gt;="&amp;DATE(2026,1,1),Détail!$A:$A,"&lt;"&amp;EDATE(DATE(2026,1,1),1))</f>
        <v>0</v>
      </c>
    </row>
    <row r="138" customFormat="false" ht="15" hidden="false" customHeight="true" outlineLevel="0" collapsed="false">
      <c r="A138" s="8" t="s">
        <v>57</v>
      </c>
      <c r="B138" s="30" t="n">
        <f aca="false">SUMIFS(Détail!$E:$E,Détail!$D:$D,"RX* REED EXHIBI",Détail!$A:$A,"&gt;="&amp;DATE(2026,2,1),Détail!$A:$A,"&lt;"&amp;EDATE(DATE(2026,2,1),1))</f>
        <v>0</v>
      </c>
    </row>
    <row r="139" customFormat="false" ht="15" hidden="false" customHeight="true" outlineLevel="0" collapsed="false">
      <c r="A139" s="8" t="s">
        <v>58</v>
      </c>
      <c r="B139" s="30" t="n">
        <f aca="false">SUMIFS(Détail!$E:$E,Détail!$D:$D,"RX* REED EXHIBI",Détail!$A:$A,"&gt;="&amp;DATE(2026,3,1),Détail!$A:$A,"&lt;"&amp;EDATE(DATE(2026,3,1),1))</f>
        <v>0</v>
      </c>
    </row>
    <row r="140" customFormat="false" ht="15" hidden="false" customHeight="true" outlineLevel="0" collapsed="false">
      <c r="A140" s="8" t="s">
        <v>59</v>
      </c>
      <c r="B140" s="30" t="n">
        <f aca="false">SUMIFS(Détail!$E:$E,Détail!$D:$D,"RX* REED EXHIBI",Détail!$A:$A,"&gt;="&amp;DATE(2026,4,1),Détail!$A:$A,"&lt;"&amp;EDATE(DATE(2026,4,1),1))</f>
        <v>-197.56</v>
      </c>
    </row>
    <row r="141" customFormat="false" ht="15" hidden="false" customHeight="true" outlineLevel="0" collapsed="false">
      <c r="A141" s="8" t="s">
        <v>60</v>
      </c>
      <c r="B141" s="30" t="n">
        <f aca="false">SUMIFS(Détail!$E:$E,Détail!$D:$D,"RX* REED EXHIBI",Détail!$A:$A,"&gt;="&amp;DATE(2026,5,1),Détail!$A:$A,"&lt;"&amp;EDATE(DATE(2026,5,1),1))</f>
        <v>0</v>
      </c>
    </row>
    <row r="142" customFormat="false" ht="15" hidden="false" customHeight="true" outlineLevel="0" collapsed="false">
      <c r="A142" s="8" t="s">
        <v>61</v>
      </c>
      <c r="B142" s="30" t="n">
        <f aca="false">SUMIFS(Détail!$E:$E,Détail!$D:$D,"RX* REED EXHIBI",Détail!$A:$A,"&gt;="&amp;DATE(2026,6,1),Détail!$A:$A,"&lt;"&amp;EDATE(DATE(2026,6,1),1))</f>
        <v>0</v>
      </c>
    </row>
    <row r="143" customFormat="false" ht="15" hidden="false" customHeight="true" outlineLevel="0" collapsed="false">
      <c r="A143" s="8" t="s">
        <v>62</v>
      </c>
      <c r="B143" s="30" t="n">
        <f aca="false">SUMIFS(Détail!$E:$E,Détail!$D:$D,"RX* REED EXHIBI",Détail!$A:$A,"&gt;="&amp;DATE(2026,7,1),Détail!$A:$A,"&lt;"&amp;EDATE(DATE(2026,7,1),1))</f>
        <v>0</v>
      </c>
    </row>
    <row r="146" customFormat="false" ht="15" hidden="false" customHeight="true" outlineLevel="0" collapsed="false">
      <c r="A146" s="28" t="s">
        <v>137</v>
      </c>
      <c r="B146" s="28"/>
      <c r="C146" s="29" t="n">
        <f aca="false">SUMIF(Détail!$D:$D,"AKTO",Détail!$E:$E)</f>
        <v>-190</v>
      </c>
    </row>
    <row r="147" customFormat="false" ht="15" hidden="false" customHeight="true" outlineLevel="0" collapsed="false">
      <c r="A147" s="23" t="s">
        <v>54</v>
      </c>
      <c r="B147" s="23" t="s">
        <v>55</v>
      </c>
    </row>
    <row r="148" customFormat="false" ht="15" hidden="false" customHeight="true" outlineLevel="0" collapsed="false">
      <c r="A148" s="8" t="s">
        <v>56</v>
      </c>
      <c r="B148" s="30" t="n">
        <f aca="false">SUMIFS(Détail!$E:$E,Détail!$D:$D,"AKTO",Détail!$A:$A,"&gt;="&amp;DATE(2026,1,1),Détail!$A:$A,"&lt;"&amp;EDATE(DATE(2026,1,1),1))</f>
        <v>0</v>
      </c>
    </row>
    <row r="149" customFormat="false" ht="15" hidden="false" customHeight="true" outlineLevel="0" collapsed="false">
      <c r="A149" s="8" t="s">
        <v>57</v>
      </c>
      <c r="B149" s="30" t="n">
        <f aca="false">SUMIFS(Détail!$E:$E,Détail!$D:$D,"AKTO",Détail!$A:$A,"&gt;="&amp;DATE(2026,2,1),Détail!$A:$A,"&lt;"&amp;EDATE(DATE(2026,2,1),1))</f>
        <v>-190</v>
      </c>
    </row>
    <row r="150" customFormat="false" ht="15" hidden="false" customHeight="true" outlineLevel="0" collapsed="false">
      <c r="A150" s="8" t="s">
        <v>58</v>
      </c>
      <c r="B150" s="30" t="n">
        <f aca="false">SUMIFS(Détail!$E:$E,Détail!$D:$D,"AKTO",Détail!$A:$A,"&gt;="&amp;DATE(2026,3,1),Détail!$A:$A,"&lt;"&amp;EDATE(DATE(2026,3,1),1))</f>
        <v>0</v>
      </c>
    </row>
    <row r="151" customFormat="false" ht="15" hidden="false" customHeight="true" outlineLevel="0" collapsed="false">
      <c r="A151" s="8" t="s">
        <v>59</v>
      </c>
      <c r="B151" s="30" t="n">
        <f aca="false">SUMIFS(Détail!$E:$E,Détail!$D:$D,"AKTO",Détail!$A:$A,"&gt;="&amp;DATE(2026,4,1),Détail!$A:$A,"&lt;"&amp;EDATE(DATE(2026,4,1),1))</f>
        <v>0</v>
      </c>
    </row>
    <row r="152" customFormat="false" ht="15" hidden="false" customHeight="true" outlineLevel="0" collapsed="false">
      <c r="A152" s="8" t="s">
        <v>60</v>
      </c>
      <c r="B152" s="30" t="n">
        <f aca="false">SUMIFS(Détail!$E:$E,Détail!$D:$D,"AKTO",Détail!$A:$A,"&gt;="&amp;DATE(2026,5,1),Détail!$A:$A,"&lt;"&amp;EDATE(DATE(2026,5,1),1))</f>
        <v>0</v>
      </c>
    </row>
    <row r="153" customFormat="false" ht="15" hidden="false" customHeight="true" outlineLevel="0" collapsed="false">
      <c r="A153" s="8" t="s">
        <v>61</v>
      </c>
      <c r="B153" s="30" t="n">
        <f aca="false">SUMIFS(Détail!$E:$E,Détail!$D:$D,"AKTO",Détail!$A:$A,"&gt;="&amp;DATE(2026,6,1),Détail!$A:$A,"&lt;"&amp;EDATE(DATE(2026,6,1),1))</f>
        <v>0</v>
      </c>
    </row>
    <row r="154" customFormat="false" ht="15" hidden="false" customHeight="true" outlineLevel="0" collapsed="false">
      <c r="A154" s="8" t="s">
        <v>62</v>
      </c>
      <c r="B154" s="30" t="n">
        <f aca="false">SUMIFS(Détail!$E:$E,Détail!$D:$D,"AKTO",Détail!$A:$A,"&gt;="&amp;DATE(2026,7,1),Détail!$A:$A,"&lt;"&amp;EDATE(DATE(2026,7,1),1))</f>
        <v>0</v>
      </c>
    </row>
    <row r="157" customFormat="false" ht="15" hidden="false" customHeight="true" outlineLevel="0" collapsed="false">
      <c r="A157" s="28" t="s">
        <v>138</v>
      </c>
      <c r="B157" s="28"/>
      <c r="C157" s="29" t="n">
        <f aca="false">SUMIF(Détail!$D:$D,"WEB PRINT SERVICES",Détail!$E:$E)</f>
        <v>-137</v>
      </c>
    </row>
    <row r="158" customFormat="false" ht="15" hidden="false" customHeight="true" outlineLevel="0" collapsed="false">
      <c r="A158" s="23" t="s">
        <v>54</v>
      </c>
      <c r="B158" s="23" t="s">
        <v>55</v>
      </c>
    </row>
    <row r="159" customFormat="false" ht="15" hidden="false" customHeight="true" outlineLevel="0" collapsed="false">
      <c r="A159" s="8" t="s">
        <v>56</v>
      </c>
      <c r="B159" s="30" t="n">
        <f aca="false">SUMIFS(Détail!$E:$E,Détail!$D:$D,"WEB PRINT SERVICES",Détail!$A:$A,"&gt;="&amp;DATE(2026,1,1),Détail!$A:$A,"&lt;"&amp;EDATE(DATE(2026,1,1),1))</f>
        <v>-137</v>
      </c>
    </row>
    <row r="160" customFormat="false" ht="15" hidden="false" customHeight="true" outlineLevel="0" collapsed="false">
      <c r="A160" s="8" t="s">
        <v>57</v>
      </c>
      <c r="B160" s="30" t="n">
        <f aca="false">SUMIFS(Détail!$E:$E,Détail!$D:$D,"WEB PRINT SERVICES",Détail!$A:$A,"&gt;="&amp;DATE(2026,2,1),Détail!$A:$A,"&lt;"&amp;EDATE(DATE(2026,2,1),1))</f>
        <v>0</v>
      </c>
    </row>
    <row r="161" customFormat="false" ht="15" hidden="false" customHeight="true" outlineLevel="0" collapsed="false">
      <c r="A161" s="8" t="s">
        <v>58</v>
      </c>
      <c r="B161" s="30" t="n">
        <f aca="false">SUMIFS(Détail!$E:$E,Détail!$D:$D,"WEB PRINT SERVICES",Détail!$A:$A,"&gt;="&amp;DATE(2026,3,1),Détail!$A:$A,"&lt;"&amp;EDATE(DATE(2026,3,1),1))</f>
        <v>0</v>
      </c>
    </row>
    <row r="162" customFormat="false" ht="15" hidden="false" customHeight="true" outlineLevel="0" collapsed="false">
      <c r="A162" s="8" t="s">
        <v>59</v>
      </c>
      <c r="B162" s="30" t="n">
        <f aca="false">SUMIFS(Détail!$E:$E,Détail!$D:$D,"WEB PRINT SERVICES",Détail!$A:$A,"&gt;="&amp;DATE(2026,4,1),Détail!$A:$A,"&lt;"&amp;EDATE(DATE(2026,4,1),1))</f>
        <v>0</v>
      </c>
    </row>
    <row r="163" customFormat="false" ht="15" hidden="false" customHeight="true" outlineLevel="0" collapsed="false">
      <c r="A163" s="8" t="s">
        <v>60</v>
      </c>
      <c r="B163" s="30" t="n">
        <f aca="false">SUMIFS(Détail!$E:$E,Détail!$D:$D,"WEB PRINT SERVICES",Détail!$A:$A,"&gt;="&amp;DATE(2026,5,1),Détail!$A:$A,"&lt;"&amp;EDATE(DATE(2026,5,1),1))</f>
        <v>0</v>
      </c>
    </row>
    <row r="164" customFormat="false" ht="15" hidden="false" customHeight="true" outlineLevel="0" collapsed="false">
      <c r="A164" s="8" t="s">
        <v>61</v>
      </c>
      <c r="B164" s="30" t="n">
        <f aca="false">SUMIFS(Détail!$E:$E,Détail!$D:$D,"WEB PRINT SERVICES",Détail!$A:$A,"&gt;="&amp;DATE(2026,6,1),Détail!$A:$A,"&lt;"&amp;EDATE(DATE(2026,6,1),1))</f>
        <v>0</v>
      </c>
    </row>
    <row r="165" customFormat="false" ht="15" hidden="false" customHeight="true" outlineLevel="0" collapsed="false">
      <c r="A165" s="8" t="s">
        <v>62</v>
      </c>
      <c r="B165" s="30" t="n">
        <f aca="false">SUMIFS(Détail!$E:$E,Détail!$D:$D,"WEB PRINT SERVICES",Détail!$A:$A,"&gt;="&amp;DATE(2026,7,1),Détail!$A:$A,"&lt;"&amp;EDATE(DATE(2026,7,1),1))</f>
        <v>0</v>
      </c>
    </row>
    <row r="168" customFormat="false" ht="15" hidden="false" customHeight="true" outlineLevel="0" collapsed="false">
      <c r="A168" s="28" t="s">
        <v>139</v>
      </c>
      <c r="B168" s="28"/>
      <c r="C168" s="29" t="n">
        <f aca="false">SUMIF(Détail!$D:$D,"C T C",Détail!$E:$E)</f>
        <v>-84</v>
      </c>
    </row>
    <row r="169" customFormat="false" ht="15" hidden="false" customHeight="true" outlineLevel="0" collapsed="false">
      <c r="A169" s="23" t="s">
        <v>54</v>
      </c>
      <c r="B169" s="23" t="s">
        <v>55</v>
      </c>
    </row>
    <row r="170" customFormat="false" ht="15" hidden="false" customHeight="true" outlineLevel="0" collapsed="false">
      <c r="A170" s="8" t="s">
        <v>56</v>
      </c>
      <c r="B170" s="30" t="n">
        <f aca="false">SUMIFS(Détail!$E:$E,Détail!$D:$D,"C T C",Détail!$A:$A,"&gt;="&amp;DATE(2026,1,1),Détail!$A:$A,"&lt;"&amp;EDATE(DATE(2026,1,1),1))</f>
        <v>0</v>
      </c>
    </row>
    <row r="171" customFormat="false" ht="15" hidden="false" customHeight="true" outlineLevel="0" collapsed="false">
      <c r="A171" s="8" t="s">
        <v>57</v>
      </c>
      <c r="B171" s="30" t="n">
        <f aca="false">SUMIFS(Détail!$E:$E,Détail!$D:$D,"C T C",Détail!$A:$A,"&gt;="&amp;DATE(2026,2,1),Détail!$A:$A,"&lt;"&amp;EDATE(DATE(2026,2,1),1))</f>
        <v>0</v>
      </c>
    </row>
    <row r="172" customFormat="false" ht="15" hidden="false" customHeight="true" outlineLevel="0" collapsed="false">
      <c r="A172" s="8" t="s">
        <v>58</v>
      </c>
      <c r="B172" s="30" t="n">
        <f aca="false">SUMIFS(Détail!$E:$E,Détail!$D:$D,"C T C",Détail!$A:$A,"&gt;="&amp;DATE(2026,3,1),Détail!$A:$A,"&lt;"&amp;EDATE(DATE(2026,3,1),1))</f>
        <v>0</v>
      </c>
    </row>
    <row r="173" customFormat="false" ht="15" hidden="false" customHeight="true" outlineLevel="0" collapsed="false">
      <c r="A173" s="8" t="s">
        <v>59</v>
      </c>
      <c r="B173" s="30" t="n">
        <f aca="false">SUMIFS(Détail!$E:$E,Détail!$D:$D,"C T C",Détail!$A:$A,"&gt;="&amp;DATE(2026,4,1),Détail!$A:$A,"&lt;"&amp;EDATE(DATE(2026,4,1),1))</f>
        <v>0</v>
      </c>
    </row>
    <row r="174" customFormat="false" ht="15" hidden="false" customHeight="true" outlineLevel="0" collapsed="false">
      <c r="A174" s="8" t="s">
        <v>60</v>
      </c>
      <c r="B174" s="30" t="n">
        <f aca="false">SUMIFS(Détail!$E:$E,Détail!$D:$D,"C T C",Détail!$A:$A,"&gt;="&amp;DATE(2026,5,1),Détail!$A:$A,"&lt;"&amp;EDATE(DATE(2026,5,1),1))</f>
        <v>0</v>
      </c>
    </row>
    <row r="175" customFormat="false" ht="15" hidden="false" customHeight="true" outlineLevel="0" collapsed="false">
      <c r="A175" s="8" t="s">
        <v>61</v>
      </c>
      <c r="B175" s="30" t="n">
        <f aca="false">SUMIFS(Détail!$E:$E,Détail!$D:$D,"C T C",Détail!$A:$A,"&gt;="&amp;DATE(2026,6,1),Détail!$A:$A,"&lt;"&amp;EDATE(DATE(2026,6,1),1))</f>
        <v>-84</v>
      </c>
    </row>
    <row r="176" customFormat="false" ht="15" hidden="false" customHeight="true" outlineLevel="0" collapsed="false">
      <c r="A176" s="8" t="s">
        <v>62</v>
      </c>
      <c r="B176" s="30" t="n">
        <f aca="false">SUMIFS(Détail!$E:$E,Détail!$D:$D,"C T C",Détail!$A:$A,"&gt;="&amp;DATE(2026,7,1),Détail!$A:$A,"&lt;"&amp;EDATE(DATE(2026,7,1),1))</f>
        <v>0</v>
      </c>
    </row>
    <row r="179" customFormat="false" ht="15" hidden="false" customHeight="true" outlineLevel="0" collapsed="false">
      <c r="A179" s="28" t="s">
        <v>140</v>
      </c>
      <c r="B179" s="28"/>
      <c r="C179" s="29" t="n">
        <f aca="false">SUMIF(Détail!$D:$D,"E.S. RACC",Détail!$E:$E)</f>
        <v>-72.14</v>
      </c>
    </row>
    <row r="180" customFormat="false" ht="15" hidden="false" customHeight="true" outlineLevel="0" collapsed="false">
      <c r="A180" s="23" t="s">
        <v>54</v>
      </c>
      <c r="B180" s="23" t="s">
        <v>55</v>
      </c>
    </row>
    <row r="181" customFormat="false" ht="15" hidden="false" customHeight="true" outlineLevel="0" collapsed="false">
      <c r="A181" s="8" t="s">
        <v>56</v>
      </c>
      <c r="B181" s="30" t="n">
        <f aca="false">SUMIFS(Détail!$E:$E,Détail!$D:$D,"E.S. RACC",Détail!$A:$A,"&gt;="&amp;DATE(2026,1,1),Détail!$A:$A,"&lt;"&amp;EDATE(DATE(2026,1,1),1))</f>
        <v>0</v>
      </c>
    </row>
    <row r="182" customFormat="false" ht="15" hidden="false" customHeight="true" outlineLevel="0" collapsed="false">
      <c r="A182" s="8" t="s">
        <v>57</v>
      </c>
      <c r="B182" s="30" t="n">
        <f aca="false">SUMIFS(Détail!$E:$E,Détail!$D:$D,"E.S. RACC",Détail!$A:$A,"&gt;="&amp;DATE(2026,2,1),Détail!$A:$A,"&lt;"&amp;EDATE(DATE(2026,2,1),1))</f>
        <v>0</v>
      </c>
    </row>
    <row r="183" customFormat="false" ht="15" hidden="false" customHeight="true" outlineLevel="0" collapsed="false">
      <c r="A183" s="8" t="s">
        <v>58</v>
      </c>
      <c r="B183" s="30" t="n">
        <f aca="false">SUMIFS(Détail!$E:$E,Détail!$D:$D,"E.S. RACC",Détail!$A:$A,"&gt;="&amp;DATE(2026,3,1),Détail!$A:$A,"&lt;"&amp;EDATE(DATE(2026,3,1),1))</f>
        <v>0</v>
      </c>
    </row>
    <row r="184" customFormat="false" ht="15" hidden="false" customHeight="true" outlineLevel="0" collapsed="false">
      <c r="A184" s="8" t="s">
        <v>59</v>
      </c>
      <c r="B184" s="30" t="n">
        <f aca="false">SUMIFS(Détail!$E:$E,Détail!$D:$D,"E.S. RACC",Détail!$A:$A,"&gt;="&amp;DATE(2026,4,1),Détail!$A:$A,"&lt;"&amp;EDATE(DATE(2026,4,1),1))</f>
        <v>-72.14</v>
      </c>
    </row>
    <row r="185" customFormat="false" ht="15" hidden="false" customHeight="true" outlineLevel="0" collapsed="false">
      <c r="A185" s="8" t="s">
        <v>60</v>
      </c>
      <c r="B185" s="30" t="n">
        <f aca="false">SUMIFS(Détail!$E:$E,Détail!$D:$D,"E.S. RACC",Détail!$A:$A,"&gt;="&amp;DATE(2026,5,1),Détail!$A:$A,"&lt;"&amp;EDATE(DATE(2026,5,1),1))</f>
        <v>0</v>
      </c>
    </row>
    <row r="186" customFormat="false" ht="15" hidden="false" customHeight="true" outlineLevel="0" collapsed="false">
      <c r="A186" s="8" t="s">
        <v>61</v>
      </c>
      <c r="B186" s="30" t="n">
        <f aca="false">SUMIFS(Détail!$E:$E,Détail!$D:$D,"E.S. RACC",Détail!$A:$A,"&gt;="&amp;DATE(2026,6,1),Détail!$A:$A,"&lt;"&amp;EDATE(DATE(2026,6,1),1))</f>
        <v>0</v>
      </c>
    </row>
    <row r="187" customFormat="false" ht="15" hidden="false" customHeight="true" outlineLevel="0" collapsed="false">
      <c r="A187" s="8" t="s">
        <v>62</v>
      </c>
      <c r="B187" s="30" t="n">
        <f aca="false">SUMIFS(Détail!$E:$E,Détail!$D:$D,"E.S. RACC",Détail!$A:$A,"&gt;="&amp;DATE(2026,7,1),Détail!$A:$A,"&lt;"&amp;EDATE(DATE(2026,7,1),1))</f>
        <v>0</v>
      </c>
    </row>
    <row r="190" customFormat="false" ht="15" hidden="false" customHeight="true" outlineLevel="0" collapsed="false">
      <c r="A190" s="28" t="s">
        <v>141</v>
      </c>
      <c r="B190" s="28"/>
      <c r="C190" s="29" t="n">
        <f aca="false">SUMIF(Détail!$D:$D,"SPF JUSTICE",Détail!$E:$E)</f>
        <v>-63.67</v>
      </c>
    </row>
    <row r="191" customFormat="false" ht="15" hidden="false" customHeight="true" outlineLevel="0" collapsed="false">
      <c r="A191" s="23" t="s">
        <v>54</v>
      </c>
      <c r="B191" s="23" t="s">
        <v>55</v>
      </c>
    </row>
    <row r="192" customFormat="false" ht="15" hidden="false" customHeight="true" outlineLevel="0" collapsed="false">
      <c r="A192" s="8" t="s">
        <v>56</v>
      </c>
      <c r="B192" s="30" t="n">
        <f aca="false">SUMIFS(Détail!$E:$E,Détail!$D:$D,"SPF JUSTICE",Détail!$A:$A,"&gt;="&amp;DATE(2026,1,1),Détail!$A:$A,"&lt;"&amp;EDATE(DATE(2026,1,1),1))</f>
        <v>0</v>
      </c>
    </row>
    <row r="193" customFormat="false" ht="15" hidden="false" customHeight="true" outlineLevel="0" collapsed="false">
      <c r="A193" s="8" t="s">
        <v>57</v>
      </c>
      <c r="B193" s="30" t="n">
        <f aca="false">SUMIFS(Détail!$E:$E,Détail!$D:$D,"SPF JUSTICE",Détail!$A:$A,"&gt;="&amp;DATE(2026,2,1),Détail!$A:$A,"&lt;"&amp;EDATE(DATE(2026,2,1),1))</f>
        <v>0</v>
      </c>
    </row>
    <row r="194" customFormat="false" ht="15" hidden="false" customHeight="true" outlineLevel="0" collapsed="false">
      <c r="A194" s="8" t="s">
        <v>58</v>
      </c>
      <c r="B194" s="30" t="n">
        <f aca="false">SUMIFS(Détail!$E:$E,Détail!$D:$D,"SPF JUSTICE",Détail!$A:$A,"&gt;="&amp;DATE(2026,3,1),Détail!$A:$A,"&lt;"&amp;EDATE(DATE(2026,3,1),1))</f>
        <v>0</v>
      </c>
    </row>
    <row r="195" customFormat="false" ht="15" hidden="false" customHeight="true" outlineLevel="0" collapsed="false">
      <c r="A195" s="8" t="s">
        <v>59</v>
      </c>
      <c r="B195" s="30" t="n">
        <f aca="false">SUMIFS(Détail!$E:$E,Détail!$D:$D,"SPF JUSTICE",Détail!$A:$A,"&gt;="&amp;DATE(2026,4,1),Détail!$A:$A,"&lt;"&amp;EDATE(DATE(2026,4,1),1))</f>
        <v>0</v>
      </c>
    </row>
    <row r="196" customFormat="false" ht="15" hidden="false" customHeight="true" outlineLevel="0" collapsed="false">
      <c r="A196" s="8" t="s">
        <v>60</v>
      </c>
      <c r="B196" s="30" t="n">
        <f aca="false">SUMIFS(Détail!$E:$E,Détail!$D:$D,"SPF JUSTICE",Détail!$A:$A,"&gt;="&amp;DATE(2026,5,1),Détail!$A:$A,"&lt;"&amp;EDATE(DATE(2026,5,1),1))</f>
        <v>0</v>
      </c>
    </row>
    <row r="197" customFormat="false" ht="15" hidden="false" customHeight="true" outlineLevel="0" collapsed="false">
      <c r="A197" s="8" t="s">
        <v>61</v>
      </c>
      <c r="B197" s="30" t="n">
        <f aca="false">SUMIFS(Détail!$E:$E,Détail!$D:$D,"SPF JUSTICE",Détail!$A:$A,"&gt;="&amp;DATE(2026,6,1),Détail!$A:$A,"&lt;"&amp;EDATE(DATE(2026,6,1),1))</f>
        <v>-63.67</v>
      </c>
    </row>
    <row r="198" customFormat="false" ht="15" hidden="false" customHeight="true" outlineLevel="0" collapsed="false">
      <c r="A198" s="8" t="s">
        <v>62</v>
      </c>
      <c r="B198" s="30" t="n">
        <f aca="false">SUMIFS(Détail!$E:$E,Détail!$D:$D,"SPF JUSTICE",Détail!$A:$A,"&gt;="&amp;DATE(2026,7,1),Détail!$A:$A,"&lt;"&amp;EDATE(DATE(2026,7,1),1))</f>
        <v>0</v>
      </c>
    </row>
    <row r="201" customFormat="false" ht="15" hidden="false" customHeight="true" outlineLevel="0" collapsed="false">
      <c r="A201" s="28" t="s">
        <v>142</v>
      </c>
      <c r="B201" s="28"/>
      <c r="C201" s="29" t="n">
        <f aca="false">SUMIF(Détail!$D:$D,"NOTAIRE",Détail!$E:$E)</f>
        <v>-60</v>
      </c>
    </row>
    <row r="202" customFormat="false" ht="15" hidden="false" customHeight="true" outlineLevel="0" collapsed="false">
      <c r="A202" s="23" t="s">
        <v>54</v>
      </c>
      <c r="B202" s="23" t="s">
        <v>55</v>
      </c>
    </row>
    <row r="203" customFormat="false" ht="15" hidden="false" customHeight="true" outlineLevel="0" collapsed="false">
      <c r="A203" s="8" t="s">
        <v>56</v>
      </c>
      <c r="B203" s="30" t="n">
        <f aca="false">SUMIFS(Détail!$E:$E,Détail!$D:$D,"NOTAIRE",Détail!$A:$A,"&gt;="&amp;DATE(2026,1,1),Détail!$A:$A,"&lt;"&amp;EDATE(DATE(2026,1,1),1))</f>
        <v>0</v>
      </c>
    </row>
    <row r="204" customFormat="false" ht="15" hidden="false" customHeight="true" outlineLevel="0" collapsed="false">
      <c r="A204" s="8" t="s">
        <v>57</v>
      </c>
      <c r="B204" s="30" t="n">
        <f aca="false">SUMIFS(Détail!$E:$E,Détail!$D:$D,"NOTAIRE",Détail!$A:$A,"&gt;="&amp;DATE(2026,2,1),Détail!$A:$A,"&lt;"&amp;EDATE(DATE(2026,2,1),1))</f>
        <v>0</v>
      </c>
    </row>
    <row r="205" customFormat="false" ht="15" hidden="false" customHeight="true" outlineLevel="0" collapsed="false">
      <c r="A205" s="8" t="s">
        <v>58</v>
      </c>
      <c r="B205" s="30" t="n">
        <f aca="false">SUMIFS(Détail!$E:$E,Détail!$D:$D,"NOTAIRE",Détail!$A:$A,"&gt;="&amp;DATE(2026,3,1),Détail!$A:$A,"&lt;"&amp;EDATE(DATE(2026,3,1),1))</f>
        <v>0</v>
      </c>
    </row>
    <row r="206" customFormat="false" ht="15" hidden="false" customHeight="true" outlineLevel="0" collapsed="false">
      <c r="A206" s="8" t="s">
        <v>59</v>
      </c>
      <c r="B206" s="30" t="n">
        <f aca="false">SUMIFS(Détail!$E:$E,Détail!$D:$D,"NOTAIRE",Détail!$A:$A,"&gt;="&amp;DATE(2026,4,1),Détail!$A:$A,"&lt;"&amp;EDATE(DATE(2026,4,1),1))</f>
        <v>0</v>
      </c>
    </row>
    <row r="207" customFormat="false" ht="15" hidden="false" customHeight="true" outlineLevel="0" collapsed="false">
      <c r="A207" s="8" t="s">
        <v>60</v>
      </c>
      <c r="B207" s="30" t="n">
        <f aca="false">SUMIFS(Détail!$E:$E,Détail!$D:$D,"NOTAIRE",Détail!$A:$A,"&gt;="&amp;DATE(2026,5,1),Détail!$A:$A,"&lt;"&amp;EDATE(DATE(2026,5,1),1))</f>
        <v>0</v>
      </c>
    </row>
    <row r="208" customFormat="false" ht="15" hidden="false" customHeight="true" outlineLevel="0" collapsed="false">
      <c r="A208" s="8" t="s">
        <v>61</v>
      </c>
      <c r="B208" s="30" t="n">
        <f aca="false">SUMIFS(Détail!$E:$E,Détail!$D:$D,"NOTAIRE",Détail!$A:$A,"&gt;="&amp;DATE(2026,6,1),Détail!$A:$A,"&lt;"&amp;EDATE(DATE(2026,6,1),1))</f>
        <v>0</v>
      </c>
    </row>
    <row r="209" customFormat="false" ht="15" hidden="false" customHeight="true" outlineLevel="0" collapsed="false">
      <c r="A209" s="8" t="s">
        <v>62</v>
      </c>
      <c r="B209" s="30" t="n">
        <f aca="false">SUMIFS(Détail!$E:$E,Détail!$D:$D,"NOTAIRE",Détail!$A:$A,"&gt;="&amp;DATE(2026,7,1),Détail!$A:$A,"&lt;"&amp;EDATE(DATE(2026,7,1),1))</f>
        <v>-60</v>
      </c>
    </row>
    <row r="212" customFormat="false" ht="15" hidden="false" customHeight="true" outlineLevel="0" collapsed="false">
      <c r="A212" s="28" t="s">
        <v>143</v>
      </c>
      <c r="B212" s="28"/>
      <c r="C212" s="29" t="n">
        <f aca="false">SUMIF(Détail!$D:$D,"VIVATICKET.COM",Détail!$E:$E)</f>
        <v>-49.5</v>
      </c>
    </row>
    <row r="213" customFormat="false" ht="15" hidden="false" customHeight="true" outlineLevel="0" collapsed="false">
      <c r="A213" s="23" t="s">
        <v>54</v>
      </c>
      <c r="B213" s="23" t="s">
        <v>55</v>
      </c>
    </row>
    <row r="214" customFormat="false" ht="15" hidden="false" customHeight="true" outlineLevel="0" collapsed="false">
      <c r="A214" s="8" t="s">
        <v>56</v>
      </c>
      <c r="B214" s="30" t="n">
        <f aca="false">SUMIFS(Détail!$E:$E,Détail!$D:$D,"VIVATICKET.COM",Détail!$A:$A,"&gt;="&amp;DATE(2026,1,1),Détail!$A:$A,"&lt;"&amp;EDATE(DATE(2026,1,1),1))</f>
        <v>0</v>
      </c>
    </row>
    <row r="215" customFormat="false" ht="15" hidden="false" customHeight="true" outlineLevel="0" collapsed="false">
      <c r="A215" s="8" t="s">
        <v>57</v>
      </c>
      <c r="B215" s="30" t="n">
        <f aca="false">SUMIFS(Détail!$E:$E,Détail!$D:$D,"VIVATICKET.COM",Détail!$A:$A,"&gt;="&amp;DATE(2026,2,1),Détail!$A:$A,"&lt;"&amp;EDATE(DATE(2026,2,1),1))</f>
        <v>0</v>
      </c>
    </row>
    <row r="216" customFormat="false" ht="15" hidden="false" customHeight="true" outlineLevel="0" collapsed="false">
      <c r="A216" s="8" t="s">
        <v>58</v>
      </c>
      <c r="B216" s="30" t="n">
        <f aca="false">SUMIFS(Détail!$E:$E,Détail!$D:$D,"VIVATICKET.COM",Détail!$A:$A,"&gt;="&amp;DATE(2026,3,1),Détail!$A:$A,"&lt;"&amp;EDATE(DATE(2026,3,1),1))</f>
        <v>0</v>
      </c>
    </row>
    <row r="217" customFormat="false" ht="15" hidden="false" customHeight="true" outlineLevel="0" collapsed="false">
      <c r="A217" s="8" t="s">
        <v>59</v>
      </c>
      <c r="B217" s="30" t="n">
        <f aca="false">SUMIFS(Détail!$E:$E,Détail!$D:$D,"VIVATICKET.COM",Détail!$A:$A,"&gt;="&amp;DATE(2026,4,1),Détail!$A:$A,"&lt;"&amp;EDATE(DATE(2026,4,1),1))</f>
        <v>0</v>
      </c>
    </row>
    <row r="218" customFormat="false" ht="15" hidden="false" customHeight="true" outlineLevel="0" collapsed="false">
      <c r="A218" s="8" t="s">
        <v>60</v>
      </c>
      <c r="B218" s="30" t="n">
        <f aca="false">SUMIFS(Détail!$E:$E,Détail!$D:$D,"VIVATICKET.COM",Détail!$A:$A,"&gt;="&amp;DATE(2026,5,1),Détail!$A:$A,"&lt;"&amp;EDATE(DATE(2026,5,1),1))</f>
        <v>0</v>
      </c>
    </row>
    <row r="219" customFormat="false" ht="15" hidden="false" customHeight="true" outlineLevel="0" collapsed="false">
      <c r="A219" s="8" t="s">
        <v>61</v>
      </c>
      <c r="B219" s="30" t="n">
        <f aca="false">SUMIFS(Détail!$E:$E,Détail!$D:$D,"VIVATICKET.COM",Détail!$A:$A,"&gt;="&amp;DATE(2026,6,1),Détail!$A:$A,"&lt;"&amp;EDATE(DATE(2026,6,1),1))</f>
        <v>-49.5</v>
      </c>
    </row>
    <row r="220" customFormat="false" ht="15" hidden="false" customHeight="true" outlineLevel="0" collapsed="false">
      <c r="A220" s="8" t="s">
        <v>62</v>
      </c>
      <c r="B220" s="30" t="n">
        <f aca="false">SUMIFS(Détail!$E:$E,Détail!$D:$D,"VIVATICKET.COM",Détail!$A:$A,"&gt;="&amp;DATE(2026,7,1),Détail!$A:$A,"&lt;"&amp;EDATE(DATE(2026,7,1),1))</f>
        <v>0</v>
      </c>
    </row>
    <row r="223" customFormat="false" ht="15" hidden="false" customHeight="true" outlineLevel="0" collapsed="false">
      <c r="A223" s="28" t="s">
        <v>144</v>
      </c>
      <c r="B223" s="28"/>
      <c r="C223" s="29" t="n">
        <f aca="false">SUMIF(Détail!$D:$D,"ATLANTIS",Détail!$E:$E)</f>
        <v>-30</v>
      </c>
    </row>
    <row r="224" customFormat="false" ht="15" hidden="false" customHeight="true" outlineLevel="0" collapsed="false">
      <c r="A224" s="23" t="s">
        <v>54</v>
      </c>
      <c r="B224" s="23" t="s">
        <v>55</v>
      </c>
    </row>
    <row r="225" customFormat="false" ht="15" hidden="false" customHeight="true" outlineLevel="0" collapsed="false">
      <c r="A225" s="8" t="s">
        <v>56</v>
      </c>
      <c r="B225" s="30" t="n">
        <f aca="false">SUMIFS(Détail!$E:$E,Détail!$D:$D,"ATLANTIS",Détail!$A:$A,"&gt;="&amp;DATE(2026,1,1),Détail!$A:$A,"&lt;"&amp;EDATE(DATE(2026,1,1),1))</f>
        <v>0</v>
      </c>
    </row>
    <row r="226" customFormat="false" ht="15" hidden="false" customHeight="true" outlineLevel="0" collapsed="false">
      <c r="A226" s="8" t="s">
        <v>57</v>
      </c>
      <c r="B226" s="30" t="n">
        <f aca="false">SUMIFS(Détail!$E:$E,Détail!$D:$D,"ATLANTIS",Détail!$A:$A,"&gt;="&amp;DATE(2026,2,1),Détail!$A:$A,"&lt;"&amp;EDATE(DATE(2026,2,1),1))</f>
        <v>0</v>
      </c>
    </row>
    <row r="227" customFormat="false" ht="15" hidden="false" customHeight="true" outlineLevel="0" collapsed="false">
      <c r="A227" s="8" t="s">
        <v>58</v>
      </c>
      <c r="B227" s="30" t="n">
        <f aca="false">SUMIFS(Détail!$E:$E,Détail!$D:$D,"ATLANTIS",Détail!$A:$A,"&gt;="&amp;DATE(2026,3,1),Détail!$A:$A,"&lt;"&amp;EDATE(DATE(2026,3,1),1))</f>
        <v>0</v>
      </c>
    </row>
    <row r="228" customFormat="false" ht="15" hidden="false" customHeight="true" outlineLevel="0" collapsed="false">
      <c r="A228" s="8" t="s">
        <v>59</v>
      </c>
      <c r="B228" s="30" t="n">
        <f aca="false">SUMIFS(Détail!$E:$E,Détail!$D:$D,"ATLANTIS",Détail!$A:$A,"&gt;="&amp;DATE(2026,4,1),Détail!$A:$A,"&lt;"&amp;EDATE(DATE(2026,4,1),1))</f>
        <v>-10</v>
      </c>
    </row>
    <row r="229" customFormat="false" ht="15" hidden="false" customHeight="true" outlineLevel="0" collapsed="false">
      <c r="A229" s="8" t="s">
        <v>60</v>
      </c>
      <c r="B229" s="30" t="n">
        <f aca="false">SUMIFS(Détail!$E:$E,Détail!$D:$D,"ATLANTIS",Détail!$A:$A,"&gt;="&amp;DATE(2026,5,1),Détail!$A:$A,"&lt;"&amp;EDATE(DATE(2026,5,1),1))</f>
        <v>-20</v>
      </c>
    </row>
    <row r="230" customFormat="false" ht="15" hidden="false" customHeight="true" outlineLevel="0" collapsed="false">
      <c r="A230" s="8" t="s">
        <v>61</v>
      </c>
      <c r="B230" s="30" t="n">
        <f aca="false">SUMIFS(Détail!$E:$E,Détail!$D:$D,"ATLANTIS",Détail!$A:$A,"&gt;="&amp;DATE(2026,6,1),Détail!$A:$A,"&lt;"&amp;EDATE(DATE(2026,6,1),1))</f>
        <v>0</v>
      </c>
    </row>
    <row r="231" customFormat="false" ht="15" hidden="false" customHeight="true" outlineLevel="0" collapsed="false">
      <c r="A231" s="8" t="s">
        <v>62</v>
      </c>
      <c r="B231" s="30" t="n">
        <f aca="false">SUMIFS(Détail!$E:$E,Détail!$D:$D,"ATLANTIS",Détail!$A:$A,"&gt;="&amp;DATE(2026,7,1),Détail!$A:$A,"&lt;"&amp;EDATE(DATE(2026,7,1),1))</f>
        <v>0</v>
      </c>
    </row>
    <row r="234" customFormat="false" ht="15" hidden="false" customHeight="true" outlineLevel="0" collapsed="false">
      <c r="A234" s="28" t="s">
        <v>145</v>
      </c>
      <c r="B234" s="28"/>
      <c r="C234" s="29" t="n">
        <f aca="false">SUMIF(Détail!$D:$D,"GRAINE DU SUD",Détail!$E:$E)</f>
        <v>-25.5</v>
      </c>
    </row>
    <row r="235" customFormat="false" ht="15" hidden="false" customHeight="true" outlineLevel="0" collapsed="false">
      <c r="A235" s="23" t="s">
        <v>54</v>
      </c>
      <c r="B235" s="23" t="s">
        <v>55</v>
      </c>
    </row>
    <row r="236" customFormat="false" ht="15" hidden="false" customHeight="true" outlineLevel="0" collapsed="false">
      <c r="A236" s="8" t="s">
        <v>56</v>
      </c>
      <c r="B236" s="30" t="n">
        <f aca="false">SUMIFS(Détail!$E:$E,Détail!$D:$D,"GRAINE DU SUD",Détail!$A:$A,"&gt;="&amp;DATE(2026,1,1),Détail!$A:$A,"&lt;"&amp;EDATE(DATE(2026,1,1),1))</f>
        <v>-25.5</v>
      </c>
    </row>
    <row r="237" customFormat="false" ht="15" hidden="false" customHeight="true" outlineLevel="0" collapsed="false">
      <c r="A237" s="8" t="s">
        <v>57</v>
      </c>
      <c r="B237" s="30" t="n">
        <f aca="false">SUMIFS(Détail!$E:$E,Détail!$D:$D,"GRAINE DU SUD",Détail!$A:$A,"&gt;="&amp;DATE(2026,2,1),Détail!$A:$A,"&lt;"&amp;EDATE(DATE(2026,2,1),1))</f>
        <v>0</v>
      </c>
    </row>
    <row r="238" customFormat="false" ht="15" hidden="false" customHeight="true" outlineLevel="0" collapsed="false">
      <c r="A238" s="8" t="s">
        <v>58</v>
      </c>
      <c r="B238" s="30" t="n">
        <f aca="false">SUMIFS(Détail!$E:$E,Détail!$D:$D,"GRAINE DU SUD",Détail!$A:$A,"&gt;="&amp;DATE(2026,3,1),Détail!$A:$A,"&lt;"&amp;EDATE(DATE(2026,3,1),1))</f>
        <v>0</v>
      </c>
    </row>
    <row r="239" customFormat="false" ht="15" hidden="false" customHeight="true" outlineLevel="0" collapsed="false">
      <c r="A239" s="8" t="s">
        <v>59</v>
      </c>
      <c r="B239" s="30" t="n">
        <f aca="false">SUMIFS(Détail!$E:$E,Détail!$D:$D,"GRAINE DU SUD",Détail!$A:$A,"&gt;="&amp;DATE(2026,4,1),Détail!$A:$A,"&lt;"&amp;EDATE(DATE(2026,4,1),1))</f>
        <v>0</v>
      </c>
    </row>
    <row r="240" customFormat="false" ht="15" hidden="false" customHeight="true" outlineLevel="0" collapsed="false">
      <c r="A240" s="8" t="s">
        <v>60</v>
      </c>
      <c r="B240" s="30" t="n">
        <f aca="false">SUMIFS(Détail!$E:$E,Détail!$D:$D,"GRAINE DU SUD",Détail!$A:$A,"&gt;="&amp;DATE(2026,5,1),Détail!$A:$A,"&lt;"&amp;EDATE(DATE(2026,5,1),1))</f>
        <v>0</v>
      </c>
    </row>
    <row r="241" customFormat="false" ht="15" hidden="false" customHeight="true" outlineLevel="0" collapsed="false">
      <c r="A241" s="8" t="s">
        <v>61</v>
      </c>
      <c r="B241" s="30" t="n">
        <f aca="false">SUMIFS(Détail!$E:$E,Détail!$D:$D,"GRAINE DU SUD",Détail!$A:$A,"&gt;="&amp;DATE(2026,6,1),Détail!$A:$A,"&lt;"&amp;EDATE(DATE(2026,6,1),1))</f>
        <v>0</v>
      </c>
    </row>
    <row r="242" customFormat="false" ht="15" hidden="false" customHeight="true" outlineLevel="0" collapsed="false">
      <c r="A242" s="8" t="s">
        <v>62</v>
      </c>
      <c r="B242" s="30" t="n">
        <f aca="false">SUMIFS(Détail!$E:$E,Détail!$D:$D,"GRAINE DU SUD",Détail!$A:$A,"&gt;="&amp;DATE(2026,7,1),Détail!$A:$A,"&lt;"&amp;EDATE(DATE(2026,7,1),1))</f>
        <v>0</v>
      </c>
    </row>
    <row r="245" customFormat="false" ht="15" hidden="false" customHeight="true" outlineLevel="0" collapsed="false">
      <c r="A245" s="28" t="s">
        <v>146</v>
      </c>
      <c r="B245" s="28"/>
      <c r="C245" s="29" t="n">
        <f aca="false">SUMIF(Détail!$D:$D,"REX ATRIUM",Détail!$E:$E)</f>
        <v>-16.8</v>
      </c>
    </row>
    <row r="246" customFormat="false" ht="15" hidden="false" customHeight="true" outlineLevel="0" collapsed="false">
      <c r="A246" s="23" t="s">
        <v>54</v>
      </c>
      <c r="B246" s="23" t="s">
        <v>55</v>
      </c>
    </row>
    <row r="247" customFormat="false" ht="15" hidden="false" customHeight="true" outlineLevel="0" collapsed="false">
      <c r="A247" s="8" t="s">
        <v>56</v>
      </c>
      <c r="B247" s="30" t="n">
        <f aca="false">SUMIFS(Détail!$E:$E,Détail!$D:$D,"REX ATRIUM",Détail!$A:$A,"&gt;="&amp;DATE(2026,1,1),Détail!$A:$A,"&lt;"&amp;EDATE(DATE(2026,1,1),1))</f>
        <v>0</v>
      </c>
    </row>
    <row r="248" customFormat="false" ht="15" hidden="false" customHeight="true" outlineLevel="0" collapsed="false">
      <c r="A248" s="8" t="s">
        <v>57</v>
      </c>
      <c r="B248" s="30" t="n">
        <f aca="false">SUMIFS(Détail!$E:$E,Détail!$D:$D,"REX ATRIUM",Détail!$A:$A,"&gt;="&amp;DATE(2026,2,1),Détail!$A:$A,"&lt;"&amp;EDATE(DATE(2026,2,1),1))</f>
        <v>0</v>
      </c>
    </row>
    <row r="249" customFormat="false" ht="15" hidden="false" customHeight="true" outlineLevel="0" collapsed="false">
      <c r="A249" s="8" t="s">
        <v>58</v>
      </c>
      <c r="B249" s="30" t="n">
        <f aca="false">SUMIFS(Détail!$E:$E,Détail!$D:$D,"REX ATRIUM",Détail!$A:$A,"&gt;="&amp;DATE(2026,3,1),Détail!$A:$A,"&lt;"&amp;EDATE(DATE(2026,3,1),1))</f>
        <v>0</v>
      </c>
    </row>
    <row r="250" customFormat="false" ht="15" hidden="false" customHeight="true" outlineLevel="0" collapsed="false">
      <c r="A250" s="8" t="s">
        <v>59</v>
      </c>
      <c r="B250" s="30" t="n">
        <f aca="false">SUMIFS(Détail!$E:$E,Détail!$D:$D,"REX ATRIUM",Détail!$A:$A,"&gt;="&amp;DATE(2026,4,1),Détail!$A:$A,"&lt;"&amp;EDATE(DATE(2026,4,1),1))</f>
        <v>0</v>
      </c>
    </row>
    <row r="251" customFormat="false" ht="15" hidden="false" customHeight="true" outlineLevel="0" collapsed="false">
      <c r="A251" s="8" t="s">
        <v>60</v>
      </c>
      <c r="B251" s="30" t="n">
        <f aca="false">SUMIFS(Détail!$E:$E,Détail!$D:$D,"REX ATRIUM",Détail!$A:$A,"&gt;="&amp;DATE(2026,5,1),Détail!$A:$A,"&lt;"&amp;EDATE(DATE(2026,5,1),1))</f>
        <v>-16.8</v>
      </c>
    </row>
    <row r="252" customFormat="false" ht="15" hidden="false" customHeight="true" outlineLevel="0" collapsed="false">
      <c r="A252" s="8" t="s">
        <v>61</v>
      </c>
      <c r="B252" s="30" t="n">
        <f aca="false">SUMIFS(Détail!$E:$E,Détail!$D:$D,"REX ATRIUM",Détail!$A:$A,"&gt;="&amp;DATE(2026,6,1),Détail!$A:$A,"&lt;"&amp;EDATE(DATE(2026,6,1),1))</f>
        <v>0</v>
      </c>
    </row>
    <row r="253" customFormat="false" ht="15" hidden="false" customHeight="true" outlineLevel="0" collapsed="false">
      <c r="A253" s="8" t="s">
        <v>62</v>
      </c>
      <c r="B253" s="30" t="n">
        <f aca="false">SUMIFS(Détail!$E:$E,Détail!$D:$D,"REX ATRIUM",Détail!$A:$A,"&gt;="&amp;DATE(2026,7,1),Détail!$A:$A,"&lt;"&amp;EDATE(DATE(2026,7,1),1))</f>
        <v>0</v>
      </c>
    </row>
    <row r="256" customFormat="false" ht="15" hidden="false" customHeight="true" outlineLevel="0" collapsed="false">
      <c r="A256" s="28" t="s">
        <v>147</v>
      </c>
      <c r="B256" s="28"/>
      <c r="C256" s="29" t="n">
        <f aca="false">SUMIF(Détail!$D:$D,"COMPAGNIE EIFFA",Détail!$E:$E)</f>
        <v>-11.3</v>
      </c>
    </row>
    <row r="257" customFormat="false" ht="15" hidden="false" customHeight="true" outlineLevel="0" collapsed="false">
      <c r="A257" s="23" t="s">
        <v>54</v>
      </c>
      <c r="B257" s="23" t="s">
        <v>55</v>
      </c>
    </row>
    <row r="258" customFormat="false" ht="15" hidden="false" customHeight="true" outlineLevel="0" collapsed="false">
      <c r="A258" s="8" t="s">
        <v>56</v>
      </c>
      <c r="B258" s="30" t="n">
        <f aca="false">SUMIFS(Détail!$E:$E,Détail!$D:$D,"COMPAGNIE EIFFA",Détail!$A:$A,"&gt;="&amp;DATE(2026,1,1),Détail!$A:$A,"&lt;"&amp;EDATE(DATE(2026,1,1),1))</f>
        <v>0</v>
      </c>
    </row>
    <row r="259" customFormat="false" ht="15" hidden="false" customHeight="true" outlineLevel="0" collapsed="false">
      <c r="A259" s="8" t="s">
        <v>57</v>
      </c>
      <c r="B259" s="30" t="n">
        <f aca="false">SUMIFS(Détail!$E:$E,Détail!$D:$D,"COMPAGNIE EIFFA",Détail!$A:$A,"&gt;="&amp;DATE(2026,2,1),Détail!$A:$A,"&lt;"&amp;EDATE(DATE(2026,2,1),1))</f>
        <v>0</v>
      </c>
    </row>
    <row r="260" customFormat="false" ht="15" hidden="false" customHeight="true" outlineLevel="0" collapsed="false">
      <c r="A260" s="8" t="s">
        <v>58</v>
      </c>
      <c r="B260" s="30" t="n">
        <f aca="false">SUMIFS(Détail!$E:$E,Détail!$D:$D,"COMPAGNIE EIFFA",Détail!$A:$A,"&gt;="&amp;DATE(2026,3,1),Détail!$A:$A,"&lt;"&amp;EDATE(DATE(2026,3,1),1))</f>
        <v>0</v>
      </c>
    </row>
    <row r="261" customFormat="false" ht="15" hidden="false" customHeight="true" outlineLevel="0" collapsed="false">
      <c r="A261" s="8" t="s">
        <v>59</v>
      </c>
      <c r="B261" s="30" t="n">
        <f aca="false">SUMIFS(Détail!$E:$E,Détail!$D:$D,"COMPAGNIE EIFFA",Détail!$A:$A,"&gt;="&amp;DATE(2026,4,1),Détail!$A:$A,"&lt;"&amp;EDATE(DATE(2026,4,1),1))</f>
        <v>-11.3</v>
      </c>
    </row>
    <row r="262" customFormat="false" ht="15" hidden="false" customHeight="true" outlineLevel="0" collapsed="false">
      <c r="A262" s="8" t="s">
        <v>60</v>
      </c>
      <c r="B262" s="30" t="n">
        <f aca="false">SUMIFS(Détail!$E:$E,Détail!$D:$D,"COMPAGNIE EIFFA",Détail!$A:$A,"&gt;="&amp;DATE(2026,5,1),Détail!$A:$A,"&lt;"&amp;EDATE(DATE(2026,5,1),1))</f>
        <v>0</v>
      </c>
    </row>
    <row r="263" customFormat="false" ht="15" hidden="false" customHeight="true" outlineLevel="0" collapsed="false">
      <c r="A263" s="8" t="s">
        <v>61</v>
      </c>
      <c r="B263" s="30" t="n">
        <f aca="false">SUMIFS(Détail!$E:$E,Détail!$D:$D,"COMPAGNIE EIFFA",Détail!$A:$A,"&gt;="&amp;DATE(2026,6,1),Détail!$A:$A,"&lt;"&amp;EDATE(DATE(2026,6,1),1))</f>
        <v>0</v>
      </c>
    </row>
    <row r="264" customFormat="false" ht="15" hidden="false" customHeight="true" outlineLevel="0" collapsed="false">
      <c r="A264" s="8" t="s">
        <v>62</v>
      </c>
      <c r="B264" s="30" t="n">
        <f aca="false">SUMIFS(Détail!$E:$E,Détail!$D:$D,"COMPAGNIE EIFFA",Détail!$A:$A,"&gt;="&amp;DATE(2026,7,1),Détail!$A:$A,"&lt;"&amp;EDATE(DATE(2026,7,1),1))</f>
        <v>0</v>
      </c>
    </row>
    <row r="267" customFormat="false" ht="15" hidden="false" customHeight="true" outlineLevel="0" collapsed="false">
      <c r="A267" s="28" t="s">
        <v>148</v>
      </c>
      <c r="B267" s="28"/>
      <c r="C267" s="29" t="n">
        <f aca="false">SUMIF(Détail!$D:$D,"CEVM NFC",Détail!$E:$E)</f>
        <v>-11.3</v>
      </c>
    </row>
    <row r="268" customFormat="false" ht="15" hidden="false" customHeight="true" outlineLevel="0" collapsed="false">
      <c r="A268" s="23" t="s">
        <v>54</v>
      </c>
      <c r="B268" s="23" t="s">
        <v>55</v>
      </c>
    </row>
    <row r="269" customFormat="false" ht="15" hidden="false" customHeight="true" outlineLevel="0" collapsed="false">
      <c r="A269" s="8" t="s">
        <v>56</v>
      </c>
      <c r="B269" s="30" t="n">
        <f aca="false">SUMIFS(Détail!$E:$E,Détail!$D:$D,"CEVM NFC",Détail!$A:$A,"&gt;="&amp;DATE(2026,1,1),Détail!$A:$A,"&lt;"&amp;EDATE(DATE(2026,1,1),1))</f>
        <v>0</v>
      </c>
    </row>
    <row r="270" customFormat="false" ht="15" hidden="false" customHeight="true" outlineLevel="0" collapsed="false">
      <c r="A270" s="8" t="s">
        <v>57</v>
      </c>
      <c r="B270" s="30" t="n">
        <f aca="false">SUMIFS(Détail!$E:$E,Détail!$D:$D,"CEVM NFC",Détail!$A:$A,"&gt;="&amp;DATE(2026,2,1),Détail!$A:$A,"&lt;"&amp;EDATE(DATE(2026,2,1),1))</f>
        <v>0</v>
      </c>
    </row>
    <row r="271" customFormat="false" ht="15" hidden="false" customHeight="true" outlineLevel="0" collapsed="false">
      <c r="A271" s="8" t="s">
        <v>58</v>
      </c>
      <c r="B271" s="30" t="n">
        <f aca="false">SUMIFS(Détail!$E:$E,Détail!$D:$D,"CEVM NFC",Détail!$A:$A,"&gt;="&amp;DATE(2026,3,1),Détail!$A:$A,"&lt;"&amp;EDATE(DATE(2026,3,1),1))</f>
        <v>0</v>
      </c>
    </row>
    <row r="272" customFormat="false" ht="15" hidden="false" customHeight="true" outlineLevel="0" collapsed="false">
      <c r="A272" s="8" t="s">
        <v>59</v>
      </c>
      <c r="B272" s="30" t="n">
        <f aca="false">SUMIFS(Détail!$E:$E,Détail!$D:$D,"CEVM NFC",Détail!$A:$A,"&gt;="&amp;DATE(2026,4,1),Détail!$A:$A,"&lt;"&amp;EDATE(DATE(2026,4,1),1))</f>
        <v>-11.3</v>
      </c>
    </row>
    <row r="273" customFormat="false" ht="15" hidden="false" customHeight="true" outlineLevel="0" collapsed="false">
      <c r="A273" s="8" t="s">
        <v>60</v>
      </c>
      <c r="B273" s="30" t="n">
        <f aca="false">SUMIFS(Détail!$E:$E,Détail!$D:$D,"CEVM NFC",Détail!$A:$A,"&gt;="&amp;DATE(2026,5,1),Détail!$A:$A,"&lt;"&amp;EDATE(DATE(2026,5,1),1))</f>
        <v>0</v>
      </c>
    </row>
    <row r="274" customFormat="false" ht="15" hidden="false" customHeight="true" outlineLevel="0" collapsed="false">
      <c r="A274" s="8" t="s">
        <v>61</v>
      </c>
      <c r="B274" s="30" t="n">
        <f aca="false">SUMIFS(Détail!$E:$E,Détail!$D:$D,"CEVM NFC",Détail!$A:$A,"&gt;="&amp;DATE(2026,6,1),Détail!$A:$A,"&lt;"&amp;EDATE(DATE(2026,6,1),1))</f>
        <v>0</v>
      </c>
    </row>
    <row r="275" customFormat="false" ht="15" hidden="false" customHeight="true" outlineLevel="0" collapsed="false">
      <c r="A275" s="8" t="s">
        <v>62</v>
      </c>
      <c r="B275" s="30" t="n">
        <f aca="false">SUMIFS(Détail!$E:$E,Détail!$D:$D,"CEVM NFC",Détail!$A:$A,"&gt;="&amp;DATE(2026,7,1),Détail!$A:$A,"&lt;"&amp;EDATE(DATE(2026,7,1),1))</f>
        <v>0</v>
      </c>
    </row>
    <row r="278" customFormat="false" ht="15" hidden="false" customHeight="true" outlineLevel="0" collapsed="false">
      <c r="A278" s="28" t="s">
        <v>149</v>
      </c>
      <c r="B278" s="28"/>
      <c r="C278" s="29" t="n">
        <f aca="false">SUMIF(Détail!$D:$D,"SASU MAIDE",Détail!$E:$E)</f>
        <v>-10</v>
      </c>
    </row>
    <row r="279" customFormat="false" ht="15" hidden="false" customHeight="true" outlineLevel="0" collapsed="false">
      <c r="A279" s="23" t="s">
        <v>54</v>
      </c>
      <c r="B279" s="23" t="s">
        <v>55</v>
      </c>
    </row>
    <row r="280" customFormat="false" ht="15" hidden="false" customHeight="true" outlineLevel="0" collapsed="false">
      <c r="A280" s="8" t="s">
        <v>56</v>
      </c>
      <c r="B280" s="30" t="n">
        <f aca="false">SUMIFS(Détail!$E:$E,Détail!$D:$D,"SASU MAIDE",Détail!$A:$A,"&gt;="&amp;DATE(2026,1,1),Détail!$A:$A,"&lt;"&amp;EDATE(DATE(2026,1,1),1))</f>
        <v>-10</v>
      </c>
    </row>
    <row r="281" customFormat="false" ht="15" hidden="false" customHeight="true" outlineLevel="0" collapsed="false">
      <c r="A281" s="8" t="s">
        <v>57</v>
      </c>
      <c r="B281" s="30" t="n">
        <f aca="false">SUMIFS(Détail!$E:$E,Détail!$D:$D,"SASU MAIDE",Détail!$A:$A,"&gt;="&amp;DATE(2026,2,1),Détail!$A:$A,"&lt;"&amp;EDATE(DATE(2026,2,1),1))</f>
        <v>0</v>
      </c>
    </row>
    <row r="282" customFormat="false" ht="15" hidden="false" customHeight="true" outlineLevel="0" collapsed="false">
      <c r="A282" s="8" t="s">
        <v>58</v>
      </c>
      <c r="B282" s="30" t="n">
        <f aca="false">SUMIFS(Détail!$E:$E,Détail!$D:$D,"SASU MAIDE",Détail!$A:$A,"&gt;="&amp;DATE(2026,3,1),Détail!$A:$A,"&lt;"&amp;EDATE(DATE(2026,3,1),1))</f>
        <v>0</v>
      </c>
    </row>
    <row r="283" customFormat="false" ht="15" hidden="false" customHeight="true" outlineLevel="0" collapsed="false">
      <c r="A283" s="8" t="s">
        <v>59</v>
      </c>
      <c r="B283" s="30" t="n">
        <f aca="false">SUMIFS(Détail!$E:$E,Détail!$D:$D,"SASU MAIDE",Détail!$A:$A,"&gt;="&amp;DATE(2026,4,1),Détail!$A:$A,"&lt;"&amp;EDATE(DATE(2026,4,1),1))</f>
        <v>0</v>
      </c>
    </row>
    <row r="284" customFormat="false" ht="15" hidden="false" customHeight="true" outlineLevel="0" collapsed="false">
      <c r="A284" s="8" t="s">
        <v>60</v>
      </c>
      <c r="B284" s="30" t="n">
        <f aca="false">SUMIFS(Détail!$E:$E,Détail!$D:$D,"SASU MAIDE",Détail!$A:$A,"&gt;="&amp;DATE(2026,5,1),Détail!$A:$A,"&lt;"&amp;EDATE(DATE(2026,5,1),1))</f>
        <v>0</v>
      </c>
    </row>
    <row r="285" customFormat="false" ht="15" hidden="false" customHeight="true" outlineLevel="0" collapsed="false">
      <c r="A285" s="8" t="s">
        <v>61</v>
      </c>
      <c r="B285" s="30" t="n">
        <f aca="false">SUMIFS(Détail!$E:$E,Détail!$D:$D,"SASU MAIDE",Détail!$A:$A,"&gt;="&amp;DATE(2026,6,1),Détail!$A:$A,"&lt;"&amp;EDATE(DATE(2026,6,1),1))</f>
        <v>0</v>
      </c>
    </row>
    <row r="286" customFormat="false" ht="15" hidden="false" customHeight="true" outlineLevel="0" collapsed="false">
      <c r="A286" s="8" t="s">
        <v>62</v>
      </c>
      <c r="B286" s="30" t="n">
        <f aca="false">SUMIFS(Détail!$E:$E,Détail!$D:$D,"SASU MAIDE",Détail!$A:$A,"&gt;="&amp;DATE(2026,7,1),Détail!$A:$A,"&lt;"&amp;EDATE(DATE(2026,7,1),1))</f>
        <v>0</v>
      </c>
    </row>
    <row r="289" customFormat="false" ht="15" hidden="false" customHeight="true" outlineLevel="0" collapsed="false">
      <c r="A289" s="28" t="s">
        <v>150</v>
      </c>
      <c r="B289" s="28"/>
      <c r="C289" s="29" t="n">
        <f aca="false">SUMIF(Détail!$D:$D,"INSTITUT DU MON",Détail!$E:$E)</f>
        <v>-9</v>
      </c>
    </row>
    <row r="290" customFormat="false" ht="15" hidden="false" customHeight="true" outlineLevel="0" collapsed="false">
      <c r="A290" s="23" t="s">
        <v>54</v>
      </c>
      <c r="B290" s="23" t="s">
        <v>55</v>
      </c>
    </row>
    <row r="291" customFormat="false" ht="15" hidden="false" customHeight="true" outlineLevel="0" collapsed="false">
      <c r="A291" s="8" t="s">
        <v>56</v>
      </c>
      <c r="B291" s="30" t="n">
        <f aca="false">SUMIFS(Détail!$E:$E,Détail!$D:$D,"INSTITUT DU MON",Détail!$A:$A,"&gt;="&amp;DATE(2026,1,1),Détail!$A:$A,"&lt;"&amp;EDATE(DATE(2026,1,1),1))</f>
        <v>0</v>
      </c>
    </row>
    <row r="292" customFormat="false" ht="15" hidden="false" customHeight="true" outlineLevel="0" collapsed="false">
      <c r="A292" s="8" t="s">
        <v>57</v>
      </c>
      <c r="B292" s="30" t="n">
        <f aca="false">SUMIFS(Détail!$E:$E,Détail!$D:$D,"INSTITUT DU MON",Détail!$A:$A,"&gt;="&amp;DATE(2026,2,1),Détail!$A:$A,"&lt;"&amp;EDATE(DATE(2026,2,1),1))</f>
        <v>0</v>
      </c>
    </row>
    <row r="293" customFormat="false" ht="15" hidden="false" customHeight="true" outlineLevel="0" collapsed="false">
      <c r="A293" s="8" t="s">
        <v>58</v>
      </c>
      <c r="B293" s="30" t="n">
        <f aca="false">SUMIFS(Détail!$E:$E,Détail!$D:$D,"INSTITUT DU MON",Détail!$A:$A,"&gt;="&amp;DATE(2026,3,1),Détail!$A:$A,"&lt;"&amp;EDATE(DATE(2026,3,1),1))</f>
        <v>0</v>
      </c>
    </row>
    <row r="294" customFormat="false" ht="15" hidden="false" customHeight="true" outlineLevel="0" collapsed="false">
      <c r="A294" s="8" t="s">
        <v>59</v>
      </c>
      <c r="B294" s="30" t="n">
        <f aca="false">SUMIFS(Détail!$E:$E,Détail!$D:$D,"INSTITUT DU MON",Détail!$A:$A,"&gt;="&amp;DATE(2026,4,1),Détail!$A:$A,"&lt;"&amp;EDATE(DATE(2026,4,1),1))</f>
        <v>0</v>
      </c>
    </row>
    <row r="295" customFormat="false" ht="15" hidden="false" customHeight="true" outlineLevel="0" collapsed="false">
      <c r="A295" s="8" t="s">
        <v>60</v>
      </c>
      <c r="B295" s="30" t="n">
        <f aca="false">SUMIFS(Détail!$E:$E,Détail!$D:$D,"INSTITUT DU MON",Détail!$A:$A,"&gt;="&amp;DATE(2026,5,1),Détail!$A:$A,"&lt;"&amp;EDATE(DATE(2026,5,1),1))</f>
        <v>-9</v>
      </c>
    </row>
    <row r="296" customFormat="false" ht="15" hidden="false" customHeight="true" outlineLevel="0" collapsed="false">
      <c r="A296" s="8" t="s">
        <v>61</v>
      </c>
      <c r="B296" s="30" t="n">
        <f aca="false">SUMIFS(Détail!$E:$E,Détail!$D:$D,"INSTITUT DU MON",Détail!$A:$A,"&gt;="&amp;DATE(2026,6,1),Détail!$A:$A,"&lt;"&amp;EDATE(DATE(2026,6,1),1))</f>
        <v>0</v>
      </c>
    </row>
    <row r="297" customFormat="false" ht="15" hidden="false" customHeight="true" outlineLevel="0" collapsed="false">
      <c r="A297" s="8" t="s">
        <v>62</v>
      </c>
      <c r="B297" s="30" t="n">
        <f aca="false">SUMIFS(Détail!$E:$E,Détail!$D:$D,"INSTITUT DU MON",Détail!$A:$A,"&gt;="&amp;DATE(2026,7,1),Détail!$A:$A,"&lt;"&amp;EDATE(DATE(2026,7,1),1))</f>
        <v>0</v>
      </c>
    </row>
    <row r="300" customFormat="false" ht="15" hidden="false" customHeight="true" outlineLevel="0" collapsed="false">
      <c r="A300" s="28" t="s">
        <v>151</v>
      </c>
      <c r="B300" s="28"/>
      <c r="C300" s="29" t="n">
        <f aca="false">SUMIF(Détail!$D:$D,"ARDA",Détail!$E:$E)</f>
        <v>-8.5</v>
      </c>
    </row>
    <row r="301" customFormat="false" ht="15" hidden="false" customHeight="true" outlineLevel="0" collapsed="false">
      <c r="A301" s="23" t="s">
        <v>54</v>
      </c>
      <c r="B301" s="23" t="s">
        <v>55</v>
      </c>
    </row>
    <row r="302" customFormat="false" ht="15" hidden="false" customHeight="true" outlineLevel="0" collapsed="false">
      <c r="A302" s="8" t="s">
        <v>56</v>
      </c>
      <c r="B302" s="30" t="n">
        <f aca="false">SUMIFS(Détail!$E:$E,Détail!$D:$D,"ARDA",Détail!$A:$A,"&gt;="&amp;DATE(2026,1,1),Détail!$A:$A,"&lt;"&amp;EDATE(DATE(2026,1,1),1))</f>
        <v>0</v>
      </c>
    </row>
    <row r="303" customFormat="false" ht="15" hidden="false" customHeight="true" outlineLevel="0" collapsed="false">
      <c r="A303" s="8" t="s">
        <v>57</v>
      </c>
      <c r="B303" s="30" t="n">
        <f aca="false">SUMIFS(Détail!$E:$E,Détail!$D:$D,"ARDA",Détail!$A:$A,"&gt;="&amp;DATE(2026,2,1),Détail!$A:$A,"&lt;"&amp;EDATE(DATE(2026,2,1),1))</f>
        <v>0</v>
      </c>
    </row>
    <row r="304" customFormat="false" ht="15" hidden="false" customHeight="true" outlineLevel="0" collapsed="false">
      <c r="A304" s="8" t="s">
        <v>58</v>
      </c>
      <c r="B304" s="30" t="n">
        <f aca="false">SUMIFS(Détail!$E:$E,Détail!$D:$D,"ARDA",Détail!$A:$A,"&gt;="&amp;DATE(2026,3,1),Détail!$A:$A,"&lt;"&amp;EDATE(DATE(2026,3,1),1))</f>
        <v>0</v>
      </c>
    </row>
    <row r="305" customFormat="false" ht="15" hidden="false" customHeight="true" outlineLevel="0" collapsed="false">
      <c r="A305" s="8" t="s">
        <v>59</v>
      </c>
      <c r="B305" s="30" t="n">
        <f aca="false">SUMIFS(Détail!$E:$E,Détail!$D:$D,"ARDA",Détail!$A:$A,"&gt;="&amp;DATE(2026,4,1),Détail!$A:$A,"&lt;"&amp;EDATE(DATE(2026,4,1),1))</f>
        <v>0</v>
      </c>
    </row>
    <row r="306" customFormat="false" ht="15" hidden="false" customHeight="true" outlineLevel="0" collapsed="false">
      <c r="A306" s="8" t="s">
        <v>60</v>
      </c>
      <c r="B306" s="30" t="n">
        <f aca="false">SUMIFS(Détail!$E:$E,Détail!$D:$D,"ARDA",Détail!$A:$A,"&gt;="&amp;DATE(2026,5,1),Détail!$A:$A,"&lt;"&amp;EDATE(DATE(2026,5,1),1))</f>
        <v>0</v>
      </c>
    </row>
    <row r="307" customFormat="false" ht="15" hidden="false" customHeight="true" outlineLevel="0" collapsed="false">
      <c r="A307" s="8" t="s">
        <v>61</v>
      </c>
      <c r="B307" s="30" t="n">
        <f aca="false">SUMIFS(Détail!$E:$E,Détail!$D:$D,"ARDA",Détail!$A:$A,"&gt;="&amp;DATE(2026,6,1),Détail!$A:$A,"&lt;"&amp;EDATE(DATE(2026,6,1),1))</f>
        <v>-8.5</v>
      </c>
    </row>
    <row r="308" customFormat="false" ht="15" hidden="false" customHeight="true" outlineLevel="0" collapsed="false">
      <c r="A308" s="8" t="s">
        <v>62</v>
      </c>
      <c r="B308" s="30" t="n">
        <f aca="false">SUMIFS(Détail!$E:$E,Détail!$D:$D,"ARDA",Détail!$A:$A,"&gt;="&amp;DATE(2026,7,1),Détail!$A:$A,"&lt;"&amp;EDATE(DATE(2026,7,1),1))</f>
        <v>0</v>
      </c>
    </row>
    <row r="311" customFormat="false" ht="15" hidden="false" customHeight="true" outlineLevel="0" collapsed="false">
      <c r="A311" s="28" t="s">
        <v>152</v>
      </c>
      <c r="B311" s="28"/>
      <c r="C311" s="29" t="n">
        <f aca="false">SUMIF(Détail!$D:$D,"COMMANDE",Détail!$E:$E)</f>
        <v>-7.82</v>
      </c>
    </row>
    <row r="312" customFormat="false" ht="15" hidden="false" customHeight="true" outlineLevel="0" collapsed="false">
      <c r="A312" s="23" t="s">
        <v>54</v>
      </c>
      <c r="B312" s="23" t="s">
        <v>55</v>
      </c>
    </row>
    <row r="313" customFormat="false" ht="15" hidden="false" customHeight="true" outlineLevel="0" collapsed="false">
      <c r="A313" s="8" t="s">
        <v>56</v>
      </c>
      <c r="B313" s="30" t="n">
        <f aca="false">SUMIFS(Détail!$E:$E,Détail!$D:$D,"COMMANDE",Détail!$A:$A,"&gt;="&amp;DATE(2026,1,1),Détail!$A:$A,"&lt;"&amp;EDATE(DATE(2026,1,1),1))</f>
        <v>-3.2</v>
      </c>
    </row>
    <row r="314" customFormat="false" ht="15" hidden="false" customHeight="true" outlineLevel="0" collapsed="false">
      <c r="A314" s="8" t="s">
        <v>57</v>
      </c>
      <c r="B314" s="30" t="n">
        <f aca="false">SUMIFS(Détail!$E:$E,Détail!$D:$D,"COMMANDE",Détail!$A:$A,"&gt;="&amp;DATE(2026,2,1),Détail!$A:$A,"&lt;"&amp;EDATE(DATE(2026,2,1),1))</f>
        <v>0</v>
      </c>
    </row>
    <row r="315" customFormat="false" ht="15" hidden="false" customHeight="true" outlineLevel="0" collapsed="false">
      <c r="A315" s="8" t="s">
        <v>58</v>
      </c>
      <c r="B315" s="30" t="n">
        <f aca="false">SUMIFS(Détail!$E:$E,Détail!$D:$D,"COMMANDE",Détail!$A:$A,"&gt;="&amp;DATE(2026,3,1),Détail!$A:$A,"&lt;"&amp;EDATE(DATE(2026,3,1),1))</f>
        <v>0</v>
      </c>
    </row>
    <row r="316" customFormat="false" ht="15" hidden="false" customHeight="true" outlineLevel="0" collapsed="false">
      <c r="A316" s="8" t="s">
        <v>59</v>
      </c>
      <c r="B316" s="30" t="n">
        <f aca="false">SUMIFS(Détail!$E:$E,Détail!$D:$D,"COMMANDE",Détail!$A:$A,"&gt;="&amp;DATE(2026,4,1),Détail!$A:$A,"&lt;"&amp;EDATE(DATE(2026,4,1),1))</f>
        <v>-4.62</v>
      </c>
    </row>
    <row r="317" customFormat="false" ht="15" hidden="false" customHeight="true" outlineLevel="0" collapsed="false">
      <c r="A317" s="8" t="s">
        <v>60</v>
      </c>
      <c r="B317" s="30" t="n">
        <f aca="false">SUMIFS(Détail!$E:$E,Détail!$D:$D,"COMMANDE",Détail!$A:$A,"&gt;="&amp;DATE(2026,5,1),Détail!$A:$A,"&lt;"&amp;EDATE(DATE(2026,5,1),1))</f>
        <v>0</v>
      </c>
    </row>
    <row r="318" customFormat="false" ht="15" hidden="false" customHeight="true" outlineLevel="0" collapsed="false">
      <c r="A318" s="8" t="s">
        <v>61</v>
      </c>
      <c r="B318" s="30" t="n">
        <f aca="false">SUMIFS(Détail!$E:$E,Détail!$D:$D,"COMMANDE",Détail!$A:$A,"&gt;="&amp;DATE(2026,6,1),Détail!$A:$A,"&lt;"&amp;EDATE(DATE(2026,6,1),1))</f>
        <v>0</v>
      </c>
    </row>
    <row r="319" customFormat="false" ht="15" hidden="false" customHeight="true" outlineLevel="0" collapsed="false">
      <c r="A319" s="8" t="s">
        <v>62</v>
      </c>
      <c r="B319" s="30" t="n">
        <f aca="false">SUMIFS(Détail!$E:$E,Détail!$D:$D,"COMMANDE",Détail!$A:$A,"&gt;="&amp;DATE(2026,7,1),Détail!$A:$A,"&lt;"&amp;EDATE(DATE(2026,7,1),1))</f>
        <v>0</v>
      </c>
    </row>
    <row r="322" customFormat="false" ht="15" hidden="false" customHeight="true" outlineLevel="0" collapsed="false">
      <c r="A322" s="28" t="s">
        <v>153</v>
      </c>
      <c r="B322" s="28"/>
      <c r="C322" s="29" t="n">
        <f aca="false">SUMIF(Détail!$D:$D,"TREE SRL",Détail!$E:$E)</f>
        <v>-6</v>
      </c>
    </row>
    <row r="323" customFormat="false" ht="15" hidden="false" customHeight="true" outlineLevel="0" collapsed="false">
      <c r="A323" s="23" t="s">
        <v>54</v>
      </c>
      <c r="B323" s="23" t="s">
        <v>55</v>
      </c>
    </row>
    <row r="324" customFormat="false" ht="15" hidden="false" customHeight="true" outlineLevel="0" collapsed="false">
      <c r="A324" s="8" t="s">
        <v>56</v>
      </c>
      <c r="B324" s="30" t="n">
        <f aca="false">SUMIFS(Détail!$E:$E,Détail!$D:$D,"TREE SRL",Détail!$A:$A,"&gt;="&amp;DATE(2026,1,1),Détail!$A:$A,"&lt;"&amp;EDATE(DATE(2026,1,1),1))</f>
        <v>0</v>
      </c>
    </row>
    <row r="325" customFormat="false" ht="15" hidden="false" customHeight="true" outlineLevel="0" collapsed="false">
      <c r="A325" s="8" t="s">
        <v>57</v>
      </c>
      <c r="B325" s="30" t="n">
        <f aca="false">SUMIFS(Détail!$E:$E,Détail!$D:$D,"TREE SRL",Détail!$A:$A,"&gt;="&amp;DATE(2026,2,1),Détail!$A:$A,"&lt;"&amp;EDATE(DATE(2026,2,1),1))</f>
        <v>0</v>
      </c>
    </row>
    <row r="326" customFormat="false" ht="15" hidden="false" customHeight="true" outlineLevel="0" collapsed="false">
      <c r="A326" s="8" t="s">
        <v>58</v>
      </c>
      <c r="B326" s="30" t="n">
        <f aca="false">SUMIFS(Détail!$E:$E,Détail!$D:$D,"TREE SRL",Détail!$A:$A,"&gt;="&amp;DATE(2026,3,1),Détail!$A:$A,"&lt;"&amp;EDATE(DATE(2026,3,1),1))</f>
        <v>0</v>
      </c>
    </row>
    <row r="327" customFormat="false" ht="15" hidden="false" customHeight="true" outlineLevel="0" collapsed="false">
      <c r="A327" s="8" t="s">
        <v>59</v>
      </c>
      <c r="B327" s="30" t="n">
        <f aca="false">SUMIFS(Détail!$E:$E,Détail!$D:$D,"TREE SRL",Détail!$A:$A,"&gt;="&amp;DATE(2026,4,1),Détail!$A:$A,"&lt;"&amp;EDATE(DATE(2026,4,1),1))</f>
        <v>0</v>
      </c>
    </row>
    <row r="328" customFormat="false" ht="15" hidden="false" customHeight="true" outlineLevel="0" collapsed="false">
      <c r="A328" s="8" t="s">
        <v>60</v>
      </c>
      <c r="B328" s="30" t="n">
        <f aca="false">SUMIFS(Détail!$E:$E,Détail!$D:$D,"TREE SRL",Détail!$A:$A,"&gt;="&amp;DATE(2026,5,1),Détail!$A:$A,"&lt;"&amp;EDATE(DATE(2026,5,1),1))</f>
        <v>0</v>
      </c>
    </row>
    <row r="329" customFormat="false" ht="15" hidden="false" customHeight="true" outlineLevel="0" collapsed="false">
      <c r="A329" s="8" t="s">
        <v>61</v>
      </c>
      <c r="B329" s="30" t="n">
        <f aca="false">SUMIFS(Détail!$E:$E,Détail!$D:$D,"TREE SRL",Détail!$A:$A,"&gt;="&amp;DATE(2026,6,1),Détail!$A:$A,"&lt;"&amp;EDATE(DATE(2026,6,1),1))</f>
        <v>-6</v>
      </c>
    </row>
    <row r="330" customFormat="false" ht="15" hidden="false" customHeight="true" outlineLevel="0" collapsed="false">
      <c r="A330" s="8" t="s">
        <v>62</v>
      </c>
      <c r="B330" s="30" t="n">
        <f aca="false">SUMIFS(Détail!$E:$E,Détail!$D:$D,"TREE SRL",Détail!$A:$A,"&gt;="&amp;DATE(2026,7,1),Détail!$A:$A,"&lt;"&amp;EDATE(DATE(2026,7,1),1))</f>
        <v>0</v>
      </c>
    </row>
    <row r="333" customFormat="false" ht="15" hidden="false" customHeight="true" outlineLevel="0" collapsed="false">
      <c r="A333" s="28" t="s">
        <v>154</v>
      </c>
      <c r="B333" s="28"/>
      <c r="C333" s="29" t="n">
        <f aca="false">SUMIF(Détail!$D:$D,"MICO - CASSE",Détail!$E:$E)</f>
        <v>-5.9</v>
      </c>
    </row>
    <row r="334" customFormat="false" ht="15" hidden="false" customHeight="true" outlineLevel="0" collapsed="false">
      <c r="A334" s="23" t="s">
        <v>54</v>
      </c>
      <c r="B334" s="23" t="s">
        <v>55</v>
      </c>
    </row>
    <row r="335" customFormat="false" ht="15" hidden="false" customHeight="true" outlineLevel="0" collapsed="false">
      <c r="A335" s="8" t="s">
        <v>56</v>
      </c>
      <c r="B335" s="30" t="n">
        <f aca="false">SUMIFS(Détail!$E:$E,Détail!$D:$D,"MICO - CASSE",Détail!$A:$A,"&gt;="&amp;DATE(2026,1,1),Détail!$A:$A,"&lt;"&amp;EDATE(DATE(2026,1,1),1))</f>
        <v>0</v>
      </c>
    </row>
    <row r="336" customFormat="false" ht="15" hidden="false" customHeight="true" outlineLevel="0" collapsed="false">
      <c r="A336" s="8" t="s">
        <v>57</v>
      </c>
      <c r="B336" s="30" t="n">
        <f aca="false">SUMIFS(Détail!$E:$E,Détail!$D:$D,"MICO - CASSE",Détail!$A:$A,"&gt;="&amp;DATE(2026,2,1),Détail!$A:$A,"&lt;"&amp;EDATE(DATE(2026,2,1),1))</f>
        <v>0</v>
      </c>
    </row>
    <row r="337" customFormat="false" ht="15" hidden="false" customHeight="true" outlineLevel="0" collapsed="false">
      <c r="A337" s="8" t="s">
        <v>58</v>
      </c>
      <c r="B337" s="30" t="n">
        <f aca="false">SUMIFS(Détail!$E:$E,Détail!$D:$D,"MICO - CASSE",Détail!$A:$A,"&gt;="&amp;DATE(2026,3,1),Détail!$A:$A,"&lt;"&amp;EDATE(DATE(2026,3,1),1))</f>
        <v>0</v>
      </c>
    </row>
    <row r="338" customFormat="false" ht="15" hidden="false" customHeight="true" outlineLevel="0" collapsed="false">
      <c r="A338" s="8" t="s">
        <v>59</v>
      </c>
      <c r="B338" s="30" t="n">
        <f aca="false">SUMIFS(Détail!$E:$E,Détail!$D:$D,"MICO - CASSE",Détail!$A:$A,"&gt;="&amp;DATE(2026,4,1),Détail!$A:$A,"&lt;"&amp;EDATE(DATE(2026,4,1),1))</f>
        <v>0</v>
      </c>
    </row>
    <row r="339" customFormat="false" ht="15" hidden="false" customHeight="true" outlineLevel="0" collapsed="false">
      <c r="A339" s="8" t="s">
        <v>60</v>
      </c>
      <c r="B339" s="30" t="n">
        <f aca="false">SUMIFS(Détail!$E:$E,Détail!$D:$D,"MICO - CASSE",Détail!$A:$A,"&gt;="&amp;DATE(2026,5,1),Détail!$A:$A,"&lt;"&amp;EDATE(DATE(2026,5,1),1))</f>
        <v>0</v>
      </c>
    </row>
    <row r="340" customFormat="false" ht="15" hidden="false" customHeight="true" outlineLevel="0" collapsed="false">
      <c r="A340" s="8" t="s">
        <v>61</v>
      </c>
      <c r="B340" s="30" t="n">
        <f aca="false">SUMIFS(Détail!$E:$E,Détail!$D:$D,"MICO - CASSE",Détail!$A:$A,"&gt;="&amp;DATE(2026,6,1),Détail!$A:$A,"&lt;"&amp;EDATE(DATE(2026,6,1),1))</f>
        <v>-5.9</v>
      </c>
    </row>
    <row r="341" customFormat="false" ht="15" hidden="false" customHeight="true" outlineLevel="0" collapsed="false">
      <c r="A341" s="8" t="s">
        <v>62</v>
      </c>
      <c r="B341" s="30" t="n">
        <f aca="false">SUMIFS(Détail!$E:$E,Détail!$D:$D,"MICO - CASSE",Détail!$A:$A,"&gt;="&amp;DATE(2026,7,1),Détail!$A:$A,"&lt;"&amp;EDATE(DATE(2026,7,1),1))</f>
        <v>0</v>
      </c>
    </row>
    <row r="344" customFormat="false" ht="15" hidden="false" customHeight="true" outlineLevel="0" collapsed="false">
      <c r="A344" s="28" t="s">
        <v>155</v>
      </c>
      <c r="B344" s="28"/>
      <c r="C344" s="29" t="n">
        <f aca="false">SUMIF(Détail!$D:$D,"AP. PG GRACIA-M",Détail!$E:$E)</f>
        <v>-2.4</v>
      </c>
    </row>
    <row r="345" customFormat="false" ht="15" hidden="false" customHeight="true" outlineLevel="0" collapsed="false">
      <c r="A345" s="23" t="s">
        <v>54</v>
      </c>
      <c r="B345" s="23" t="s">
        <v>55</v>
      </c>
    </row>
    <row r="346" customFormat="false" ht="15" hidden="false" customHeight="true" outlineLevel="0" collapsed="false">
      <c r="A346" s="8" t="s">
        <v>56</v>
      </c>
      <c r="B346" s="30" t="n">
        <f aca="false">SUMIFS(Détail!$E:$E,Détail!$D:$D,"AP. PG GRACIA-M",Détail!$A:$A,"&gt;="&amp;DATE(2026,1,1),Détail!$A:$A,"&lt;"&amp;EDATE(DATE(2026,1,1),1))</f>
        <v>0</v>
      </c>
    </row>
    <row r="347" customFormat="false" ht="15" hidden="false" customHeight="true" outlineLevel="0" collapsed="false">
      <c r="A347" s="8" t="s">
        <v>57</v>
      </c>
      <c r="B347" s="30" t="n">
        <f aca="false">SUMIFS(Détail!$E:$E,Détail!$D:$D,"AP. PG GRACIA-M",Détail!$A:$A,"&gt;="&amp;DATE(2026,2,1),Détail!$A:$A,"&lt;"&amp;EDATE(DATE(2026,2,1),1))</f>
        <v>0</v>
      </c>
    </row>
    <row r="348" customFormat="false" ht="15" hidden="false" customHeight="true" outlineLevel="0" collapsed="false">
      <c r="A348" s="8" t="s">
        <v>58</v>
      </c>
      <c r="B348" s="30" t="n">
        <f aca="false">SUMIFS(Détail!$E:$E,Détail!$D:$D,"AP. PG GRACIA-M",Détail!$A:$A,"&gt;="&amp;DATE(2026,3,1),Détail!$A:$A,"&lt;"&amp;EDATE(DATE(2026,3,1),1))</f>
        <v>0</v>
      </c>
    </row>
    <row r="349" customFormat="false" ht="15" hidden="false" customHeight="true" outlineLevel="0" collapsed="false">
      <c r="A349" s="8" t="s">
        <v>59</v>
      </c>
      <c r="B349" s="30" t="n">
        <f aca="false">SUMIFS(Détail!$E:$E,Détail!$D:$D,"AP. PG GRACIA-M",Détail!$A:$A,"&gt;="&amp;DATE(2026,4,1),Détail!$A:$A,"&lt;"&amp;EDATE(DATE(2026,4,1),1))</f>
        <v>-2.4</v>
      </c>
    </row>
    <row r="350" customFormat="false" ht="15" hidden="false" customHeight="true" outlineLevel="0" collapsed="false">
      <c r="A350" s="8" t="s">
        <v>60</v>
      </c>
      <c r="B350" s="30" t="n">
        <f aca="false">SUMIFS(Détail!$E:$E,Détail!$D:$D,"AP. PG GRACIA-M",Détail!$A:$A,"&gt;="&amp;DATE(2026,5,1),Détail!$A:$A,"&lt;"&amp;EDATE(DATE(2026,5,1),1))</f>
        <v>0</v>
      </c>
    </row>
    <row r="351" customFormat="false" ht="15" hidden="false" customHeight="true" outlineLevel="0" collapsed="false">
      <c r="A351" s="8" t="s">
        <v>61</v>
      </c>
      <c r="B351" s="30" t="n">
        <f aca="false">SUMIFS(Détail!$E:$E,Détail!$D:$D,"AP. PG GRACIA-M",Détail!$A:$A,"&gt;="&amp;DATE(2026,6,1),Détail!$A:$A,"&lt;"&amp;EDATE(DATE(2026,6,1),1))</f>
        <v>0</v>
      </c>
    </row>
    <row r="352" customFormat="false" ht="15" hidden="false" customHeight="true" outlineLevel="0" collapsed="false">
      <c r="A352" s="8" t="s">
        <v>62</v>
      </c>
      <c r="B352" s="30" t="n">
        <f aca="false">SUMIFS(Détail!$E:$E,Détail!$D:$D,"AP. PG GRACIA-M",Détail!$A:$A,"&gt;="&amp;DATE(2026,7,1),Détail!$A:$A,"&lt;"&amp;EDATE(DATE(2026,7,1),1))</f>
        <v>0</v>
      </c>
    </row>
  </sheetData>
  <mergeCells count="32">
    <mergeCell ref="A3:B3"/>
    <mergeCell ref="A14:B14"/>
    <mergeCell ref="A25:B25"/>
    <mergeCell ref="A36:B36"/>
    <mergeCell ref="A47:B47"/>
    <mergeCell ref="A58:B58"/>
    <mergeCell ref="A69:B69"/>
    <mergeCell ref="A80:B80"/>
    <mergeCell ref="A91:B91"/>
    <mergeCell ref="A102:B102"/>
    <mergeCell ref="A113:B113"/>
    <mergeCell ref="A124:B124"/>
    <mergeCell ref="A135:B135"/>
    <mergeCell ref="A146:B146"/>
    <mergeCell ref="A157:B157"/>
    <mergeCell ref="A168:B168"/>
    <mergeCell ref="A179:B179"/>
    <mergeCell ref="A190:B190"/>
    <mergeCell ref="A201:B201"/>
    <mergeCell ref="A212:B212"/>
    <mergeCell ref="A223:B223"/>
    <mergeCell ref="A234:B234"/>
    <mergeCell ref="A245:B245"/>
    <mergeCell ref="A256:B256"/>
    <mergeCell ref="A267:B267"/>
    <mergeCell ref="A278:B278"/>
    <mergeCell ref="A289:B289"/>
    <mergeCell ref="A300:B300"/>
    <mergeCell ref="A311:B311"/>
    <mergeCell ref="A322:B322"/>
    <mergeCell ref="A333:B333"/>
    <mergeCell ref="A344:B3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156</v>
      </c>
    </row>
    <row r="3" customFormat="false" ht="15" hidden="false" customHeight="true" outlineLevel="0" collapsed="false">
      <c r="A3" s="28" t="s">
        <v>157</v>
      </c>
      <c r="B3" s="28"/>
      <c r="C3" s="29" t="n">
        <f aca="false">SUMIF(Détail!$D:$D,"TOTALENERGIES ELECTRICITE ET GAZ FRANCE",Détail!$E:$E)</f>
        <v>-5559.55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SUMIFS(Détail!$E:$E,Détail!$D:$D,"TOTALENERGIES ELECTRICITE ET GAZ FRANCE",Détail!$A:$A,"&gt;="&amp;DATE(2026,1,1),Détail!$A:$A,"&lt;"&amp;EDATE(DATE(2026,1,1),1))</f>
        <v>-174.83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SUMIFS(Détail!$E:$E,Détail!$D:$D,"TOTALENERGIES ELECTRICITE ET GAZ FRANCE",Détail!$A:$A,"&gt;="&amp;DATE(2026,2,1),Détail!$A:$A,"&lt;"&amp;EDATE(DATE(2026,2,1),1))</f>
        <v>-1320.6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SUMIFS(Détail!$E:$E,Détail!$D:$D,"TOTALENERGIES ELECTRICITE ET GAZ FRANCE",Détail!$A:$A,"&gt;="&amp;DATE(2026,3,1),Détail!$A:$A,"&lt;"&amp;EDATE(DATE(2026,3,1),1))</f>
        <v>-2009.4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SUMIFS(Détail!$E:$E,Détail!$D:$D,"TOTALENERGIES ELECTRICITE ET GAZ FRANCE",Détail!$A:$A,"&gt;="&amp;DATE(2026,4,1),Détail!$A:$A,"&lt;"&amp;EDATE(DATE(2026,4,1),1))</f>
        <v>-160.99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SUMIFS(Détail!$E:$E,Détail!$D:$D,"TOTALENERGIES ELECTRICITE ET GAZ FRANCE",Détail!$A:$A,"&gt;="&amp;DATE(2026,5,1),Détail!$A:$A,"&lt;"&amp;EDATE(DATE(2026,5,1),1))</f>
        <v>-921.54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SUMIFS(Détail!$E:$E,Détail!$D:$D,"TOTALENERGIES ELECTRICITE ET GAZ FRANCE",Détail!$A:$A,"&gt;="&amp;DATE(2026,6,1),Détail!$A:$A,"&lt;"&amp;EDATE(DATE(2026,6,1),1))</f>
        <v>-525.49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SUMIFS(Détail!$E:$E,Détail!$D:$D,"TOTALENERGIES ELECTRICITE ET GAZ FRANCE",Détail!$A:$A,"&gt;="&amp;DATE(2026,7,1),Détail!$A:$A,"&lt;"&amp;EDATE(DATE(2026,7,1),1))</f>
        <v>-446.7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158</v>
      </c>
    </row>
    <row r="3" customFormat="false" ht="15" hidden="false" customHeight="true" outlineLevel="0" collapsed="false">
      <c r="A3" s="28" t="s">
        <v>159</v>
      </c>
      <c r="B3" s="28"/>
      <c r="C3" s="29" t="n">
        <f aca="false">SUMIF(Détail!$D:$D,"CABINET SAS DARAN",Détail!$E:$E)</f>
        <v>-3024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SUMIFS(Détail!$E:$E,Détail!$D:$D,"CABINET SAS DARAN",Détail!$A:$A,"&gt;="&amp;DATE(2026,1,1),Détail!$A:$A,"&lt;"&amp;EDATE(DATE(2026,1,1),1))</f>
        <v>-504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SUMIFS(Détail!$E:$E,Détail!$D:$D,"CABINET SAS DARAN",Détail!$A:$A,"&gt;="&amp;DATE(2026,2,1),Détail!$A:$A,"&lt;"&amp;EDATE(DATE(2026,2,1),1))</f>
        <v>-504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SUMIFS(Détail!$E:$E,Détail!$D:$D,"CABINET SAS DARAN",Détail!$A:$A,"&gt;="&amp;DATE(2026,3,1),Détail!$A:$A,"&lt;"&amp;EDATE(DATE(2026,3,1),1))</f>
        <v>-504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SUMIFS(Détail!$E:$E,Détail!$D:$D,"CABINET SAS DARAN",Détail!$A:$A,"&gt;="&amp;DATE(2026,4,1),Détail!$A:$A,"&lt;"&amp;EDATE(DATE(2026,4,1),1))</f>
        <v>-504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SUMIFS(Détail!$E:$E,Détail!$D:$D,"CABINET SAS DARAN",Détail!$A:$A,"&gt;="&amp;DATE(2026,5,1),Détail!$A:$A,"&lt;"&amp;EDATE(DATE(2026,5,1),1))</f>
        <v>-504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SUMIFS(Détail!$E:$E,Détail!$D:$D,"CABINET SAS DARAN",Détail!$A:$A,"&gt;="&amp;DATE(2026,6,1),Détail!$A:$A,"&lt;"&amp;EDATE(DATE(2026,6,1),1))</f>
        <v>-504</v>
      </c>
    </row>
    <row r="13" customFormat="false" ht="15" hidden="false" customHeight="true" outlineLevel="0" collapsed="false">
      <c r="A13" s="28" t="s">
        <v>160</v>
      </c>
      <c r="B13" s="28"/>
      <c r="C13" s="29" t="n">
        <f aca="false">SUMIF(Détail!$D:$D,"EBP FRANCE-E B P INFORMATIQUE",Détail!$E:$E)</f>
        <v>-660</v>
      </c>
    </row>
    <row r="14" customFormat="false" ht="15" hidden="false" customHeight="true" outlineLevel="0" collapsed="false">
      <c r="A14" s="23" t="s">
        <v>54</v>
      </c>
      <c r="B14" s="23" t="s">
        <v>55</v>
      </c>
    </row>
    <row r="15" customFormat="false" ht="15" hidden="false" customHeight="true" outlineLevel="0" collapsed="false">
      <c r="A15" s="8" t="s">
        <v>56</v>
      </c>
      <c r="B15" s="30" t="n">
        <f aca="false">SUMIFS(Détail!$E:$E,Détail!$D:$D,"EBP FRANCE-E B P INFORMATIQUE",Détail!$A:$A,"&gt;="&amp;DATE(2026,1,1),Détail!$A:$A,"&lt;"&amp;EDATE(DATE(2026,1,1),1))</f>
        <v>0</v>
      </c>
    </row>
    <row r="16" customFormat="false" ht="15" hidden="false" customHeight="true" outlineLevel="0" collapsed="false">
      <c r="A16" s="8" t="s">
        <v>57</v>
      </c>
      <c r="B16" s="30" t="n">
        <f aca="false">SUMIFS(Détail!$E:$E,Détail!$D:$D,"EBP FRANCE-E B P INFORMATIQUE",Détail!$A:$A,"&gt;="&amp;DATE(2026,2,1),Détail!$A:$A,"&lt;"&amp;EDATE(DATE(2026,2,1),1))</f>
        <v>-660</v>
      </c>
    </row>
    <row r="17" customFormat="false" ht="15" hidden="false" customHeight="true" outlineLevel="0" collapsed="false">
      <c r="A17" s="8" t="s">
        <v>58</v>
      </c>
      <c r="B17" s="30" t="n">
        <f aca="false">SUMIFS(Détail!$E:$E,Détail!$D:$D,"EBP FRANCE-E B P INFORMATIQUE",Détail!$A:$A,"&gt;="&amp;DATE(2026,3,1),Détail!$A:$A,"&lt;"&amp;EDATE(DATE(2026,3,1),1))</f>
        <v>0</v>
      </c>
    </row>
    <row r="18" customFormat="false" ht="15" hidden="false" customHeight="true" outlineLevel="0" collapsed="false">
      <c r="A18" s="8" t="s">
        <v>59</v>
      </c>
      <c r="B18" s="30" t="n">
        <f aca="false">SUMIFS(Détail!$E:$E,Détail!$D:$D,"EBP FRANCE-E B P INFORMATIQUE",Détail!$A:$A,"&gt;="&amp;DATE(2026,4,1),Détail!$A:$A,"&lt;"&amp;EDATE(DATE(2026,4,1),1))</f>
        <v>0</v>
      </c>
    </row>
    <row r="19" customFormat="false" ht="15" hidden="false" customHeight="true" outlineLevel="0" collapsed="false">
      <c r="A19" s="8" t="s">
        <v>60</v>
      </c>
      <c r="B19" s="30" t="n">
        <f aca="false">SUMIFS(Détail!$E:$E,Détail!$D:$D,"EBP FRANCE-E B P INFORMATIQUE",Détail!$A:$A,"&gt;="&amp;DATE(2026,5,1),Détail!$A:$A,"&lt;"&amp;EDATE(DATE(2026,5,1),1))</f>
        <v>0</v>
      </c>
    </row>
    <row r="20" customFormat="false" ht="15" hidden="false" customHeight="true" outlineLevel="0" collapsed="false">
      <c r="A20" s="8" t="s">
        <v>61</v>
      </c>
      <c r="B20" s="30" t="n">
        <f aca="false">SUMIFS(Détail!$E:$E,Détail!$D:$D,"EBP FRANCE-E B P INFORMATIQUE",Détail!$A:$A,"&gt;="&amp;DATE(2026,6,1),Détail!$A:$A,"&lt;"&amp;EDATE(DATE(2026,6,1),1))</f>
        <v>0</v>
      </c>
    </row>
  </sheetData>
  <mergeCells count="2">
    <mergeCell ref="A3:B3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161</v>
      </c>
    </row>
    <row r="2" customFormat="false" ht="15" hidden="false" customHeight="true" outlineLevel="0" collapsed="false">
      <c r="A2" s="31" t="s">
        <v>162</v>
      </c>
    </row>
    <row r="4" customFormat="false" ht="15" hidden="false" customHeight="true" outlineLevel="0" collapsed="false">
      <c r="A4" s="28" t="s">
        <v>163</v>
      </c>
      <c r="B4" s="28"/>
      <c r="C4" s="29" t="n">
        <f aca="false">SUMIF(Détail!$C:$C,"INTERETS",Détail!$E:$E)</f>
        <v>-1274.97</v>
      </c>
    </row>
    <row r="5" customFormat="false" ht="15" hidden="false" customHeight="true" outlineLevel="0" collapsed="false">
      <c r="A5" s="23" t="s">
        <v>54</v>
      </c>
      <c r="B5" s="23" t="s">
        <v>55</v>
      </c>
    </row>
    <row r="6" customFormat="false" ht="15" hidden="false" customHeight="true" outlineLevel="0" collapsed="false">
      <c r="A6" s="8" t="s">
        <v>56</v>
      </c>
      <c r="B6" s="30" t="n">
        <f aca="false">SUMIFS(Détail!$E:$E,Détail!$C:$C,"INTERETS",Détail!$A:$A,"&gt;="&amp;DATE(2026,1,1),Détail!$A:$A,"&lt;"&amp;EDATE(DATE(2026,1,1),1))</f>
        <v>-519.86</v>
      </c>
    </row>
    <row r="7" customFormat="false" ht="15" hidden="false" customHeight="true" outlineLevel="0" collapsed="false">
      <c r="A7" s="8" t="s">
        <v>57</v>
      </c>
      <c r="B7" s="30" t="n">
        <f aca="false">SUMIFS(Détail!$E:$E,Détail!$C:$C,"INTERETS",Détail!$A:$A,"&gt;="&amp;DATE(2026,2,1),Détail!$A:$A,"&lt;"&amp;EDATE(DATE(2026,2,1),1))</f>
        <v>0</v>
      </c>
    </row>
    <row r="8" customFormat="false" ht="15" hidden="false" customHeight="true" outlineLevel="0" collapsed="false">
      <c r="A8" s="8" t="s">
        <v>58</v>
      </c>
      <c r="B8" s="30" t="n">
        <f aca="false">SUMIFS(Détail!$E:$E,Détail!$C:$C,"INTERETS",Détail!$A:$A,"&gt;="&amp;DATE(2026,3,1),Détail!$A:$A,"&lt;"&amp;EDATE(DATE(2026,3,1),1))</f>
        <v>0</v>
      </c>
    </row>
    <row r="9" customFormat="false" ht="15" hidden="false" customHeight="true" outlineLevel="0" collapsed="false">
      <c r="A9" s="8" t="s">
        <v>59</v>
      </c>
      <c r="B9" s="30" t="n">
        <f aca="false">SUMIFS(Détail!$E:$E,Détail!$C:$C,"INTERETS",Détail!$A:$A,"&gt;="&amp;DATE(2026,4,1),Détail!$A:$A,"&lt;"&amp;EDATE(DATE(2026,4,1),1))</f>
        <v>-246.8</v>
      </c>
    </row>
    <row r="10" customFormat="false" ht="15" hidden="false" customHeight="true" outlineLevel="0" collapsed="false">
      <c r="A10" s="8" t="s">
        <v>60</v>
      </c>
      <c r="B10" s="30" t="n">
        <f aca="false">SUMIFS(Détail!$E:$E,Détail!$C:$C,"INTERETS",Détail!$A:$A,"&gt;="&amp;DATE(2026,5,1),Détail!$A:$A,"&lt;"&amp;EDATE(DATE(2026,5,1),1))</f>
        <v>0</v>
      </c>
    </row>
    <row r="11" customFormat="false" ht="15" hidden="false" customHeight="true" outlineLevel="0" collapsed="false">
      <c r="A11" s="8" t="s">
        <v>61</v>
      </c>
      <c r="B11" s="30" t="n">
        <f aca="false">SUMIFS(Détail!$E:$E,Détail!$C:$C,"INTERETS",Détail!$A:$A,"&gt;="&amp;DATE(2026,6,1),Détail!$A:$A,"&lt;"&amp;EDATE(DATE(2026,6,1),1))</f>
        <v>0</v>
      </c>
    </row>
    <row r="12" customFormat="false" ht="15" hidden="false" customHeight="true" outlineLevel="0" collapsed="false">
      <c r="A12" s="8" t="s">
        <v>62</v>
      </c>
      <c r="B12" s="30" t="n">
        <f aca="false">SUMIFS(Détail!$E:$E,Détail!$C:$C,"INTERETS",Détail!$A:$A,"&gt;="&amp;DATE(2026,7,1),Détail!$A:$A,"&lt;"&amp;EDATE(DATE(2026,7,1),1))</f>
        <v>-508.31</v>
      </c>
    </row>
    <row r="15" customFormat="false" ht="15" hidden="false" customHeight="true" outlineLevel="0" collapsed="false">
      <c r="A15" s="28" t="s">
        <v>164</v>
      </c>
      <c r="B15" s="28"/>
      <c r="C15" s="29" t="n">
        <f aca="false">SUMIF(Détail!$C:$C,"FRAIS DE GESTION",Détail!$E:$E)</f>
        <v>-375.49</v>
      </c>
    </row>
    <row r="16" customFormat="false" ht="15" hidden="false" customHeight="true" outlineLevel="0" collapsed="false">
      <c r="A16" s="23" t="s">
        <v>54</v>
      </c>
      <c r="B16" s="23" t="s">
        <v>55</v>
      </c>
    </row>
    <row r="17" customFormat="false" ht="15" hidden="false" customHeight="true" outlineLevel="0" collapsed="false">
      <c r="A17" s="8" t="s">
        <v>56</v>
      </c>
      <c r="B17" s="30" t="n">
        <f aca="false">SUMIFS(Détail!$E:$E,Détail!$C:$C,"FRAIS DE GESTION",Détail!$A:$A,"&gt;="&amp;DATE(2026,1,1),Détail!$A:$A,"&lt;"&amp;EDATE(DATE(2026,1,1),1))</f>
        <v>0</v>
      </c>
    </row>
    <row r="18" customFormat="false" ht="15" hidden="false" customHeight="true" outlineLevel="0" collapsed="false">
      <c r="A18" s="8" t="s">
        <v>57</v>
      </c>
      <c r="B18" s="30" t="n">
        <f aca="false">SUMIFS(Détail!$E:$E,Détail!$C:$C,"FRAIS DE GESTION",Détail!$A:$A,"&gt;="&amp;DATE(2026,2,1),Détail!$A:$A,"&lt;"&amp;EDATE(DATE(2026,2,1),1))</f>
        <v>0</v>
      </c>
    </row>
    <row r="19" customFormat="false" ht="15" hidden="false" customHeight="true" outlineLevel="0" collapsed="false">
      <c r="A19" s="8" t="s">
        <v>58</v>
      </c>
      <c r="B19" s="30" t="n">
        <f aca="false">SUMIFS(Détail!$E:$E,Détail!$C:$C,"FRAIS DE GESTION",Détail!$A:$A,"&gt;="&amp;DATE(2026,3,1),Détail!$A:$A,"&lt;"&amp;EDATE(DATE(2026,3,1),1))</f>
        <v>-375.49</v>
      </c>
    </row>
    <row r="20" customFormat="false" ht="15" hidden="false" customHeight="true" outlineLevel="0" collapsed="false">
      <c r="A20" s="8" t="s">
        <v>59</v>
      </c>
      <c r="B20" s="30" t="n">
        <f aca="false">SUMIFS(Détail!$E:$E,Détail!$C:$C,"FRAIS DE GESTION",Détail!$A:$A,"&gt;="&amp;DATE(2026,4,1),Détail!$A:$A,"&lt;"&amp;EDATE(DATE(2026,4,1),1))</f>
        <v>0</v>
      </c>
    </row>
    <row r="21" customFormat="false" ht="15" hidden="false" customHeight="true" outlineLevel="0" collapsed="false">
      <c r="A21" s="8" t="s">
        <v>60</v>
      </c>
      <c r="B21" s="30" t="n">
        <f aca="false">SUMIFS(Détail!$E:$E,Détail!$C:$C,"FRAIS DE GESTION",Détail!$A:$A,"&gt;="&amp;DATE(2026,5,1),Détail!$A:$A,"&lt;"&amp;EDATE(DATE(2026,5,1),1))</f>
        <v>0</v>
      </c>
    </row>
    <row r="22" customFormat="false" ht="15" hidden="false" customHeight="true" outlineLevel="0" collapsed="false">
      <c r="A22" s="8" t="s">
        <v>61</v>
      </c>
      <c r="B22" s="30" t="n">
        <f aca="false">SUMIFS(Détail!$E:$E,Détail!$C:$C,"FRAIS DE GESTION",Détail!$A:$A,"&gt;="&amp;DATE(2026,6,1),Détail!$A:$A,"&lt;"&amp;EDATE(DATE(2026,6,1),1))</f>
        <v>0</v>
      </c>
    </row>
    <row r="23" customFormat="false" ht="15" hidden="false" customHeight="true" outlineLevel="0" collapsed="false">
      <c r="A23" s="8" t="s">
        <v>62</v>
      </c>
      <c r="B23" s="30" t="n">
        <f aca="false">SUMIFS(Détail!$E:$E,Détail!$C:$C,"FRAIS DE GESTION",Détail!$A:$A,"&gt;="&amp;DATE(2026,7,1),Détail!$A:$A,"&lt;"&amp;EDATE(DATE(2026,7,1),1))</f>
        <v>0</v>
      </c>
    </row>
    <row r="26" customFormat="false" ht="15" hidden="false" customHeight="true" outlineLevel="0" collapsed="false">
      <c r="A26" s="28" t="s">
        <v>165</v>
      </c>
      <c r="B26" s="28"/>
      <c r="C26" s="29" t="n">
        <f aca="false">SUMIF(Détail!$C:$C,"FRAIS BANQUE ETRANGERE",Détail!$E:$E)</f>
        <v>-374.4</v>
      </c>
    </row>
    <row r="27" customFormat="false" ht="15" hidden="false" customHeight="true" outlineLevel="0" collapsed="false">
      <c r="A27" s="23" t="s">
        <v>54</v>
      </c>
      <c r="B27" s="23" t="s">
        <v>55</v>
      </c>
    </row>
    <row r="28" customFormat="false" ht="15" hidden="false" customHeight="true" outlineLevel="0" collapsed="false">
      <c r="A28" s="8" t="s">
        <v>56</v>
      </c>
      <c r="B28" s="30" t="n">
        <f aca="false">SUMIFS(Détail!$E:$E,Détail!$C:$C,"FRAIS BANQUE ETRANGERE",Détail!$A:$A,"&gt;="&amp;DATE(2026,1,1),Détail!$A:$A,"&lt;"&amp;EDATE(DATE(2026,1,1),1))</f>
        <v>-57.6</v>
      </c>
    </row>
    <row r="29" customFormat="false" ht="15" hidden="false" customHeight="true" outlineLevel="0" collapsed="false">
      <c r="A29" s="8" t="s">
        <v>57</v>
      </c>
      <c r="B29" s="30" t="n">
        <f aca="false">SUMIFS(Détail!$E:$E,Détail!$C:$C,"FRAIS BANQUE ETRANGERE",Détail!$A:$A,"&gt;="&amp;DATE(2026,2,1),Détail!$A:$A,"&lt;"&amp;EDATE(DATE(2026,2,1),1))</f>
        <v>-57.6</v>
      </c>
    </row>
    <row r="30" customFormat="false" ht="15" hidden="false" customHeight="true" outlineLevel="0" collapsed="false">
      <c r="A30" s="8" t="s">
        <v>58</v>
      </c>
      <c r="B30" s="30" t="n">
        <f aca="false">SUMIFS(Détail!$E:$E,Détail!$C:$C,"FRAIS BANQUE ETRANGERE",Détail!$A:$A,"&gt;="&amp;DATE(2026,3,1),Détail!$A:$A,"&lt;"&amp;EDATE(DATE(2026,3,1),1))</f>
        <v>-144</v>
      </c>
    </row>
    <row r="31" customFormat="false" ht="15" hidden="false" customHeight="true" outlineLevel="0" collapsed="false">
      <c r="A31" s="8" t="s">
        <v>59</v>
      </c>
      <c r="B31" s="30" t="n">
        <f aca="false">SUMIFS(Détail!$E:$E,Détail!$C:$C,"FRAIS BANQUE ETRANGERE",Détail!$A:$A,"&gt;="&amp;DATE(2026,4,1),Détail!$A:$A,"&lt;"&amp;EDATE(DATE(2026,4,1),1))</f>
        <v>-57.6</v>
      </c>
    </row>
    <row r="32" customFormat="false" ht="15" hidden="false" customHeight="true" outlineLevel="0" collapsed="false">
      <c r="A32" s="8" t="s">
        <v>60</v>
      </c>
      <c r="B32" s="30" t="n">
        <f aca="false">SUMIFS(Détail!$E:$E,Détail!$C:$C,"FRAIS BANQUE ETRANGERE",Détail!$A:$A,"&gt;="&amp;DATE(2026,5,1),Détail!$A:$A,"&lt;"&amp;EDATE(DATE(2026,5,1),1))</f>
        <v>-28.8</v>
      </c>
    </row>
    <row r="33" customFormat="false" ht="15" hidden="false" customHeight="true" outlineLevel="0" collapsed="false">
      <c r="A33" s="8" t="s">
        <v>61</v>
      </c>
      <c r="B33" s="30" t="n">
        <f aca="false">SUMIFS(Détail!$E:$E,Détail!$C:$C,"FRAIS BANQUE ETRANGERE",Détail!$A:$A,"&gt;="&amp;DATE(2026,6,1),Détail!$A:$A,"&lt;"&amp;EDATE(DATE(2026,6,1),1))</f>
        <v>-28.8</v>
      </c>
    </row>
    <row r="34" customFormat="false" ht="15" hidden="false" customHeight="true" outlineLevel="0" collapsed="false">
      <c r="A34" s="8" t="s">
        <v>62</v>
      </c>
      <c r="B34" s="30" t="n">
        <f aca="false">SUMIFS(Détail!$E:$E,Détail!$C:$C,"FRAIS BANQUE ETRANGERE",Détail!$A:$A,"&gt;="&amp;DATE(2026,7,1),Détail!$A:$A,"&lt;"&amp;EDATE(DATE(2026,7,1),1))</f>
        <v>0</v>
      </c>
    </row>
    <row r="37" customFormat="false" ht="15" hidden="false" customHeight="true" outlineLevel="0" collapsed="false">
      <c r="A37" s="28" t="s">
        <v>166</v>
      </c>
      <c r="B37" s="28"/>
      <c r="C37" s="29" t="n">
        <f aca="false">SUMIF(Détail!$C:$C,"COTISATION",Détail!$E:$E)</f>
        <v>-296.1</v>
      </c>
    </row>
    <row r="38" customFormat="false" ht="15" hidden="false" customHeight="true" outlineLevel="0" collapsed="false">
      <c r="A38" s="23" t="s">
        <v>54</v>
      </c>
      <c r="B38" s="23" t="s">
        <v>55</v>
      </c>
    </row>
    <row r="39" customFormat="false" ht="15" hidden="false" customHeight="true" outlineLevel="0" collapsed="false">
      <c r="A39" s="8" t="s">
        <v>56</v>
      </c>
      <c r="B39" s="30" t="n">
        <f aca="false">SUMIFS(Détail!$E:$E,Détail!$C:$C,"COTISATION",Détail!$A:$A,"&gt;="&amp;DATE(2026,1,1),Détail!$A:$A,"&lt;"&amp;EDATE(DATE(2026,1,1),1))</f>
        <v>-49.35</v>
      </c>
    </row>
    <row r="40" customFormat="false" ht="15" hidden="false" customHeight="true" outlineLevel="0" collapsed="false">
      <c r="A40" s="8" t="s">
        <v>57</v>
      </c>
      <c r="B40" s="30" t="n">
        <f aca="false">SUMIFS(Détail!$E:$E,Détail!$C:$C,"COTISATION",Détail!$A:$A,"&gt;="&amp;DATE(2026,2,1),Détail!$A:$A,"&lt;"&amp;EDATE(DATE(2026,2,1),1))</f>
        <v>-49.35</v>
      </c>
    </row>
    <row r="41" customFormat="false" ht="15" hidden="false" customHeight="true" outlineLevel="0" collapsed="false">
      <c r="A41" s="8" t="s">
        <v>58</v>
      </c>
      <c r="B41" s="30" t="n">
        <f aca="false">SUMIFS(Détail!$E:$E,Détail!$C:$C,"COTISATION",Détail!$A:$A,"&gt;="&amp;DATE(2026,3,1),Détail!$A:$A,"&lt;"&amp;EDATE(DATE(2026,3,1),1))</f>
        <v>-49.35</v>
      </c>
    </row>
    <row r="42" customFormat="false" ht="15" hidden="false" customHeight="true" outlineLevel="0" collapsed="false">
      <c r="A42" s="8" t="s">
        <v>59</v>
      </c>
      <c r="B42" s="30" t="n">
        <f aca="false">SUMIFS(Détail!$E:$E,Détail!$C:$C,"COTISATION",Détail!$A:$A,"&gt;="&amp;DATE(2026,4,1),Détail!$A:$A,"&lt;"&amp;EDATE(DATE(2026,4,1),1))</f>
        <v>-49.35</v>
      </c>
    </row>
    <row r="43" customFormat="false" ht="15" hidden="false" customHeight="true" outlineLevel="0" collapsed="false">
      <c r="A43" s="8" t="s">
        <v>60</v>
      </c>
      <c r="B43" s="30" t="n">
        <f aca="false">SUMIFS(Détail!$E:$E,Détail!$C:$C,"COTISATION",Détail!$A:$A,"&gt;="&amp;DATE(2026,5,1),Détail!$A:$A,"&lt;"&amp;EDATE(DATE(2026,5,1),1))</f>
        <v>-49.35</v>
      </c>
    </row>
    <row r="44" customFormat="false" ht="15" hidden="false" customHeight="true" outlineLevel="0" collapsed="false">
      <c r="A44" s="8" t="s">
        <v>61</v>
      </c>
      <c r="B44" s="30" t="n">
        <f aca="false">SUMIFS(Détail!$E:$E,Détail!$C:$C,"COTISATION",Détail!$A:$A,"&gt;="&amp;DATE(2026,6,1),Détail!$A:$A,"&lt;"&amp;EDATE(DATE(2026,6,1),1))</f>
        <v>-49.35</v>
      </c>
    </row>
    <row r="45" customFormat="false" ht="15" hidden="false" customHeight="true" outlineLevel="0" collapsed="false">
      <c r="A45" s="8" t="s">
        <v>62</v>
      </c>
      <c r="B45" s="30" t="n">
        <f aca="false">SUMIFS(Détail!$E:$E,Détail!$C:$C,"COTISATION",Détail!$A:$A,"&gt;="&amp;DATE(2026,7,1),Détail!$A:$A,"&lt;"&amp;EDATE(DATE(2026,7,1),1))</f>
        <v>0</v>
      </c>
    </row>
    <row r="48" customFormat="false" ht="15" hidden="false" customHeight="true" outlineLevel="0" collapsed="false">
      <c r="A48" s="28" t="s">
        <v>167</v>
      </c>
      <c r="B48" s="28"/>
      <c r="C48" s="29" t="n">
        <f aca="false">SUMIF(Détail!$C:$C,"FRAIS DE CHANGE",Détail!$E:$E)</f>
        <v>-230</v>
      </c>
    </row>
    <row r="49" customFormat="false" ht="15" hidden="false" customHeight="true" outlineLevel="0" collapsed="false">
      <c r="A49" s="23" t="s">
        <v>54</v>
      </c>
      <c r="B49" s="23" t="s">
        <v>55</v>
      </c>
    </row>
    <row r="50" customFormat="false" ht="15" hidden="false" customHeight="true" outlineLevel="0" collapsed="false">
      <c r="A50" s="8" t="s">
        <v>56</v>
      </c>
      <c r="B50" s="30" t="n">
        <f aca="false">SUMIFS(Détail!$E:$E,Détail!$C:$C,"FRAIS DE CHANGE",Détail!$A:$A,"&gt;="&amp;DATE(2026,1,1),Détail!$A:$A,"&lt;"&amp;EDATE(DATE(2026,1,1),1))</f>
        <v>-38.5</v>
      </c>
    </row>
    <row r="51" customFormat="false" ht="15" hidden="false" customHeight="true" outlineLevel="0" collapsed="false">
      <c r="A51" s="8" t="s">
        <v>57</v>
      </c>
      <c r="B51" s="30" t="n">
        <f aca="false">SUMIFS(Détail!$E:$E,Détail!$C:$C,"FRAIS DE CHANGE",Détail!$A:$A,"&gt;="&amp;DATE(2026,2,1),Détail!$A:$A,"&lt;"&amp;EDATE(DATE(2026,2,1),1))</f>
        <v>-38.5</v>
      </c>
    </row>
    <row r="52" customFormat="false" ht="15" hidden="false" customHeight="true" outlineLevel="0" collapsed="false">
      <c r="A52" s="8" t="s">
        <v>58</v>
      </c>
      <c r="B52" s="30" t="n">
        <f aca="false">SUMIFS(Détail!$E:$E,Détail!$C:$C,"FRAIS DE CHANGE",Détail!$A:$A,"&gt;="&amp;DATE(2026,3,1),Détail!$A:$A,"&lt;"&amp;EDATE(DATE(2026,3,1),1))</f>
        <v>-85</v>
      </c>
    </row>
    <row r="53" customFormat="false" ht="15" hidden="false" customHeight="true" outlineLevel="0" collapsed="false">
      <c r="A53" s="8" t="s">
        <v>59</v>
      </c>
      <c r="B53" s="30" t="n">
        <f aca="false">SUMIFS(Détail!$E:$E,Détail!$C:$C,"FRAIS DE CHANGE",Détail!$A:$A,"&gt;="&amp;DATE(2026,4,1),Détail!$A:$A,"&lt;"&amp;EDATE(DATE(2026,4,1),1))</f>
        <v>-34</v>
      </c>
    </row>
    <row r="54" customFormat="false" ht="15" hidden="false" customHeight="true" outlineLevel="0" collapsed="false">
      <c r="A54" s="8" t="s">
        <v>60</v>
      </c>
      <c r="B54" s="30" t="n">
        <f aca="false">SUMIFS(Détail!$E:$E,Détail!$C:$C,"FRAIS DE CHANGE",Détail!$A:$A,"&gt;="&amp;DATE(2026,5,1),Détail!$A:$A,"&lt;"&amp;EDATE(DATE(2026,5,1),1))</f>
        <v>-17</v>
      </c>
    </row>
    <row r="55" customFormat="false" ht="15" hidden="false" customHeight="true" outlineLevel="0" collapsed="false">
      <c r="A55" s="8" t="s">
        <v>61</v>
      </c>
      <c r="B55" s="30" t="n">
        <f aca="false">SUMIFS(Détail!$E:$E,Détail!$C:$C,"FRAIS DE CHANGE",Détail!$A:$A,"&gt;="&amp;DATE(2026,6,1),Détail!$A:$A,"&lt;"&amp;EDATE(DATE(2026,6,1),1))</f>
        <v>-17</v>
      </c>
    </row>
    <row r="56" customFormat="false" ht="15" hidden="false" customHeight="true" outlineLevel="0" collapsed="false">
      <c r="A56" s="8" t="s">
        <v>62</v>
      </c>
      <c r="B56" s="30" t="n">
        <f aca="false">SUMIFS(Détail!$E:$E,Détail!$C:$C,"FRAIS DE CHANGE",Détail!$A:$A,"&gt;="&amp;DATE(2026,7,1),Détail!$A:$A,"&lt;"&amp;EDATE(DATE(2026,7,1),1))</f>
        <v>0</v>
      </c>
    </row>
    <row r="59" customFormat="false" ht="15" hidden="false" customHeight="true" outlineLevel="0" collapsed="false">
      <c r="A59" s="28" t="s">
        <v>168</v>
      </c>
      <c r="B59" s="28"/>
      <c r="C59" s="29" t="n">
        <f aca="false">SUMIF(Détail!$C:$C,"FRAIS VIREMENT INTERNATIONAL",Détail!$E:$E)</f>
        <v>-214.8</v>
      </c>
    </row>
    <row r="60" customFormat="false" ht="15" hidden="false" customHeight="true" outlineLevel="0" collapsed="false">
      <c r="A60" s="23" t="s">
        <v>54</v>
      </c>
      <c r="B60" s="23" t="s">
        <v>55</v>
      </c>
    </row>
    <row r="61" customFormat="false" ht="15" hidden="false" customHeight="true" outlineLevel="0" collapsed="false">
      <c r="A61" s="8" t="s">
        <v>56</v>
      </c>
      <c r="B61" s="30" t="n">
        <f aca="false">SUMIFS(Détail!$E:$E,Détail!$C:$C,"FRAIS VIREMENT INTERNATIONAL",Détail!$A:$A,"&gt;="&amp;DATE(2026,1,1),Détail!$A:$A,"&lt;"&amp;EDATE(DATE(2026,1,1),1))</f>
        <v>-37.2</v>
      </c>
    </row>
    <row r="62" customFormat="false" ht="15" hidden="false" customHeight="true" outlineLevel="0" collapsed="false">
      <c r="A62" s="8" t="s">
        <v>57</v>
      </c>
      <c r="B62" s="30" t="n">
        <f aca="false">SUMIFS(Détail!$E:$E,Détail!$C:$C,"FRAIS VIREMENT INTERNATIONAL",Détail!$A:$A,"&gt;="&amp;DATE(2026,2,1),Détail!$A:$A,"&lt;"&amp;EDATE(DATE(2026,2,1),1))</f>
        <v>-37.2</v>
      </c>
    </row>
    <row r="63" customFormat="false" ht="15" hidden="false" customHeight="true" outlineLevel="0" collapsed="false">
      <c r="A63" s="8" t="s">
        <v>58</v>
      </c>
      <c r="B63" s="30" t="n">
        <f aca="false">SUMIFS(Détail!$E:$E,Détail!$C:$C,"FRAIS VIREMENT INTERNATIONAL",Détail!$A:$A,"&gt;="&amp;DATE(2026,3,1),Détail!$A:$A,"&lt;"&amp;EDATE(DATE(2026,3,1),1))</f>
        <v>-78</v>
      </c>
    </row>
    <row r="64" customFormat="false" ht="15" hidden="false" customHeight="true" outlineLevel="0" collapsed="false">
      <c r="A64" s="8" t="s">
        <v>59</v>
      </c>
      <c r="B64" s="30" t="n">
        <f aca="false">SUMIFS(Détail!$E:$E,Détail!$C:$C,"FRAIS VIREMENT INTERNATIONAL",Détail!$A:$A,"&gt;="&amp;DATE(2026,4,1),Détail!$A:$A,"&lt;"&amp;EDATE(DATE(2026,4,1),1))</f>
        <v>-31.2</v>
      </c>
    </row>
    <row r="65" customFormat="false" ht="15" hidden="false" customHeight="true" outlineLevel="0" collapsed="false">
      <c r="A65" s="8" t="s">
        <v>60</v>
      </c>
      <c r="B65" s="30" t="n">
        <f aca="false">SUMIFS(Détail!$E:$E,Détail!$C:$C,"FRAIS VIREMENT INTERNATIONAL",Détail!$A:$A,"&gt;="&amp;DATE(2026,5,1),Détail!$A:$A,"&lt;"&amp;EDATE(DATE(2026,5,1),1))</f>
        <v>-15.6</v>
      </c>
    </row>
    <row r="66" customFormat="false" ht="15" hidden="false" customHeight="true" outlineLevel="0" collapsed="false">
      <c r="A66" s="8" t="s">
        <v>61</v>
      </c>
      <c r="B66" s="30" t="n">
        <f aca="false">SUMIFS(Détail!$E:$E,Détail!$C:$C,"FRAIS VIREMENT INTERNATIONAL",Détail!$A:$A,"&gt;="&amp;DATE(2026,6,1),Détail!$A:$A,"&lt;"&amp;EDATE(DATE(2026,6,1),1))</f>
        <v>-15.6</v>
      </c>
    </row>
    <row r="67" customFormat="false" ht="15" hidden="false" customHeight="true" outlineLevel="0" collapsed="false">
      <c r="A67" s="8" t="s">
        <v>62</v>
      </c>
      <c r="B67" s="30" t="n">
        <f aca="false">SUMIFS(Détail!$E:$E,Détail!$C:$C,"FRAIS VIREMENT INTERNATIONAL",Détail!$A:$A,"&gt;="&amp;DATE(2026,7,1),Détail!$A:$A,"&lt;"&amp;EDATE(DATE(2026,7,1),1))</f>
        <v>0</v>
      </c>
    </row>
    <row r="70" customFormat="false" ht="15" hidden="false" customHeight="true" outlineLevel="0" collapsed="false">
      <c r="A70" s="28" t="s">
        <v>169</v>
      </c>
      <c r="B70" s="28"/>
      <c r="C70" s="29" t="n">
        <f aca="false">SUMIF(Détail!$C:$C,"FONDS DE GARANTIE",Détail!$E:$E)</f>
        <v>-187.74</v>
      </c>
    </row>
    <row r="71" customFormat="false" ht="15" hidden="false" customHeight="true" outlineLevel="0" collapsed="false">
      <c r="A71" s="23" t="s">
        <v>54</v>
      </c>
      <c r="B71" s="23" t="s">
        <v>55</v>
      </c>
    </row>
    <row r="72" customFormat="false" ht="15" hidden="false" customHeight="true" outlineLevel="0" collapsed="false">
      <c r="A72" s="8" t="s">
        <v>56</v>
      </c>
      <c r="B72" s="30" t="n">
        <f aca="false">SUMIFS(Détail!$E:$E,Détail!$C:$C,"FONDS DE GARANTIE",Détail!$A:$A,"&gt;="&amp;DATE(2026,1,1),Détail!$A:$A,"&lt;"&amp;EDATE(DATE(2026,1,1),1))</f>
        <v>0</v>
      </c>
    </row>
    <row r="73" customFormat="false" ht="15" hidden="false" customHeight="true" outlineLevel="0" collapsed="false">
      <c r="A73" s="8" t="s">
        <v>57</v>
      </c>
      <c r="B73" s="30" t="n">
        <f aca="false">SUMIFS(Détail!$E:$E,Détail!$C:$C,"FONDS DE GARANTIE",Détail!$A:$A,"&gt;="&amp;DATE(2026,2,1),Détail!$A:$A,"&lt;"&amp;EDATE(DATE(2026,2,1),1))</f>
        <v>0</v>
      </c>
    </row>
    <row r="74" customFormat="false" ht="15" hidden="false" customHeight="true" outlineLevel="0" collapsed="false">
      <c r="A74" s="8" t="s">
        <v>58</v>
      </c>
      <c r="B74" s="30" t="n">
        <f aca="false">SUMIFS(Détail!$E:$E,Détail!$C:$C,"FONDS DE GARANTIE",Détail!$A:$A,"&gt;="&amp;DATE(2026,3,1),Détail!$A:$A,"&lt;"&amp;EDATE(DATE(2026,3,1),1))</f>
        <v>-187.74</v>
      </c>
    </row>
    <row r="75" customFormat="false" ht="15" hidden="false" customHeight="true" outlineLevel="0" collapsed="false">
      <c r="A75" s="8" t="s">
        <v>59</v>
      </c>
      <c r="B75" s="30" t="n">
        <f aca="false">SUMIFS(Détail!$E:$E,Détail!$C:$C,"FONDS DE GARANTIE",Détail!$A:$A,"&gt;="&amp;DATE(2026,4,1),Détail!$A:$A,"&lt;"&amp;EDATE(DATE(2026,4,1),1))</f>
        <v>0</v>
      </c>
    </row>
    <row r="76" customFormat="false" ht="15" hidden="false" customHeight="true" outlineLevel="0" collapsed="false">
      <c r="A76" s="8" t="s">
        <v>60</v>
      </c>
      <c r="B76" s="30" t="n">
        <f aca="false">SUMIFS(Détail!$E:$E,Détail!$C:$C,"FONDS DE GARANTIE",Détail!$A:$A,"&gt;="&amp;DATE(2026,5,1),Détail!$A:$A,"&lt;"&amp;EDATE(DATE(2026,5,1),1))</f>
        <v>0</v>
      </c>
    </row>
    <row r="77" customFormat="false" ht="15" hidden="false" customHeight="true" outlineLevel="0" collapsed="false">
      <c r="A77" s="8" t="s">
        <v>61</v>
      </c>
      <c r="B77" s="30" t="n">
        <f aca="false">SUMIFS(Détail!$E:$E,Détail!$C:$C,"FONDS DE GARANTIE",Détail!$A:$A,"&gt;="&amp;DATE(2026,6,1),Détail!$A:$A,"&lt;"&amp;EDATE(DATE(2026,6,1),1))</f>
        <v>0</v>
      </c>
    </row>
    <row r="78" customFormat="false" ht="15" hidden="false" customHeight="true" outlineLevel="0" collapsed="false">
      <c r="A78" s="8" t="s">
        <v>62</v>
      </c>
      <c r="B78" s="30" t="n">
        <f aca="false">SUMIFS(Détail!$E:$E,Détail!$C:$C,"FONDS DE GARANTIE",Détail!$A:$A,"&gt;="&amp;DATE(2026,7,1),Détail!$A:$A,"&lt;"&amp;EDATE(DATE(2026,7,1),1))</f>
        <v>0</v>
      </c>
    </row>
    <row r="81" customFormat="false" ht="15" hidden="false" customHeight="true" outlineLevel="0" collapsed="false">
      <c r="A81" s="28" t="s">
        <v>170</v>
      </c>
      <c r="B81" s="28"/>
      <c r="C81" s="29" t="n">
        <f aca="false">SUMIF(Détail!$C:$C,"FRAIS CONCOURS",Détail!$E:$E)</f>
        <v>-187.74</v>
      </c>
    </row>
    <row r="82" customFormat="false" ht="15" hidden="false" customHeight="true" outlineLevel="0" collapsed="false">
      <c r="A82" s="23" t="s">
        <v>54</v>
      </c>
      <c r="B82" s="23" t="s">
        <v>55</v>
      </c>
    </row>
    <row r="83" customFormat="false" ht="15" hidden="false" customHeight="true" outlineLevel="0" collapsed="false">
      <c r="A83" s="8" t="s">
        <v>56</v>
      </c>
      <c r="B83" s="30" t="n">
        <f aca="false">SUMIFS(Détail!$E:$E,Détail!$C:$C,"FRAIS CONCOURS",Détail!$A:$A,"&gt;="&amp;DATE(2026,1,1),Détail!$A:$A,"&lt;"&amp;EDATE(DATE(2026,1,1),1))</f>
        <v>0</v>
      </c>
    </row>
    <row r="84" customFormat="false" ht="15" hidden="false" customHeight="true" outlineLevel="0" collapsed="false">
      <c r="A84" s="8" t="s">
        <v>57</v>
      </c>
      <c r="B84" s="30" t="n">
        <f aca="false">SUMIFS(Détail!$E:$E,Détail!$C:$C,"FRAIS CONCOURS",Détail!$A:$A,"&gt;="&amp;DATE(2026,2,1),Détail!$A:$A,"&lt;"&amp;EDATE(DATE(2026,2,1),1))</f>
        <v>0</v>
      </c>
    </row>
    <row r="85" customFormat="false" ht="15" hidden="false" customHeight="true" outlineLevel="0" collapsed="false">
      <c r="A85" s="8" t="s">
        <v>58</v>
      </c>
      <c r="B85" s="30" t="n">
        <f aca="false">SUMIFS(Détail!$E:$E,Détail!$C:$C,"FRAIS CONCOURS",Détail!$A:$A,"&gt;="&amp;DATE(2026,3,1),Détail!$A:$A,"&lt;"&amp;EDATE(DATE(2026,3,1),1))</f>
        <v>-187.74</v>
      </c>
    </row>
    <row r="86" customFormat="false" ht="15" hidden="false" customHeight="true" outlineLevel="0" collapsed="false">
      <c r="A86" s="8" t="s">
        <v>59</v>
      </c>
      <c r="B86" s="30" t="n">
        <f aca="false">SUMIFS(Détail!$E:$E,Détail!$C:$C,"FRAIS CONCOURS",Détail!$A:$A,"&gt;="&amp;DATE(2026,4,1),Détail!$A:$A,"&lt;"&amp;EDATE(DATE(2026,4,1),1))</f>
        <v>0</v>
      </c>
    </row>
    <row r="87" customFormat="false" ht="15" hidden="false" customHeight="true" outlineLevel="0" collapsed="false">
      <c r="A87" s="8" t="s">
        <v>60</v>
      </c>
      <c r="B87" s="30" t="n">
        <f aca="false">SUMIFS(Détail!$E:$E,Détail!$C:$C,"FRAIS CONCOURS",Détail!$A:$A,"&gt;="&amp;DATE(2026,5,1),Détail!$A:$A,"&lt;"&amp;EDATE(DATE(2026,5,1),1))</f>
        <v>0</v>
      </c>
    </row>
    <row r="88" customFormat="false" ht="15" hidden="false" customHeight="true" outlineLevel="0" collapsed="false">
      <c r="A88" s="8" t="s">
        <v>61</v>
      </c>
      <c r="B88" s="30" t="n">
        <f aca="false">SUMIFS(Détail!$E:$E,Détail!$C:$C,"FRAIS CONCOURS",Détail!$A:$A,"&gt;="&amp;DATE(2026,6,1),Détail!$A:$A,"&lt;"&amp;EDATE(DATE(2026,6,1),1))</f>
        <v>0</v>
      </c>
    </row>
    <row r="89" customFormat="false" ht="15" hidden="false" customHeight="true" outlineLevel="0" collapsed="false">
      <c r="A89" s="8" t="s">
        <v>62</v>
      </c>
      <c r="B89" s="30" t="n">
        <f aca="false">SUMIFS(Détail!$E:$E,Détail!$C:$C,"FRAIS CONCOURS",Détail!$A:$A,"&gt;="&amp;DATE(2026,7,1),Détail!$A:$A,"&lt;"&amp;EDATE(DATE(2026,7,1),1))</f>
        <v>0</v>
      </c>
    </row>
    <row r="92" customFormat="false" ht="15" hidden="false" customHeight="true" outlineLevel="0" collapsed="false">
      <c r="A92" s="28" t="s">
        <v>171</v>
      </c>
      <c r="B92" s="28"/>
      <c r="C92" s="29" t="n">
        <f aca="false">SUMIF(Détail!$C:$C,"FRAIS TENUE DE COMPTE",Détail!$E:$E)</f>
        <v>-148.8</v>
      </c>
    </row>
    <row r="93" customFormat="false" ht="15" hidden="false" customHeight="true" outlineLevel="0" collapsed="false">
      <c r="A93" s="23" t="s">
        <v>54</v>
      </c>
      <c r="B93" s="23" t="s">
        <v>55</v>
      </c>
    </row>
    <row r="94" customFormat="false" ht="15" hidden="false" customHeight="true" outlineLevel="0" collapsed="false">
      <c r="A94" s="8" t="s">
        <v>56</v>
      </c>
      <c r="B94" s="30" t="n">
        <f aca="false">SUMIFS(Détail!$E:$E,Détail!$C:$C,"FRAIS TENUE DE COMPTE",Détail!$A:$A,"&gt;="&amp;DATE(2026,1,1),Détail!$A:$A,"&lt;"&amp;EDATE(DATE(2026,1,1),1))</f>
        <v>0</v>
      </c>
    </row>
    <row r="95" customFormat="false" ht="15" hidden="false" customHeight="true" outlineLevel="0" collapsed="false">
      <c r="A95" s="8" t="s">
        <v>57</v>
      </c>
      <c r="B95" s="30" t="n">
        <f aca="false">SUMIFS(Détail!$E:$E,Détail!$C:$C,"FRAIS TENUE DE COMPTE",Détail!$A:$A,"&gt;="&amp;DATE(2026,2,1),Détail!$A:$A,"&lt;"&amp;EDATE(DATE(2026,2,1),1))</f>
        <v>0</v>
      </c>
    </row>
    <row r="96" customFormat="false" ht="15" hidden="false" customHeight="true" outlineLevel="0" collapsed="false">
      <c r="A96" s="8" t="s">
        <v>58</v>
      </c>
      <c r="B96" s="30" t="n">
        <f aca="false">SUMIFS(Détail!$E:$E,Détail!$C:$C,"FRAIS TENUE DE COMPTE",Détail!$A:$A,"&gt;="&amp;DATE(2026,3,1),Détail!$A:$A,"&lt;"&amp;EDATE(DATE(2026,3,1),1))</f>
        <v>-74.4</v>
      </c>
    </row>
    <row r="97" customFormat="false" ht="15" hidden="false" customHeight="true" outlineLevel="0" collapsed="false">
      <c r="A97" s="8" t="s">
        <v>59</v>
      </c>
      <c r="B97" s="30" t="n">
        <f aca="false">SUMIFS(Détail!$E:$E,Détail!$C:$C,"FRAIS TENUE DE COMPTE",Détail!$A:$A,"&gt;="&amp;DATE(2026,4,1),Détail!$A:$A,"&lt;"&amp;EDATE(DATE(2026,4,1),1))</f>
        <v>0</v>
      </c>
    </row>
    <row r="98" customFormat="false" ht="15" hidden="false" customHeight="true" outlineLevel="0" collapsed="false">
      <c r="A98" s="8" t="s">
        <v>60</v>
      </c>
      <c r="B98" s="30" t="n">
        <f aca="false">SUMIFS(Détail!$E:$E,Détail!$C:$C,"FRAIS TENUE DE COMPTE",Détail!$A:$A,"&gt;="&amp;DATE(2026,5,1),Détail!$A:$A,"&lt;"&amp;EDATE(DATE(2026,5,1),1))</f>
        <v>0</v>
      </c>
    </row>
    <row r="99" customFormat="false" ht="15" hidden="false" customHeight="true" outlineLevel="0" collapsed="false">
      <c r="A99" s="8" t="s">
        <v>61</v>
      </c>
      <c r="B99" s="30" t="n">
        <f aca="false">SUMIFS(Détail!$E:$E,Détail!$C:$C,"FRAIS TENUE DE COMPTE",Détail!$A:$A,"&gt;="&amp;DATE(2026,6,1),Détail!$A:$A,"&lt;"&amp;EDATE(DATE(2026,6,1),1))</f>
        <v>-74.4</v>
      </c>
    </row>
    <row r="100" customFormat="false" ht="15" hidden="false" customHeight="true" outlineLevel="0" collapsed="false">
      <c r="A100" s="8" t="s">
        <v>62</v>
      </c>
      <c r="B100" s="30" t="n">
        <f aca="false">SUMIFS(Détail!$E:$E,Détail!$C:$C,"FRAIS TENUE DE COMPTE",Détail!$A:$A,"&gt;="&amp;DATE(2026,7,1),Détail!$A:$A,"&lt;"&amp;EDATE(DATE(2026,7,1),1))</f>
        <v>0</v>
      </c>
    </row>
    <row r="103" customFormat="false" ht="15" hidden="false" customHeight="true" outlineLevel="0" collapsed="false">
      <c r="A103" s="28" t="s">
        <v>172</v>
      </c>
      <c r="B103" s="28"/>
      <c r="C103" s="29" t="n">
        <f aca="false">SUMIF(Détail!$C:$C,"FRAIS TRANSACTION CARTE",Détail!$E:$E)</f>
        <v>-87.05</v>
      </c>
    </row>
    <row r="104" customFormat="false" ht="15" hidden="false" customHeight="true" outlineLevel="0" collapsed="false">
      <c r="A104" s="23" t="s">
        <v>54</v>
      </c>
      <c r="B104" s="23" t="s">
        <v>55</v>
      </c>
    </row>
    <row r="105" customFormat="false" ht="15" hidden="false" customHeight="true" outlineLevel="0" collapsed="false">
      <c r="A105" s="8" t="s">
        <v>56</v>
      </c>
      <c r="B105" s="30" t="n">
        <f aca="false">SUMIFS(Détail!$E:$E,Détail!$C:$C,"FRAIS TRANSACTION CARTE",Détail!$A:$A,"&gt;="&amp;DATE(2026,1,1),Détail!$A:$A,"&lt;"&amp;EDATE(DATE(2026,1,1),1))</f>
        <v>-0.5</v>
      </c>
    </row>
    <row r="106" customFormat="false" ht="15" hidden="false" customHeight="true" outlineLevel="0" collapsed="false">
      <c r="A106" s="8" t="s">
        <v>57</v>
      </c>
      <c r="B106" s="30" t="n">
        <f aca="false">SUMIFS(Détail!$E:$E,Détail!$C:$C,"FRAIS TRANSACTION CARTE",Détail!$A:$A,"&gt;="&amp;DATE(2026,2,1),Détail!$A:$A,"&lt;"&amp;EDATE(DATE(2026,2,1),1))</f>
        <v>-0.49</v>
      </c>
    </row>
    <row r="107" customFormat="false" ht="15" hidden="false" customHeight="true" outlineLevel="0" collapsed="false">
      <c r="A107" s="8" t="s">
        <v>58</v>
      </c>
      <c r="B107" s="30" t="n">
        <f aca="false">SUMIFS(Détail!$E:$E,Détail!$C:$C,"FRAIS TRANSACTION CARTE",Détail!$A:$A,"&gt;="&amp;DATE(2026,3,1),Détail!$A:$A,"&lt;"&amp;EDATE(DATE(2026,3,1),1))</f>
        <v>-5.51</v>
      </c>
    </row>
    <row r="108" customFormat="false" ht="15" hidden="false" customHeight="true" outlineLevel="0" collapsed="false">
      <c r="A108" s="8" t="s">
        <v>59</v>
      </c>
      <c r="B108" s="30" t="n">
        <f aca="false">SUMIFS(Détail!$E:$E,Détail!$C:$C,"FRAIS TRANSACTION CARTE",Détail!$A:$A,"&gt;="&amp;DATE(2026,4,1),Détail!$A:$A,"&lt;"&amp;EDATE(DATE(2026,4,1),1))</f>
        <v>-10.67</v>
      </c>
    </row>
    <row r="109" customFormat="false" ht="15" hidden="false" customHeight="true" outlineLevel="0" collapsed="false">
      <c r="A109" s="8" t="s">
        <v>60</v>
      </c>
      <c r="B109" s="30" t="n">
        <f aca="false">SUMIFS(Détail!$E:$E,Détail!$C:$C,"FRAIS TRANSACTION CARTE",Détail!$A:$A,"&gt;="&amp;DATE(2026,5,1),Détail!$A:$A,"&lt;"&amp;EDATE(DATE(2026,5,1),1))</f>
        <v>-6.66</v>
      </c>
    </row>
    <row r="110" customFormat="false" ht="15" hidden="false" customHeight="true" outlineLevel="0" collapsed="false">
      <c r="A110" s="8" t="s">
        <v>61</v>
      </c>
      <c r="B110" s="30" t="n">
        <f aca="false">SUMIFS(Détail!$E:$E,Détail!$C:$C,"FRAIS TRANSACTION CARTE",Détail!$A:$A,"&gt;="&amp;DATE(2026,6,1),Détail!$A:$A,"&lt;"&amp;EDATE(DATE(2026,6,1),1))</f>
        <v>-53.53</v>
      </c>
    </row>
    <row r="111" customFormat="false" ht="15" hidden="false" customHeight="true" outlineLevel="0" collapsed="false">
      <c r="A111" s="8" t="s">
        <v>62</v>
      </c>
      <c r="B111" s="30" t="n">
        <f aca="false">SUMIFS(Détail!$E:$E,Détail!$C:$C,"FRAIS TRANSACTION CARTE",Détail!$A:$A,"&gt;="&amp;DATE(2026,7,1),Détail!$A:$A,"&lt;"&amp;EDATE(DATE(2026,7,1),1))</f>
        <v>-9.69</v>
      </c>
    </row>
    <row r="114" customFormat="false" ht="15" hidden="false" customHeight="true" outlineLevel="0" collapsed="false">
      <c r="A114" s="28" t="s">
        <v>173</v>
      </c>
      <c r="B114" s="28"/>
      <c r="C114" s="29" t="n">
        <f aca="false">SUMIF(Détail!$C:$C,"FRAIS VIREMENT INTERNATIONAL TAXABLE",Détail!$E:$E)</f>
        <v>-58.56</v>
      </c>
    </row>
    <row r="115" customFormat="false" ht="15" hidden="false" customHeight="true" outlineLevel="0" collapsed="false">
      <c r="A115" s="23" t="s">
        <v>54</v>
      </c>
      <c r="B115" s="23" t="s">
        <v>55</v>
      </c>
    </row>
    <row r="116" customFormat="false" ht="15" hidden="false" customHeight="true" outlineLevel="0" collapsed="false">
      <c r="A116" s="8" t="s">
        <v>56</v>
      </c>
      <c r="B116" s="30" t="n">
        <f aca="false">SUMIFS(Détail!$E:$E,Détail!$C:$C,"FRAIS VIREMENT INTERNATIONAL TAXABLE",Détail!$A:$A,"&gt;="&amp;DATE(2026,1,1),Détail!$A:$A,"&lt;"&amp;EDATE(DATE(2026,1,1),1))</f>
        <v>0</v>
      </c>
    </row>
    <row r="117" customFormat="false" ht="15" hidden="false" customHeight="true" outlineLevel="0" collapsed="false">
      <c r="A117" s="8" t="s">
        <v>57</v>
      </c>
      <c r="B117" s="30" t="n">
        <f aca="false">SUMIFS(Détail!$E:$E,Détail!$C:$C,"FRAIS VIREMENT INTERNATIONAL TAXABLE",Détail!$A:$A,"&gt;="&amp;DATE(2026,2,1),Détail!$A:$A,"&lt;"&amp;EDATE(DATE(2026,2,1),1))</f>
        <v>-14.64</v>
      </c>
    </row>
    <row r="118" customFormat="false" ht="15" hidden="false" customHeight="true" outlineLevel="0" collapsed="false">
      <c r="A118" s="8" t="s">
        <v>58</v>
      </c>
      <c r="B118" s="30" t="n">
        <f aca="false">SUMIFS(Détail!$E:$E,Détail!$C:$C,"FRAIS VIREMENT INTERNATIONAL TAXABLE",Détail!$A:$A,"&gt;="&amp;DATE(2026,3,1),Détail!$A:$A,"&lt;"&amp;EDATE(DATE(2026,3,1),1))</f>
        <v>0</v>
      </c>
    </row>
    <row r="119" customFormat="false" ht="15" hidden="false" customHeight="true" outlineLevel="0" collapsed="false">
      <c r="A119" s="8" t="s">
        <v>59</v>
      </c>
      <c r="B119" s="30" t="n">
        <f aca="false">SUMIFS(Détail!$E:$E,Détail!$C:$C,"FRAIS VIREMENT INTERNATIONAL TAXABLE",Détail!$A:$A,"&gt;="&amp;DATE(2026,4,1),Détail!$A:$A,"&lt;"&amp;EDATE(DATE(2026,4,1),1))</f>
        <v>0</v>
      </c>
    </row>
    <row r="120" customFormat="false" ht="15" hidden="false" customHeight="true" outlineLevel="0" collapsed="false">
      <c r="A120" s="8" t="s">
        <v>60</v>
      </c>
      <c r="B120" s="30" t="n">
        <f aca="false">SUMIFS(Détail!$E:$E,Détail!$C:$C,"FRAIS VIREMENT INTERNATIONAL TAXABLE",Détail!$A:$A,"&gt;="&amp;DATE(2026,5,1),Détail!$A:$A,"&lt;"&amp;EDATE(DATE(2026,5,1),1))</f>
        <v>-29.28</v>
      </c>
    </row>
    <row r="121" customFormat="false" ht="15" hidden="false" customHeight="true" outlineLevel="0" collapsed="false">
      <c r="A121" s="8" t="s">
        <v>61</v>
      </c>
      <c r="B121" s="30" t="n">
        <f aca="false">SUMIFS(Détail!$E:$E,Détail!$C:$C,"FRAIS VIREMENT INTERNATIONAL TAXABLE",Détail!$A:$A,"&gt;="&amp;DATE(2026,6,1),Détail!$A:$A,"&lt;"&amp;EDATE(DATE(2026,6,1),1))</f>
        <v>-14.64</v>
      </c>
    </row>
    <row r="122" customFormat="false" ht="15" hidden="false" customHeight="true" outlineLevel="0" collapsed="false">
      <c r="A122" s="8" t="s">
        <v>62</v>
      </c>
      <c r="B122" s="30" t="n">
        <f aca="false">SUMIFS(Détail!$E:$E,Détail!$C:$C,"FRAIS VIREMENT INTERNATIONAL TAXABLE",Détail!$A:$A,"&gt;="&amp;DATE(2026,7,1),Détail!$A:$A,"&lt;"&amp;EDATE(DATE(2026,7,1),1))</f>
        <v>0</v>
      </c>
    </row>
    <row r="125" customFormat="false" ht="15" hidden="false" customHeight="true" outlineLevel="0" collapsed="false">
      <c r="A125" s="28" t="s">
        <v>174</v>
      </c>
      <c r="B125" s="28"/>
      <c r="C125" s="29" t="n">
        <f aca="false">SUMIF(Détail!$C:$C,"COTISATION BRED GARANTIE HOMME CLE",Détail!$E:$E)</f>
        <v>-46.14</v>
      </c>
    </row>
    <row r="126" customFormat="false" ht="15" hidden="false" customHeight="true" outlineLevel="0" collapsed="false">
      <c r="A126" s="23" t="s">
        <v>54</v>
      </c>
      <c r="B126" s="23" t="s">
        <v>55</v>
      </c>
    </row>
    <row r="127" customFormat="false" ht="15" hidden="false" customHeight="true" outlineLevel="0" collapsed="false">
      <c r="A127" s="8" t="s">
        <v>56</v>
      </c>
      <c r="B127" s="30" t="n">
        <f aca="false">SUMIFS(Détail!$E:$E,Détail!$C:$C,"COTISATION BRED GARANTIE HOMME CLE",Détail!$A:$A,"&gt;="&amp;DATE(2026,1,1),Détail!$A:$A,"&lt;"&amp;EDATE(DATE(2026,1,1),1))</f>
        <v>-7.69</v>
      </c>
    </row>
    <row r="128" customFormat="false" ht="15" hidden="false" customHeight="true" outlineLevel="0" collapsed="false">
      <c r="A128" s="8" t="s">
        <v>57</v>
      </c>
      <c r="B128" s="30" t="n">
        <f aca="false">SUMIFS(Détail!$E:$E,Détail!$C:$C,"COTISATION BRED GARANTIE HOMME CLE",Détail!$A:$A,"&gt;="&amp;DATE(2026,2,1),Détail!$A:$A,"&lt;"&amp;EDATE(DATE(2026,2,1),1))</f>
        <v>-7.69</v>
      </c>
    </row>
    <row r="129" customFormat="false" ht="15" hidden="false" customHeight="true" outlineLevel="0" collapsed="false">
      <c r="A129" s="8" t="s">
        <v>58</v>
      </c>
      <c r="B129" s="30" t="n">
        <f aca="false">SUMIFS(Détail!$E:$E,Détail!$C:$C,"COTISATION BRED GARANTIE HOMME CLE",Détail!$A:$A,"&gt;="&amp;DATE(2026,3,1),Détail!$A:$A,"&lt;"&amp;EDATE(DATE(2026,3,1),1))</f>
        <v>-7.69</v>
      </c>
    </row>
    <row r="130" customFormat="false" ht="15" hidden="false" customHeight="true" outlineLevel="0" collapsed="false">
      <c r="A130" s="8" t="s">
        <v>59</v>
      </c>
      <c r="B130" s="30" t="n">
        <f aca="false">SUMIFS(Détail!$E:$E,Détail!$C:$C,"COTISATION BRED GARANTIE HOMME CLE",Détail!$A:$A,"&gt;="&amp;DATE(2026,4,1),Détail!$A:$A,"&lt;"&amp;EDATE(DATE(2026,4,1),1))</f>
        <v>-7.69</v>
      </c>
    </row>
    <row r="131" customFormat="false" ht="15" hidden="false" customHeight="true" outlineLevel="0" collapsed="false">
      <c r="A131" s="8" t="s">
        <v>60</v>
      </c>
      <c r="B131" s="30" t="n">
        <f aca="false">SUMIFS(Détail!$E:$E,Détail!$C:$C,"COTISATION BRED GARANTIE HOMME CLE",Détail!$A:$A,"&gt;="&amp;DATE(2026,5,1),Détail!$A:$A,"&lt;"&amp;EDATE(DATE(2026,5,1),1))</f>
        <v>-7.69</v>
      </c>
    </row>
    <row r="132" customFormat="false" ht="15" hidden="false" customHeight="true" outlineLevel="0" collapsed="false">
      <c r="A132" s="8" t="s">
        <v>61</v>
      </c>
      <c r="B132" s="30" t="n">
        <f aca="false">SUMIFS(Détail!$E:$E,Détail!$C:$C,"COTISATION BRED GARANTIE HOMME CLE",Détail!$A:$A,"&gt;="&amp;DATE(2026,6,1),Détail!$A:$A,"&lt;"&amp;EDATE(DATE(2026,6,1),1))</f>
        <v>-7.69</v>
      </c>
    </row>
    <row r="133" customFormat="false" ht="15" hidden="false" customHeight="true" outlineLevel="0" collapsed="false">
      <c r="A133" s="8" t="s">
        <v>62</v>
      </c>
      <c r="B133" s="30" t="n">
        <f aca="false">SUMIFS(Détail!$E:$E,Détail!$C:$C,"COTISATION BRED GARANTIE HOMME CLE",Détail!$A:$A,"&gt;="&amp;DATE(2026,7,1),Détail!$A:$A,"&lt;"&amp;EDATE(DATE(2026,7,1),1))</f>
        <v>0</v>
      </c>
    </row>
    <row r="136" customFormat="false" ht="15" hidden="false" customHeight="true" outlineLevel="0" collapsed="false">
      <c r="A136" s="28" t="s">
        <v>175</v>
      </c>
      <c r="B136" s="28"/>
      <c r="C136" s="29" t="n">
        <f aca="false">SUMIF(Détail!$C:$C,"FRAIS AVIS D'OPERE",Détail!$E:$E)</f>
        <v>-43.2</v>
      </c>
    </row>
    <row r="137" customFormat="false" ht="15" hidden="false" customHeight="true" outlineLevel="0" collapsed="false">
      <c r="A137" s="23" t="s">
        <v>54</v>
      </c>
      <c r="B137" s="23" t="s">
        <v>55</v>
      </c>
    </row>
    <row r="138" customFormat="false" ht="15" hidden="false" customHeight="true" outlineLevel="0" collapsed="false">
      <c r="A138" s="8" t="s">
        <v>56</v>
      </c>
      <c r="B138" s="30" t="n">
        <f aca="false">SUMIFS(Détail!$E:$E,Détail!$C:$C,"FRAIS AVIS D'OPERE",Détail!$A:$A,"&gt;="&amp;DATE(2026,1,1),Détail!$A:$A,"&lt;"&amp;EDATE(DATE(2026,1,1),1))</f>
        <v>-6</v>
      </c>
    </row>
    <row r="139" customFormat="false" ht="15" hidden="false" customHeight="true" outlineLevel="0" collapsed="false">
      <c r="A139" s="8" t="s">
        <v>57</v>
      </c>
      <c r="B139" s="30" t="n">
        <f aca="false">SUMIFS(Détail!$E:$E,Détail!$C:$C,"FRAIS AVIS D'OPERE",Détail!$A:$A,"&gt;="&amp;DATE(2026,2,1),Détail!$A:$A,"&lt;"&amp;EDATE(DATE(2026,2,1),1))</f>
        <v>-4.8</v>
      </c>
    </row>
    <row r="140" customFormat="false" ht="15" hidden="false" customHeight="true" outlineLevel="0" collapsed="false">
      <c r="A140" s="8" t="s">
        <v>58</v>
      </c>
      <c r="B140" s="30" t="n">
        <f aca="false">SUMIFS(Détail!$E:$E,Détail!$C:$C,"FRAIS AVIS D'OPERE",Détail!$A:$A,"&gt;="&amp;DATE(2026,3,1),Détail!$A:$A,"&lt;"&amp;EDATE(DATE(2026,3,1),1))</f>
        <v>-9.6</v>
      </c>
    </row>
    <row r="141" customFormat="false" ht="15" hidden="false" customHeight="true" outlineLevel="0" collapsed="false">
      <c r="A141" s="8" t="s">
        <v>59</v>
      </c>
      <c r="B141" s="30" t="n">
        <f aca="false">SUMIFS(Détail!$E:$E,Détail!$C:$C,"FRAIS AVIS D'OPERE",Détail!$A:$A,"&gt;="&amp;DATE(2026,4,1),Détail!$A:$A,"&lt;"&amp;EDATE(DATE(2026,4,1),1))</f>
        <v>-7.2</v>
      </c>
    </row>
    <row r="142" customFormat="false" ht="15" hidden="false" customHeight="true" outlineLevel="0" collapsed="false">
      <c r="A142" s="8" t="s">
        <v>60</v>
      </c>
      <c r="B142" s="30" t="n">
        <f aca="false">SUMIFS(Détail!$E:$E,Détail!$C:$C,"FRAIS AVIS D'OPERE",Détail!$A:$A,"&gt;="&amp;DATE(2026,5,1),Détail!$A:$A,"&lt;"&amp;EDATE(DATE(2026,5,1),1))</f>
        <v>-6</v>
      </c>
    </row>
    <row r="143" customFormat="false" ht="15" hidden="false" customHeight="true" outlineLevel="0" collapsed="false">
      <c r="A143" s="8" t="s">
        <v>61</v>
      </c>
      <c r="B143" s="30" t="n">
        <f aca="false">SUMIFS(Détail!$E:$E,Détail!$C:$C,"FRAIS AVIS D'OPERE",Détail!$A:$A,"&gt;="&amp;DATE(2026,6,1),Détail!$A:$A,"&lt;"&amp;EDATE(DATE(2026,6,1),1))</f>
        <v>-7.2</v>
      </c>
    </row>
    <row r="144" customFormat="false" ht="15" hidden="false" customHeight="true" outlineLevel="0" collapsed="false">
      <c r="A144" s="8" t="s">
        <v>62</v>
      </c>
      <c r="B144" s="30" t="n">
        <f aca="false">SUMIFS(Détail!$E:$E,Détail!$C:$C,"FRAIS AVIS D'OPERE",Détail!$A:$A,"&gt;="&amp;DATE(2026,7,1),Détail!$A:$A,"&lt;"&amp;EDATE(DATE(2026,7,1),1))</f>
        <v>-2.4</v>
      </c>
    </row>
    <row r="147" customFormat="false" ht="15" hidden="false" customHeight="true" outlineLevel="0" collapsed="false">
      <c r="A147" s="28" t="s">
        <v>176</v>
      </c>
      <c r="B147" s="28"/>
      <c r="C147" s="29" t="n">
        <f aca="false">SUMIF(Détail!$C:$C,"ACHAT PARTS SOCIALES",Détail!$E:$E)</f>
        <v>-30</v>
      </c>
    </row>
    <row r="148" customFormat="false" ht="15" hidden="false" customHeight="true" outlineLevel="0" collapsed="false">
      <c r="A148" s="23" t="s">
        <v>54</v>
      </c>
      <c r="B148" s="23" t="s">
        <v>55</v>
      </c>
    </row>
    <row r="149" customFormat="false" ht="15" hidden="false" customHeight="true" outlineLevel="0" collapsed="false">
      <c r="A149" s="8" t="s">
        <v>56</v>
      </c>
      <c r="B149" s="30" t="n">
        <f aca="false">SUMIFS(Détail!$E:$E,Détail!$C:$C,"ACHAT PARTS SOCIALES",Détail!$A:$A,"&gt;="&amp;DATE(2026,1,1),Détail!$A:$A,"&lt;"&amp;EDATE(DATE(2026,1,1),1))</f>
        <v>0</v>
      </c>
    </row>
    <row r="150" customFormat="false" ht="15" hidden="false" customHeight="true" outlineLevel="0" collapsed="false">
      <c r="A150" s="8" t="s">
        <v>57</v>
      </c>
      <c r="B150" s="30" t="n">
        <f aca="false">SUMIFS(Détail!$E:$E,Détail!$C:$C,"ACHAT PARTS SOCIALES",Détail!$A:$A,"&gt;="&amp;DATE(2026,2,1),Détail!$A:$A,"&lt;"&amp;EDATE(DATE(2026,2,1),1))</f>
        <v>0</v>
      </c>
    </row>
    <row r="151" customFormat="false" ht="15" hidden="false" customHeight="true" outlineLevel="0" collapsed="false">
      <c r="A151" s="8" t="s">
        <v>58</v>
      </c>
      <c r="B151" s="30" t="n">
        <f aca="false">SUMIFS(Détail!$E:$E,Détail!$C:$C,"ACHAT PARTS SOCIALES",Détail!$A:$A,"&gt;="&amp;DATE(2026,3,1),Détail!$A:$A,"&lt;"&amp;EDATE(DATE(2026,3,1),1))</f>
        <v>-30</v>
      </c>
    </row>
    <row r="152" customFormat="false" ht="15" hidden="false" customHeight="true" outlineLevel="0" collapsed="false">
      <c r="A152" s="8" t="s">
        <v>59</v>
      </c>
      <c r="B152" s="30" t="n">
        <f aca="false">SUMIFS(Détail!$E:$E,Détail!$C:$C,"ACHAT PARTS SOCIALES",Détail!$A:$A,"&gt;="&amp;DATE(2026,4,1),Détail!$A:$A,"&lt;"&amp;EDATE(DATE(2026,4,1),1))</f>
        <v>0</v>
      </c>
    </row>
    <row r="153" customFormat="false" ht="15" hidden="false" customHeight="true" outlineLevel="0" collapsed="false">
      <c r="A153" s="8" t="s">
        <v>60</v>
      </c>
      <c r="B153" s="30" t="n">
        <f aca="false">SUMIFS(Détail!$E:$E,Détail!$C:$C,"ACHAT PARTS SOCIALES",Détail!$A:$A,"&gt;="&amp;DATE(2026,5,1),Détail!$A:$A,"&lt;"&amp;EDATE(DATE(2026,5,1),1))</f>
        <v>0</v>
      </c>
    </row>
    <row r="154" customFormat="false" ht="15" hidden="false" customHeight="true" outlineLevel="0" collapsed="false">
      <c r="A154" s="8" t="s">
        <v>61</v>
      </c>
      <c r="B154" s="30" t="n">
        <f aca="false">SUMIFS(Détail!$E:$E,Détail!$C:$C,"ACHAT PARTS SOCIALES",Détail!$A:$A,"&gt;="&amp;DATE(2026,6,1),Détail!$A:$A,"&lt;"&amp;EDATE(DATE(2026,6,1),1))</f>
        <v>0</v>
      </c>
    </row>
    <row r="155" customFormat="false" ht="15" hidden="false" customHeight="true" outlineLevel="0" collapsed="false">
      <c r="A155" s="8" t="s">
        <v>62</v>
      </c>
      <c r="B155" s="30" t="n">
        <f aca="false">SUMIFS(Détail!$E:$E,Détail!$C:$C,"ACHAT PARTS SOCIALES",Détail!$A:$A,"&gt;="&amp;DATE(2026,7,1),Détail!$A:$A,"&lt;"&amp;EDATE(DATE(2026,7,1),1))</f>
        <v>0</v>
      </c>
    </row>
    <row r="158" customFormat="false" ht="15" hidden="false" customHeight="true" outlineLevel="0" collapsed="false">
      <c r="A158" s="28" t="s">
        <v>177</v>
      </c>
      <c r="B158" s="28"/>
      <c r="C158" s="29" t="n">
        <f aca="false">SUMIF(Détail!$C:$C,"OPER. SUR TITRES",Détail!$E:$E)</f>
        <v>4.9</v>
      </c>
    </row>
    <row r="159" customFormat="false" ht="15" hidden="false" customHeight="true" outlineLevel="0" collapsed="false">
      <c r="A159" s="23" t="s">
        <v>54</v>
      </c>
      <c r="B159" s="23" t="s">
        <v>55</v>
      </c>
    </row>
    <row r="160" customFormat="false" ht="15" hidden="false" customHeight="true" outlineLevel="0" collapsed="false">
      <c r="A160" s="8" t="s">
        <v>56</v>
      </c>
      <c r="B160" s="30" t="n">
        <f aca="false">SUMIFS(Détail!$E:$E,Détail!$C:$C,"OPER. SUR TITRES",Détail!$A:$A,"&gt;="&amp;DATE(2026,1,1),Détail!$A:$A,"&lt;"&amp;EDATE(DATE(2026,1,1),1))</f>
        <v>0</v>
      </c>
    </row>
    <row r="161" customFormat="false" ht="15" hidden="false" customHeight="true" outlineLevel="0" collapsed="false">
      <c r="A161" s="8" t="s">
        <v>57</v>
      </c>
      <c r="B161" s="30" t="n">
        <f aca="false">SUMIFS(Détail!$E:$E,Détail!$C:$C,"OPER. SUR TITRES",Détail!$A:$A,"&gt;="&amp;DATE(2026,2,1),Détail!$A:$A,"&lt;"&amp;EDATE(DATE(2026,2,1),1))</f>
        <v>0</v>
      </c>
    </row>
    <row r="162" customFormat="false" ht="15" hidden="false" customHeight="true" outlineLevel="0" collapsed="false">
      <c r="A162" s="8" t="s">
        <v>58</v>
      </c>
      <c r="B162" s="30" t="n">
        <f aca="false">SUMIFS(Détail!$E:$E,Détail!$C:$C,"OPER. SUR TITRES",Détail!$A:$A,"&gt;="&amp;DATE(2026,3,1),Détail!$A:$A,"&lt;"&amp;EDATE(DATE(2026,3,1),1))</f>
        <v>0</v>
      </c>
    </row>
    <row r="163" customFormat="false" ht="15" hidden="false" customHeight="true" outlineLevel="0" collapsed="false">
      <c r="A163" s="8" t="s">
        <v>59</v>
      </c>
      <c r="B163" s="30" t="n">
        <f aca="false">SUMIFS(Détail!$E:$E,Détail!$C:$C,"OPER. SUR TITRES",Détail!$A:$A,"&gt;="&amp;DATE(2026,4,1),Détail!$A:$A,"&lt;"&amp;EDATE(DATE(2026,4,1),1))</f>
        <v>0</v>
      </c>
    </row>
    <row r="164" customFormat="false" ht="15" hidden="false" customHeight="true" outlineLevel="0" collapsed="false">
      <c r="A164" s="8" t="s">
        <v>60</v>
      </c>
      <c r="B164" s="30" t="n">
        <f aca="false">SUMIFS(Détail!$E:$E,Détail!$C:$C,"OPER. SUR TITRES",Détail!$A:$A,"&gt;="&amp;DATE(2026,5,1),Détail!$A:$A,"&lt;"&amp;EDATE(DATE(2026,5,1),1))</f>
        <v>0</v>
      </c>
    </row>
    <row r="165" customFormat="false" ht="15" hidden="false" customHeight="true" outlineLevel="0" collapsed="false">
      <c r="A165" s="8" t="s">
        <v>61</v>
      </c>
      <c r="B165" s="30" t="n">
        <f aca="false">SUMIFS(Détail!$E:$E,Détail!$C:$C,"OPER. SUR TITRES",Détail!$A:$A,"&gt;="&amp;DATE(2026,6,1),Détail!$A:$A,"&lt;"&amp;EDATE(DATE(2026,6,1),1))</f>
        <v>4.9</v>
      </c>
    </row>
    <row r="166" customFormat="false" ht="15" hidden="false" customHeight="true" outlineLevel="0" collapsed="false">
      <c r="A166" s="8" t="s">
        <v>62</v>
      </c>
      <c r="B166" s="30" t="n">
        <f aca="false">SUMIFS(Détail!$E:$E,Détail!$C:$C,"OPER. SUR TITRES",Détail!$A:$A,"&gt;="&amp;DATE(2026,7,1),Détail!$A:$A,"&lt;"&amp;EDATE(DATE(2026,7,1),1))</f>
        <v>0</v>
      </c>
    </row>
  </sheetData>
  <mergeCells count="15">
    <mergeCell ref="A4:B4"/>
    <mergeCell ref="A15:B15"/>
    <mergeCell ref="A26:B26"/>
    <mergeCell ref="A37:B37"/>
    <mergeCell ref="A48:B48"/>
    <mergeCell ref="A59:B59"/>
    <mergeCell ref="A70:B70"/>
    <mergeCell ref="A81:B81"/>
    <mergeCell ref="A92:B92"/>
    <mergeCell ref="A103:B103"/>
    <mergeCell ref="A114:B114"/>
    <mergeCell ref="A125:B125"/>
    <mergeCell ref="A136:B136"/>
    <mergeCell ref="A147:B147"/>
    <mergeCell ref="A158:B1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178</v>
      </c>
    </row>
    <row r="3" customFormat="false" ht="15" hidden="false" customHeight="true" outlineLevel="0" collapsed="false">
      <c r="A3" s="28" t="s">
        <v>179</v>
      </c>
      <c r="B3" s="28"/>
      <c r="C3" s="29" t="n">
        <f aca="false">SUMIF(Détail!$D:$D,"MACIF IDF PRODUCTION-MACIF",Détail!$E:$E)</f>
        <v>-1403.98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SUMIFS(Détail!$E:$E,Détail!$D:$D,"MACIF IDF PRODUCTION-MACIF",Détail!$A:$A,"&gt;="&amp;DATE(2026,1,1),Détail!$A:$A,"&lt;"&amp;EDATE(DATE(2026,1,1),1))</f>
        <v>-130.67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SUMIFS(Détail!$E:$E,Détail!$D:$D,"MACIF IDF PRODUCTION-MACIF",Détail!$A:$A,"&gt;="&amp;DATE(2026,2,1),Détail!$A:$A,"&lt;"&amp;EDATE(DATE(2026,2,1),1))</f>
        <v>-130.67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SUMIFS(Détail!$E:$E,Détail!$D:$D,"MACIF IDF PRODUCTION-MACIF",Détail!$A:$A,"&gt;="&amp;DATE(2026,3,1),Détail!$A:$A,"&lt;"&amp;EDATE(DATE(2026,3,1),1))</f>
        <v>-130.67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SUMIFS(Détail!$E:$E,Détail!$D:$D,"MACIF IDF PRODUCTION-MACIF",Détail!$A:$A,"&gt;="&amp;DATE(2026,4,1),Détail!$A:$A,"&lt;"&amp;EDATE(DATE(2026,4,1),1))</f>
        <v>-252.91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SUMIFS(Détail!$E:$E,Détail!$D:$D,"MACIF IDF PRODUCTION-MACIF",Détail!$A:$A,"&gt;="&amp;DATE(2026,5,1),Détail!$A:$A,"&lt;"&amp;EDATE(DATE(2026,5,1),1))</f>
        <v>-253.02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SUMIFS(Détail!$E:$E,Détail!$D:$D,"MACIF IDF PRODUCTION-MACIF",Détail!$A:$A,"&gt;="&amp;DATE(2026,6,1),Détail!$A:$A,"&lt;"&amp;EDATE(DATE(2026,6,1),1))</f>
        <v>-253.02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SUMIFS(Détail!$E:$E,Détail!$D:$D,"MACIF IDF PRODUCTION-MACIF",Détail!$A:$A,"&gt;="&amp;DATE(2026,7,1),Détail!$A:$A,"&lt;"&amp;EDATE(DATE(2026,7,1),1))</f>
        <v>-253.02</v>
      </c>
    </row>
    <row r="14" customFormat="false" ht="15" hidden="false" customHeight="true" outlineLevel="0" collapsed="false">
      <c r="A14" s="28" t="s">
        <v>180</v>
      </c>
      <c r="B14" s="28"/>
      <c r="C14" s="29" t="n">
        <f aca="false">SUMIF(Détail!$D:$D,"MSP COT SANTE DES ENTREPRISES-MACIF SANTE PREVOYANCE",Détail!$E:$E)</f>
        <v>-862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SUMIFS(Détail!$E:$E,Détail!$D:$D,"MSP COT SANTE DES ENTREPRISES-MACIF SANTE PREVOYANCE",Détail!$A:$A,"&gt;="&amp;DATE(2026,1,1),Détail!$A:$A,"&lt;"&amp;EDATE(DATE(2026,1,1),1))</f>
        <v>0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SUMIFS(Détail!$E:$E,Détail!$D:$D,"MSP COT SANTE DES ENTREPRISES-MACIF SANTE PREVOYANCE",Détail!$A:$A,"&gt;="&amp;DATE(2026,2,1),Détail!$A:$A,"&lt;"&amp;EDATE(DATE(2026,2,1),1))</f>
        <v>0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SUMIFS(Détail!$E:$E,Détail!$D:$D,"MSP COT SANTE DES ENTREPRISES-MACIF SANTE PREVOYANCE",Détail!$A:$A,"&gt;="&amp;DATE(2026,3,1),Détail!$A:$A,"&lt;"&amp;EDATE(DATE(2026,3,1),1))</f>
        <v>0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SUMIFS(Détail!$E:$E,Détail!$D:$D,"MSP COT SANTE DES ENTREPRISES-MACIF SANTE PREVOYANCE",Détail!$A:$A,"&gt;="&amp;DATE(2026,4,1),Détail!$A:$A,"&lt;"&amp;EDATE(DATE(2026,4,1),1))</f>
        <v>-215.5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SUMIFS(Détail!$E:$E,Détail!$D:$D,"MSP COT SANTE DES ENTREPRISES-MACIF SANTE PREVOYANCE",Détail!$A:$A,"&gt;="&amp;DATE(2026,5,1),Détail!$A:$A,"&lt;"&amp;EDATE(DATE(2026,5,1),1))</f>
        <v>-215.5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SUMIFS(Détail!$E:$E,Détail!$D:$D,"MSP COT SANTE DES ENTREPRISES-MACIF SANTE PREVOYANCE",Détail!$A:$A,"&gt;="&amp;DATE(2026,6,1),Détail!$A:$A,"&lt;"&amp;EDATE(DATE(2026,6,1),1))</f>
        <v>-215.5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SUMIFS(Détail!$E:$E,Détail!$D:$D,"MSP COT SANTE DES ENTREPRISES-MACIF SANTE PREVOYANCE",Détail!$A:$A,"&gt;="&amp;DATE(2026,7,1),Détail!$A:$A,"&lt;"&amp;EDATE(DATE(2026,7,1),1))</f>
        <v>-215.5</v>
      </c>
    </row>
    <row r="25" customFormat="false" ht="15" hidden="false" customHeight="true" outlineLevel="0" collapsed="false">
      <c r="A25" s="28" t="s">
        <v>181</v>
      </c>
      <c r="B25" s="28"/>
      <c r="C25" s="29" t="n">
        <f aca="false">SUMIF(Détail!$D:$D,"AMM COT SANTE DES ENTREPRISES-MACIF SANTE PREVOYANCE",Détail!$E:$E)</f>
        <v>-431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SUMIFS(Détail!$E:$E,Détail!$D:$D,"AMM COT SANTE DES ENTREPRISES-MACIF SANTE PREVOYANCE",Détail!$A:$A,"&gt;="&amp;DATE(2026,1,1),Détail!$A:$A,"&lt;"&amp;EDATE(DATE(2026,1,1),1))</f>
        <v>0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SUMIFS(Détail!$E:$E,Détail!$D:$D,"AMM COT SANTE DES ENTREPRISES-MACIF SANTE PREVOYANCE",Détail!$A:$A,"&gt;="&amp;DATE(2026,2,1),Détail!$A:$A,"&lt;"&amp;EDATE(DATE(2026,2,1),1))</f>
        <v>-215.5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SUMIFS(Détail!$E:$E,Détail!$D:$D,"AMM COT SANTE DES ENTREPRISES-MACIF SANTE PREVOYANCE",Détail!$A:$A,"&gt;="&amp;DATE(2026,3,1),Détail!$A:$A,"&lt;"&amp;EDATE(DATE(2026,3,1),1))</f>
        <v>-215.5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SUMIFS(Détail!$E:$E,Détail!$D:$D,"AMM COT SANTE DES ENTREPRISES-MACIF SANTE PREVOYANCE",Détail!$A:$A,"&gt;="&amp;DATE(2026,4,1),Détail!$A:$A,"&lt;"&amp;EDATE(DATE(2026,4,1),1))</f>
        <v>0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SUMIFS(Détail!$E:$E,Détail!$D:$D,"AMM COT SANTE DES ENTREPRISES-MACIF SANTE PREVOYANCE",Détail!$A:$A,"&gt;="&amp;DATE(2026,5,1),Détail!$A:$A,"&lt;"&amp;EDATE(DATE(2026,5,1),1))</f>
        <v>0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SUMIFS(Détail!$E:$E,Détail!$D:$D,"AMM COT SANTE DES ENTREPRISES-MACIF SANTE PREVOYANCE",Détail!$A:$A,"&gt;="&amp;DATE(2026,6,1),Détail!$A:$A,"&lt;"&amp;EDATE(DATE(2026,6,1),1))</f>
        <v>0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SUMIFS(Détail!$E:$E,Détail!$D:$D,"AMM COT SANTE DES ENTREPRISES-MACIF SANTE PREVOYANCE",Détail!$A:$A,"&gt;="&amp;DATE(2026,7,1),Détail!$A:$A,"&lt;"&amp;EDATE(DATE(2026,7,1),1))</f>
        <v>0</v>
      </c>
    </row>
    <row r="36" customFormat="false" ht="15" hidden="false" customHeight="true" outlineLevel="0" collapsed="false">
      <c r="A36" s="28" t="s">
        <v>182</v>
      </c>
      <c r="B36" s="28"/>
      <c r="C36" s="29" t="n">
        <f aca="false">SUMIF(Détail!$D:$D,"CEP TRESO SANTE PREV",Détail!$E:$E)</f>
        <v>-285.83</v>
      </c>
    </row>
    <row r="37" customFormat="false" ht="15" hidden="false" customHeight="true" outlineLevel="0" collapsed="false">
      <c r="A37" s="23" t="s">
        <v>54</v>
      </c>
      <c r="B37" s="23" t="s">
        <v>55</v>
      </c>
    </row>
    <row r="38" customFormat="false" ht="15" hidden="false" customHeight="true" outlineLevel="0" collapsed="false">
      <c r="A38" s="8" t="s">
        <v>56</v>
      </c>
      <c r="B38" s="30" t="n">
        <f aca="false">SUMIFS(Détail!$E:$E,Détail!$D:$D,"CEP TRESO SANTE PREV",Détail!$A:$A,"&gt;="&amp;DATE(2026,1,1),Détail!$A:$A,"&lt;"&amp;EDATE(DATE(2026,1,1),1))</f>
        <v>-144.38</v>
      </c>
    </row>
    <row r="39" customFormat="false" ht="15" hidden="false" customHeight="true" outlineLevel="0" collapsed="false">
      <c r="A39" s="8" t="s">
        <v>57</v>
      </c>
      <c r="B39" s="30" t="n">
        <f aca="false">SUMIFS(Détail!$E:$E,Détail!$D:$D,"CEP TRESO SANTE PREV",Détail!$A:$A,"&gt;="&amp;DATE(2026,2,1),Détail!$A:$A,"&lt;"&amp;EDATE(DATE(2026,2,1),1))</f>
        <v>0</v>
      </c>
    </row>
    <row r="40" customFormat="false" ht="15" hidden="false" customHeight="true" outlineLevel="0" collapsed="false">
      <c r="A40" s="8" t="s">
        <v>58</v>
      </c>
      <c r="B40" s="30" t="n">
        <f aca="false">SUMIFS(Détail!$E:$E,Détail!$D:$D,"CEP TRESO SANTE PREV",Détail!$A:$A,"&gt;="&amp;DATE(2026,3,1),Détail!$A:$A,"&lt;"&amp;EDATE(DATE(2026,3,1),1))</f>
        <v>0</v>
      </c>
    </row>
    <row r="41" customFormat="false" ht="15" hidden="false" customHeight="true" outlineLevel="0" collapsed="false">
      <c r="A41" s="8" t="s">
        <v>59</v>
      </c>
      <c r="B41" s="30" t="n">
        <f aca="false">SUMIFS(Détail!$E:$E,Détail!$D:$D,"CEP TRESO SANTE PREV",Détail!$A:$A,"&gt;="&amp;DATE(2026,4,1),Détail!$A:$A,"&lt;"&amp;EDATE(DATE(2026,4,1),1))</f>
        <v>-141.45</v>
      </c>
    </row>
    <row r="42" customFormat="false" ht="15" hidden="false" customHeight="true" outlineLevel="0" collapsed="false">
      <c r="A42" s="8" t="s">
        <v>60</v>
      </c>
      <c r="B42" s="30" t="n">
        <f aca="false">SUMIFS(Détail!$E:$E,Détail!$D:$D,"CEP TRESO SANTE PREV",Détail!$A:$A,"&gt;="&amp;DATE(2026,5,1),Détail!$A:$A,"&lt;"&amp;EDATE(DATE(2026,5,1),1))</f>
        <v>0</v>
      </c>
    </row>
    <row r="43" customFormat="false" ht="15" hidden="false" customHeight="true" outlineLevel="0" collapsed="false">
      <c r="A43" s="8" t="s">
        <v>61</v>
      </c>
      <c r="B43" s="30" t="n">
        <f aca="false">SUMIFS(Détail!$E:$E,Détail!$D:$D,"CEP TRESO SANTE PREV",Détail!$A:$A,"&gt;="&amp;DATE(2026,6,1),Détail!$A:$A,"&lt;"&amp;EDATE(DATE(2026,6,1),1))</f>
        <v>0</v>
      </c>
    </row>
    <row r="44" customFormat="false" ht="15" hidden="false" customHeight="true" outlineLevel="0" collapsed="false">
      <c r="A44" s="8" t="s">
        <v>62</v>
      </c>
      <c r="B44" s="30" t="n">
        <f aca="false">SUMIFS(Détail!$E:$E,Détail!$D:$D,"CEP TRESO SANTE PREV",Détail!$A:$A,"&gt;="&amp;DATE(2026,7,1),Détail!$A:$A,"&lt;"&amp;EDATE(DATE(2026,7,1),1))</f>
        <v>0</v>
      </c>
    </row>
    <row r="47" customFormat="false" ht="15" hidden="false" customHeight="true" outlineLevel="0" collapsed="false">
      <c r="A47" s="28" t="s">
        <v>183</v>
      </c>
      <c r="B47" s="28"/>
      <c r="C47" s="29" t="n">
        <f aca="false">SUMIF(Détail!$D:$D,"AMM COT SANTE DES ENTREPRISES-APIVIA MACIF MUTUELLE",Détail!$E:$E)</f>
        <v>-211.17</v>
      </c>
    </row>
    <row r="48" customFormat="false" ht="15" hidden="false" customHeight="true" outlineLevel="0" collapsed="false">
      <c r="A48" s="23" t="s">
        <v>54</v>
      </c>
      <c r="B48" s="23" t="s">
        <v>55</v>
      </c>
    </row>
    <row r="49" customFormat="false" ht="15" hidden="false" customHeight="true" outlineLevel="0" collapsed="false">
      <c r="A49" s="8" t="s">
        <v>56</v>
      </c>
      <c r="B49" s="30" t="n">
        <f aca="false">SUMIFS(Détail!$E:$E,Détail!$D:$D,"AMM COT SANTE DES ENTREPRISES-APIVIA MACIF MUTUELLE",Détail!$A:$A,"&gt;="&amp;DATE(2026,1,1),Détail!$A:$A,"&lt;"&amp;EDATE(DATE(2026,1,1),1))</f>
        <v>-211.17</v>
      </c>
    </row>
    <row r="50" customFormat="false" ht="15" hidden="false" customHeight="true" outlineLevel="0" collapsed="false">
      <c r="A50" s="8" t="s">
        <v>57</v>
      </c>
      <c r="B50" s="30" t="n">
        <f aca="false">SUMIFS(Détail!$E:$E,Détail!$D:$D,"AMM COT SANTE DES ENTREPRISES-APIVIA MACIF MUTUELLE",Détail!$A:$A,"&gt;="&amp;DATE(2026,2,1),Détail!$A:$A,"&lt;"&amp;EDATE(DATE(2026,2,1),1))</f>
        <v>0</v>
      </c>
    </row>
    <row r="51" customFormat="false" ht="15" hidden="false" customHeight="true" outlineLevel="0" collapsed="false">
      <c r="A51" s="8" t="s">
        <v>58</v>
      </c>
      <c r="B51" s="30" t="n">
        <f aca="false">SUMIFS(Détail!$E:$E,Détail!$D:$D,"AMM COT SANTE DES ENTREPRISES-APIVIA MACIF MUTUELLE",Détail!$A:$A,"&gt;="&amp;DATE(2026,3,1),Détail!$A:$A,"&lt;"&amp;EDATE(DATE(2026,3,1),1))</f>
        <v>0</v>
      </c>
    </row>
    <row r="52" customFormat="false" ht="15" hidden="false" customHeight="true" outlineLevel="0" collapsed="false">
      <c r="A52" s="8" t="s">
        <v>59</v>
      </c>
      <c r="B52" s="30" t="n">
        <f aca="false">SUMIFS(Détail!$E:$E,Détail!$D:$D,"AMM COT SANTE DES ENTREPRISES-APIVIA MACIF MUTUELLE",Détail!$A:$A,"&gt;="&amp;DATE(2026,4,1),Détail!$A:$A,"&lt;"&amp;EDATE(DATE(2026,4,1),1))</f>
        <v>0</v>
      </c>
    </row>
    <row r="53" customFormat="false" ht="15" hidden="false" customHeight="true" outlineLevel="0" collapsed="false">
      <c r="A53" s="8" t="s">
        <v>60</v>
      </c>
      <c r="B53" s="30" t="n">
        <f aca="false">SUMIFS(Détail!$E:$E,Détail!$D:$D,"AMM COT SANTE DES ENTREPRISES-APIVIA MACIF MUTUELLE",Détail!$A:$A,"&gt;="&amp;DATE(2026,5,1),Détail!$A:$A,"&lt;"&amp;EDATE(DATE(2026,5,1),1))</f>
        <v>0</v>
      </c>
    </row>
    <row r="54" customFormat="false" ht="15" hidden="false" customHeight="true" outlineLevel="0" collapsed="false">
      <c r="A54" s="8" t="s">
        <v>61</v>
      </c>
      <c r="B54" s="30" t="n">
        <f aca="false">SUMIFS(Détail!$E:$E,Détail!$D:$D,"AMM COT SANTE DES ENTREPRISES-APIVIA MACIF MUTUELLE",Détail!$A:$A,"&gt;="&amp;DATE(2026,6,1),Détail!$A:$A,"&lt;"&amp;EDATE(DATE(2026,6,1),1))</f>
        <v>0</v>
      </c>
    </row>
    <row r="55" customFormat="false" ht="15" hidden="false" customHeight="true" outlineLevel="0" collapsed="false">
      <c r="A55" s="8" t="s">
        <v>62</v>
      </c>
      <c r="B55" s="30" t="n">
        <f aca="false">SUMIFS(Détail!$E:$E,Détail!$D:$D,"AMM COT SANTE DES ENTREPRISES-APIVIA MACIF MUTUELLE",Détail!$A:$A,"&gt;="&amp;DATE(2026,7,1),Détail!$A:$A,"&lt;"&amp;EDATE(DATE(2026,7,1),1))</f>
        <v>0</v>
      </c>
    </row>
  </sheetData>
  <mergeCells count="5">
    <mergeCell ref="A3:B3"/>
    <mergeCell ref="A14:B14"/>
    <mergeCell ref="A25:B25"/>
    <mergeCell ref="A36:B36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184</v>
      </c>
    </row>
    <row r="3" customFormat="false" ht="15" hidden="false" customHeight="true" outlineLevel="0" collapsed="false">
      <c r="A3" s="28" t="s">
        <v>185</v>
      </c>
      <c r="B3" s="28"/>
      <c r="C3" s="29" t="n">
        <f aca="false">SUMIF(Détail!$D:$D,"AMAZON PAYMENTS",Détail!$E:$E)</f>
        <v>-1755.79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57</v>
      </c>
      <c r="B5" s="30" t="n">
        <f aca="false">SUMIFS(Détail!$E:$E,Détail!$D:$D,"AMAZON PAYMENTS",Détail!$A:$A,"&gt;="&amp;DATE(2026,2,1),Détail!$A:$A,"&lt;"&amp;EDATE(DATE(2026,2,1),1))</f>
        <v>-144.47</v>
      </c>
    </row>
    <row r="6" customFormat="false" ht="15" hidden="false" customHeight="true" outlineLevel="0" collapsed="false">
      <c r="A6" s="8" t="s">
        <v>58</v>
      </c>
      <c r="B6" s="30" t="n">
        <f aca="false">SUMIFS(Détail!$E:$E,Détail!$D:$D,"AMAZON PAYMENTS",Détail!$A:$A,"&gt;="&amp;DATE(2026,3,1),Détail!$A:$A,"&lt;"&amp;EDATE(DATE(2026,3,1),1))</f>
        <v>-723.92</v>
      </c>
    </row>
    <row r="7" customFormat="false" ht="15" hidden="false" customHeight="true" outlineLevel="0" collapsed="false">
      <c r="A7" s="8" t="s">
        <v>59</v>
      </c>
      <c r="B7" s="30" t="n">
        <f aca="false">SUMIFS(Détail!$E:$E,Détail!$D:$D,"AMAZON PAYMENTS",Détail!$A:$A,"&gt;="&amp;DATE(2026,4,1),Détail!$A:$A,"&lt;"&amp;EDATE(DATE(2026,4,1),1))</f>
        <v>-174.07</v>
      </c>
    </row>
    <row r="8" customFormat="false" ht="15" hidden="false" customHeight="true" outlineLevel="0" collapsed="false">
      <c r="A8" s="8" t="s">
        <v>60</v>
      </c>
      <c r="B8" s="30" t="n">
        <f aca="false">SUMIFS(Détail!$E:$E,Détail!$D:$D,"AMAZON PAYMENTS",Détail!$A:$A,"&gt;="&amp;DATE(2026,5,1),Détail!$A:$A,"&lt;"&amp;EDATE(DATE(2026,5,1),1))</f>
        <v>-232.26</v>
      </c>
    </row>
    <row r="9" customFormat="false" ht="15" hidden="false" customHeight="true" outlineLevel="0" collapsed="false">
      <c r="A9" s="8" t="s">
        <v>61</v>
      </c>
      <c r="B9" s="30" t="n">
        <f aca="false">SUMIFS(Détail!$E:$E,Détail!$D:$D,"AMAZON PAYMENTS",Détail!$A:$A,"&gt;="&amp;DATE(2026,6,1),Détail!$A:$A,"&lt;"&amp;EDATE(DATE(2026,6,1),1))</f>
        <v>-479.08</v>
      </c>
    </row>
    <row r="10" customFormat="false" ht="15" hidden="false" customHeight="true" outlineLevel="0" collapsed="false">
      <c r="A10" s="8" t="s">
        <v>62</v>
      </c>
      <c r="B10" s="30" t="n">
        <f aca="false">SUMIFS(Détail!$E:$E,Détail!$D:$D,"AMAZON PAYMENTS",Détail!$A:$A,"&gt;="&amp;DATE(2026,7,1),Détail!$A:$A,"&lt;"&amp;EDATE(DATE(2026,7,1),1))</f>
        <v>-1.99</v>
      </c>
    </row>
    <row r="13" customFormat="false" ht="15" hidden="false" customHeight="true" outlineLevel="0" collapsed="false">
      <c r="A13" s="28" t="s">
        <v>186</v>
      </c>
      <c r="B13" s="28"/>
      <c r="C13" s="29" t="n">
        <f aca="false">SUMIF(Détail!$D:$D,"BOULANGER",Détail!$E:$E)</f>
        <v>-698.98</v>
      </c>
    </row>
    <row r="14" customFormat="false" ht="15" hidden="false" customHeight="true" outlineLevel="0" collapsed="false">
      <c r="A14" s="23" t="s">
        <v>54</v>
      </c>
      <c r="B14" s="23" t="s">
        <v>55</v>
      </c>
    </row>
    <row r="15" customFormat="false" ht="15" hidden="false" customHeight="true" outlineLevel="0" collapsed="false">
      <c r="A15" s="8" t="s">
        <v>57</v>
      </c>
      <c r="B15" s="30" t="n">
        <f aca="false">SUMIFS(Détail!$E:$E,Détail!$D:$D,"BOULANGER",Détail!$A:$A,"&gt;="&amp;DATE(2026,2,1),Détail!$A:$A,"&lt;"&amp;EDATE(DATE(2026,2,1),1))</f>
        <v>0</v>
      </c>
    </row>
    <row r="16" customFormat="false" ht="15" hidden="false" customHeight="true" outlineLevel="0" collapsed="false">
      <c r="A16" s="8" t="s">
        <v>58</v>
      </c>
      <c r="B16" s="30" t="n">
        <f aca="false">SUMIFS(Détail!$E:$E,Détail!$D:$D,"BOULANGER",Détail!$A:$A,"&gt;="&amp;DATE(2026,3,1),Détail!$A:$A,"&lt;"&amp;EDATE(DATE(2026,3,1),1))</f>
        <v>0</v>
      </c>
    </row>
    <row r="17" customFormat="false" ht="15" hidden="false" customHeight="true" outlineLevel="0" collapsed="false">
      <c r="A17" s="8" t="s">
        <v>59</v>
      </c>
      <c r="B17" s="30" t="n">
        <f aca="false">SUMIFS(Détail!$E:$E,Détail!$D:$D,"BOULANGER",Détail!$A:$A,"&gt;="&amp;DATE(2026,4,1),Détail!$A:$A,"&lt;"&amp;EDATE(DATE(2026,4,1),1))</f>
        <v>0</v>
      </c>
    </row>
    <row r="18" customFormat="false" ht="15" hidden="false" customHeight="true" outlineLevel="0" collapsed="false">
      <c r="A18" s="8" t="s">
        <v>60</v>
      </c>
      <c r="B18" s="30" t="n">
        <f aca="false">SUMIFS(Détail!$E:$E,Détail!$D:$D,"BOULANGER",Détail!$A:$A,"&gt;="&amp;DATE(2026,5,1),Détail!$A:$A,"&lt;"&amp;EDATE(DATE(2026,5,1),1))</f>
        <v>-698.98</v>
      </c>
    </row>
    <row r="19" customFormat="false" ht="15" hidden="false" customHeight="true" outlineLevel="0" collapsed="false">
      <c r="A19" s="8" t="s">
        <v>61</v>
      </c>
      <c r="B19" s="30" t="n">
        <f aca="false">SUMIFS(Détail!$E:$E,Détail!$D:$D,"BOULANGER",Détail!$A:$A,"&gt;="&amp;DATE(2026,6,1),Détail!$A:$A,"&lt;"&amp;EDATE(DATE(2026,6,1),1))</f>
        <v>0</v>
      </c>
    </row>
    <row r="20" customFormat="false" ht="15" hidden="false" customHeight="true" outlineLevel="0" collapsed="false">
      <c r="A20" s="8" t="s">
        <v>62</v>
      </c>
      <c r="B20" s="30" t="n">
        <f aca="false">SUMIFS(Détail!$E:$E,Détail!$D:$D,"BOULANGER",Détail!$A:$A,"&gt;="&amp;DATE(2026,7,1),Détail!$A:$A,"&lt;"&amp;EDATE(DATE(2026,7,1),1))</f>
        <v>0</v>
      </c>
    </row>
    <row r="23" customFormat="false" ht="15" hidden="false" customHeight="true" outlineLevel="0" collapsed="false">
      <c r="A23" s="28" t="s">
        <v>187</v>
      </c>
      <c r="B23" s="28"/>
      <c r="C23" s="29" t="n">
        <f aca="false">SUMIF(Détail!$D:$D,"OFFICE DEPOT",Détail!$E:$E)</f>
        <v>-476.45</v>
      </c>
    </row>
    <row r="24" customFormat="false" ht="15" hidden="false" customHeight="true" outlineLevel="0" collapsed="false">
      <c r="A24" s="23" t="s">
        <v>54</v>
      </c>
      <c r="B24" s="23" t="s">
        <v>55</v>
      </c>
    </row>
    <row r="25" customFormat="false" ht="15" hidden="false" customHeight="true" outlineLevel="0" collapsed="false">
      <c r="A25" s="8" t="s">
        <v>57</v>
      </c>
      <c r="B25" s="30" t="n">
        <f aca="false">SUMIFS(Détail!$E:$E,Détail!$D:$D,"OFFICE DEPOT",Détail!$A:$A,"&gt;="&amp;DATE(2026,2,1),Détail!$A:$A,"&lt;"&amp;EDATE(DATE(2026,2,1),1))</f>
        <v>0</v>
      </c>
    </row>
    <row r="26" customFormat="false" ht="15" hidden="false" customHeight="true" outlineLevel="0" collapsed="false">
      <c r="A26" s="8" t="s">
        <v>58</v>
      </c>
      <c r="B26" s="30" t="n">
        <f aca="false">SUMIFS(Détail!$E:$E,Détail!$D:$D,"OFFICE DEPOT",Détail!$A:$A,"&gt;="&amp;DATE(2026,3,1),Détail!$A:$A,"&lt;"&amp;EDATE(DATE(2026,3,1),1))</f>
        <v>0</v>
      </c>
    </row>
    <row r="27" customFormat="false" ht="15" hidden="false" customHeight="true" outlineLevel="0" collapsed="false">
      <c r="A27" s="8" t="s">
        <v>59</v>
      </c>
      <c r="B27" s="30" t="n">
        <f aca="false">SUMIFS(Détail!$E:$E,Détail!$D:$D,"OFFICE DEPOT",Détail!$A:$A,"&gt;="&amp;DATE(2026,4,1),Détail!$A:$A,"&lt;"&amp;EDATE(DATE(2026,4,1),1))</f>
        <v>0</v>
      </c>
    </row>
    <row r="28" customFormat="false" ht="15" hidden="false" customHeight="true" outlineLevel="0" collapsed="false">
      <c r="A28" s="8" t="s">
        <v>60</v>
      </c>
      <c r="B28" s="30" t="n">
        <f aca="false">SUMIFS(Détail!$E:$E,Détail!$D:$D,"OFFICE DEPOT",Détail!$A:$A,"&gt;="&amp;DATE(2026,5,1),Détail!$A:$A,"&lt;"&amp;EDATE(DATE(2026,5,1),1))</f>
        <v>0</v>
      </c>
    </row>
    <row r="29" customFormat="false" ht="15" hidden="false" customHeight="true" outlineLevel="0" collapsed="false">
      <c r="A29" s="8" t="s">
        <v>61</v>
      </c>
      <c r="B29" s="30" t="n">
        <f aca="false">SUMIFS(Détail!$E:$E,Détail!$D:$D,"OFFICE DEPOT",Détail!$A:$A,"&gt;="&amp;DATE(2026,6,1),Détail!$A:$A,"&lt;"&amp;EDATE(DATE(2026,6,1),1))</f>
        <v>-280.49</v>
      </c>
    </row>
    <row r="30" customFormat="false" ht="15" hidden="false" customHeight="true" outlineLevel="0" collapsed="false">
      <c r="A30" s="8" t="s">
        <v>62</v>
      </c>
      <c r="B30" s="30" t="n">
        <f aca="false">SUMIFS(Détail!$E:$E,Détail!$D:$D,"OFFICE DEPOT",Détail!$A:$A,"&gt;="&amp;DATE(2026,7,1),Détail!$A:$A,"&lt;"&amp;EDATE(DATE(2026,7,1),1))</f>
        <v>-195.96</v>
      </c>
    </row>
    <row r="33" customFormat="false" ht="15" hidden="false" customHeight="true" outlineLevel="0" collapsed="false">
      <c r="A33" s="28" t="s">
        <v>188</v>
      </c>
      <c r="B33" s="28"/>
      <c r="C33" s="29" t="n">
        <f aca="false">SUMIF(Détail!$D:$D,"ALIEXPRESS",Détail!$E:$E)</f>
        <v>-440.23</v>
      </c>
    </row>
    <row r="34" customFormat="false" ht="15" hidden="false" customHeight="true" outlineLevel="0" collapsed="false">
      <c r="A34" s="23" t="s">
        <v>54</v>
      </c>
      <c r="B34" s="23" t="s">
        <v>55</v>
      </c>
    </row>
    <row r="35" customFormat="false" ht="15" hidden="false" customHeight="true" outlineLevel="0" collapsed="false">
      <c r="A35" s="8" t="s">
        <v>57</v>
      </c>
      <c r="B35" s="30" t="n">
        <f aca="false">SUMIFS(Détail!$E:$E,Détail!$D:$D,"ALIEXPRESS",Détail!$A:$A,"&gt;="&amp;DATE(2026,2,1),Détail!$A:$A,"&lt;"&amp;EDATE(DATE(2026,2,1),1))</f>
        <v>0</v>
      </c>
    </row>
    <row r="36" customFormat="false" ht="15" hidden="false" customHeight="true" outlineLevel="0" collapsed="false">
      <c r="A36" s="8" t="s">
        <v>58</v>
      </c>
      <c r="B36" s="30" t="n">
        <f aca="false">SUMIFS(Détail!$E:$E,Détail!$D:$D,"ALIEXPRESS",Détail!$A:$A,"&gt;="&amp;DATE(2026,3,1),Détail!$A:$A,"&lt;"&amp;EDATE(DATE(2026,3,1),1))</f>
        <v>0</v>
      </c>
    </row>
    <row r="37" customFormat="false" ht="15" hidden="false" customHeight="true" outlineLevel="0" collapsed="false">
      <c r="A37" s="8" t="s">
        <v>59</v>
      </c>
      <c r="B37" s="30" t="n">
        <f aca="false">SUMIFS(Détail!$E:$E,Détail!$D:$D,"ALIEXPRESS",Détail!$A:$A,"&gt;="&amp;DATE(2026,4,1),Détail!$A:$A,"&lt;"&amp;EDATE(DATE(2026,4,1),1))</f>
        <v>0</v>
      </c>
    </row>
    <row r="38" customFormat="false" ht="15" hidden="false" customHeight="true" outlineLevel="0" collapsed="false">
      <c r="A38" s="8" t="s">
        <v>60</v>
      </c>
      <c r="B38" s="30" t="n">
        <f aca="false">SUMIFS(Détail!$E:$E,Détail!$D:$D,"ALIEXPRESS",Détail!$A:$A,"&gt;="&amp;DATE(2026,5,1),Détail!$A:$A,"&lt;"&amp;EDATE(DATE(2026,5,1),1))</f>
        <v>0</v>
      </c>
    </row>
    <row r="39" customFormat="false" ht="15" hidden="false" customHeight="true" outlineLevel="0" collapsed="false">
      <c r="A39" s="8" t="s">
        <v>61</v>
      </c>
      <c r="B39" s="30" t="n">
        <f aca="false">SUMIFS(Détail!$E:$E,Détail!$D:$D,"ALIEXPRESS",Détail!$A:$A,"&gt;="&amp;DATE(2026,6,1),Détail!$A:$A,"&lt;"&amp;EDATE(DATE(2026,6,1),1))</f>
        <v>-440.23</v>
      </c>
    </row>
    <row r="40" customFormat="false" ht="15" hidden="false" customHeight="true" outlineLevel="0" collapsed="false">
      <c r="A40" s="8" t="s">
        <v>62</v>
      </c>
      <c r="B40" s="30" t="n">
        <f aca="false">SUMIFS(Détail!$E:$E,Détail!$D:$D,"ALIEXPRESS",Détail!$A:$A,"&gt;="&amp;DATE(2026,7,1),Détail!$A:$A,"&lt;"&amp;EDATE(DATE(2026,7,1),1))</f>
        <v>0</v>
      </c>
    </row>
    <row r="43" customFormat="false" ht="15" hidden="false" customHeight="true" outlineLevel="0" collapsed="false">
      <c r="A43" s="28" t="s">
        <v>189</v>
      </c>
      <c r="B43" s="28"/>
      <c r="C43" s="29" t="n">
        <f aca="false">SUMIF(Détail!$D:$D,"ARAMEX EMIRATES",Détail!$E:$E)</f>
        <v>-132.6</v>
      </c>
    </row>
    <row r="44" customFormat="false" ht="15" hidden="false" customHeight="true" outlineLevel="0" collapsed="false">
      <c r="A44" s="23" t="s">
        <v>54</v>
      </c>
      <c r="B44" s="23" t="s">
        <v>55</v>
      </c>
    </row>
    <row r="45" customFormat="false" ht="15" hidden="false" customHeight="true" outlineLevel="0" collapsed="false">
      <c r="A45" s="8" t="s">
        <v>57</v>
      </c>
      <c r="B45" s="30" t="n">
        <f aca="false">SUMIFS(Détail!$E:$E,Détail!$D:$D,"ARAMEX EMIRATES",Détail!$A:$A,"&gt;="&amp;DATE(2026,2,1),Détail!$A:$A,"&lt;"&amp;EDATE(DATE(2026,2,1),1))</f>
        <v>0</v>
      </c>
    </row>
    <row r="46" customFormat="false" ht="15" hidden="false" customHeight="true" outlineLevel="0" collapsed="false">
      <c r="A46" s="8" t="s">
        <v>58</v>
      </c>
      <c r="B46" s="30" t="n">
        <f aca="false">SUMIFS(Détail!$E:$E,Détail!$D:$D,"ARAMEX EMIRATES",Détail!$A:$A,"&gt;="&amp;DATE(2026,3,1),Détail!$A:$A,"&lt;"&amp;EDATE(DATE(2026,3,1),1))</f>
        <v>0</v>
      </c>
    </row>
    <row r="47" customFormat="false" ht="15" hidden="false" customHeight="true" outlineLevel="0" collapsed="false">
      <c r="A47" s="8" t="s">
        <v>59</v>
      </c>
      <c r="B47" s="30" t="n">
        <f aca="false">SUMIFS(Détail!$E:$E,Détail!$D:$D,"ARAMEX EMIRATES",Détail!$A:$A,"&gt;="&amp;DATE(2026,4,1),Détail!$A:$A,"&lt;"&amp;EDATE(DATE(2026,4,1),1))</f>
        <v>0</v>
      </c>
    </row>
    <row r="48" customFormat="false" ht="15" hidden="false" customHeight="true" outlineLevel="0" collapsed="false">
      <c r="A48" s="8" t="s">
        <v>60</v>
      </c>
      <c r="B48" s="30" t="n">
        <f aca="false">SUMIFS(Détail!$E:$E,Détail!$D:$D,"ARAMEX EMIRATES",Détail!$A:$A,"&gt;="&amp;DATE(2026,5,1),Détail!$A:$A,"&lt;"&amp;EDATE(DATE(2026,5,1),1))</f>
        <v>-132.6</v>
      </c>
    </row>
    <row r="49" customFormat="false" ht="15" hidden="false" customHeight="true" outlineLevel="0" collapsed="false">
      <c r="A49" s="8" t="s">
        <v>61</v>
      </c>
      <c r="B49" s="30" t="n">
        <f aca="false">SUMIFS(Détail!$E:$E,Détail!$D:$D,"ARAMEX EMIRATES",Détail!$A:$A,"&gt;="&amp;DATE(2026,6,1),Détail!$A:$A,"&lt;"&amp;EDATE(DATE(2026,6,1),1))</f>
        <v>0</v>
      </c>
    </row>
    <row r="50" customFormat="false" ht="15" hidden="false" customHeight="true" outlineLevel="0" collapsed="false">
      <c r="A50" s="8" t="s">
        <v>62</v>
      </c>
      <c r="B50" s="30" t="n">
        <f aca="false">SUMIFS(Détail!$E:$E,Détail!$D:$D,"ARAMEX EMIRATES",Détail!$A:$A,"&gt;="&amp;DATE(2026,7,1),Détail!$A:$A,"&lt;"&amp;EDATE(DATE(2026,7,1),1))</f>
        <v>0</v>
      </c>
    </row>
    <row r="53" customFormat="false" ht="15" hidden="false" customHeight="true" outlineLevel="0" collapsed="false">
      <c r="A53" s="28" t="s">
        <v>190</v>
      </c>
      <c r="B53" s="28"/>
      <c r="C53" s="29" t="n">
        <f aca="false">SUMIF(Détail!$D:$D,"PK NOVEDAD ONLI",Détail!$E:$E)</f>
        <v>-82.8</v>
      </c>
    </row>
    <row r="54" customFormat="false" ht="15" hidden="false" customHeight="true" outlineLevel="0" collapsed="false">
      <c r="A54" s="23" t="s">
        <v>54</v>
      </c>
      <c r="B54" s="23" t="s">
        <v>55</v>
      </c>
    </row>
    <row r="55" customFormat="false" ht="15" hidden="false" customHeight="true" outlineLevel="0" collapsed="false">
      <c r="A55" s="8" t="s">
        <v>57</v>
      </c>
      <c r="B55" s="30" t="n">
        <f aca="false">SUMIFS(Détail!$E:$E,Détail!$D:$D,"PK NOVEDAD ONLI",Détail!$A:$A,"&gt;="&amp;DATE(2026,2,1),Détail!$A:$A,"&lt;"&amp;EDATE(DATE(2026,2,1),1))</f>
        <v>0</v>
      </c>
    </row>
    <row r="56" customFormat="false" ht="15" hidden="false" customHeight="true" outlineLevel="0" collapsed="false">
      <c r="A56" s="8" t="s">
        <v>58</v>
      </c>
      <c r="B56" s="30" t="n">
        <f aca="false">SUMIFS(Détail!$E:$E,Détail!$D:$D,"PK NOVEDAD ONLI",Détail!$A:$A,"&gt;="&amp;DATE(2026,3,1),Détail!$A:$A,"&lt;"&amp;EDATE(DATE(2026,3,1),1))</f>
        <v>0</v>
      </c>
    </row>
    <row r="57" customFormat="false" ht="15" hidden="false" customHeight="true" outlineLevel="0" collapsed="false">
      <c r="A57" s="8" t="s">
        <v>59</v>
      </c>
      <c r="B57" s="30" t="n">
        <f aca="false">SUMIFS(Détail!$E:$E,Détail!$D:$D,"PK NOVEDAD ONLI",Détail!$A:$A,"&gt;="&amp;DATE(2026,4,1),Détail!$A:$A,"&lt;"&amp;EDATE(DATE(2026,4,1),1))</f>
        <v>-82.8</v>
      </c>
    </row>
    <row r="58" customFormat="false" ht="15" hidden="false" customHeight="true" outlineLevel="0" collapsed="false">
      <c r="A58" s="8" t="s">
        <v>60</v>
      </c>
      <c r="B58" s="30" t="n">
        <f aca="false">SUMIFS(Détail!$E:$E,Détail!$D:$D,"PK NOVEDAD ONLI",Détail!$A:$A,"&gt;="&amp;DATE(2026,5,1),Détail!$A:$A,"&lt;"&amp;EDATE(DATE(2026,5,1),1))</f>
        <v>0</v>
      </c>
    </row>
    <row r="59" customFormat="false" ht="15" hidden="false" customHeight="true" outlineLevel="0" collapsed="false">
      <c r="A59" s="8" t="s">
        <v>61</v>
      </c>
      <c r="B59" s="30" t="n">
        <f aca="false">SUMIFS(Détail!$E:$E,Détail!$D:$D,"PK NOVEDAD ONLI",Détail!$A:$A,"&gt;="&amp;DATE(2026,6,1),Détail!$A:$A,"&lt;"&amp;EDATE(DATE(2026,6,1),1))</f>
        <v>0</v>
      </c>
    </row>
    <row r="60" customFormat="false" ht="15" hidden="false" customHeight="true" outlineLevel="0" collapsed="false">
      <c r="A60" s="8" t="s">
        <v>62</v>
      </c>
      <c r="B60" s="30" t="n">
        <f aca="false">SUMIFS(Détail!$E:$E,Détail!$D:$D,"PK NOVEDAD ONLI",Détail!$A:$A,"&gt;="&amp;DATE(2026,7,1),Détail!$A:$A,"&lt;"&amp;EDATE(DATE(2026,7,1),1))</f>
        <v>0</v>
      </c>
    </row>
    <row r="63" customFormat="false" ht="15" hidden="false" customHeight="true" outlineLevel="0" collapsed="false">
      <c r="A63" s="28" t="s">
        <v>191</v>
      </c>
      <c r="B63" s="28"/>
      <c r="C63" s="29" t="n">
        <f aca="false">SUMIF(Détail!$D:$D,"ACTION 4632",Détail!$E:$E)</f>
        <v>-40.33</v>
      </c>
    </row>
    <row r="64" customFormat="false" ht="15" hidden="false" customHeight="true" outlineLevel="0" collapsed="false">
      <c r="A64" s="23" t="s">
        <v>54</v>
      </c>
      <c r="B64" s="23" t="s">
        <v>55</v>
      </c>
    </row>
    <row r="65" customFormat="false" ht="15" hidden="false" customHeight="true" outlineLevel="0" collapsed="false">
      <c r="A65" s="8" t="s">
        <v>57</v>
      </c>
      <c r="B65" s="30" t="n">
        <f aca="false">SUMIFS(Détail!$E:$E,Détail!$D:$D,"ACTION 4632",Détail!$A:$A,"&gt;="&amp;DATE(2026,2,1),Détail!$A:$A,"&lt;"&amp;EDATE(DATE(2026,2,1),1))</f>
        <v>0</v>
      </c>
    </row>
    <row r="66" customFormat="false" ht="15" hidden="false" customHeight="true" outlineLevel="0" collapsed="false">
      <c r="A66" s="8" t="s">
        <v>58</v>
      </c>
      <c r="B66" s="30" t="n">
        <f aca="false">SUMIFS(Détail!$E:$E,Détail!$D:$D,"ACTION 4632",Détail!$A:$A,"&gt;="&amp;DATE(2026,3,1),Détail!$A:$A,"&lt;"&amp;EDATE(DATE(2026,3,1),1))</f>
        <v>0</v>
      </c>
    </row>
    <row r="67" customFormat="false" ht="15" hidden="false" customHeight="true" outlineLevel="0" collapsed="false">
      <c r="A67" s="8" t="s">
        <v>59</v>
      </c>
      <c r="B67" s="30" t="n">
        <f aca="false">SUMIFS(Détail!$E:$E,Détail!$D:$D,"ACTION 4632",Détail!$A:$A,"&gt;="&amp;DATE(2026,4,1),Détail!$A:$A,"&lt;"&amp;EDATE(DATE(2026,4,1),1))</f>
        <v>0</v>
      </c>
    </row>
    <row r="68" customFormat="false" ht="15" hidden="false" customHeight="true" outlineLevel="0" collapsed="false">
      <c r="A68" s="8" t="s">
        <v>60</v>
      </c>
      <c r="B68" s="30" t="n">
        <f aca="false">SUMIFS(Détail!$E:$E,Détail!$D:$D,"ACTION 4632",Détail!$A:$A,"&gt;="&amp;DATE(2026,5,1),Détail!$A:$A,"&lt;"&amp;EDATE(DATE(2026,5,1),1))</f>
        <v>0</v>
      </c>
    </row>
    <row r="69" customFormat="false" ht="15" hidden="false" customHeight="true" outlineLevel="0" collapsed="false">
      <c r="A69" s="8" t="s">
        <v>61</v>
      </c>
      <c r="B69" s="30" t="n">
        <f aca="false">SUMIFS(Détail!$E:$E,Détail!$D:$D,"ACTION 4632",Détail!$A:$A,"&gt;="&amp;DATE(2026,6,1),Détail!$A:$A,"&lt;"&amp;EDATE(DATE(2026,6,1),1))</f>
        <v>0</v>
      </c>
    </row>
    <row r="70" customFormat="false" ht="15" hidden="false" customHeight="true" outlineLevel="0" collapsed="false">
      <c r="A70" s="8" t="s">
        <v>62</v>
      </c>
      <c r="B70" s="30" t="n">
        <f aca="false">SUMIFS(Détail!$E:$E,Détail!$D:$D,"ACTION 4632",Détail!$A:$A,"&gt;="&amp;DATE(2026,7,1),Détail!$A:$A,"&lt;"&amp;EDATE(DATE(2026,7,1),1))</f>
        <v>-40.33</v>
      </c>
    </row>
    <row r="73" customFormat="false" ht="15" hidden="false" customHeight="true" outlineLevel="0" collapsed="false">
      <c r="A73" s="28" t="s">
        <v>192</v>
      </c>
      <c r="B73" s="28"/>
      <c r="C73" s="29" t="n">
        <f aca="false">SUMIF(Détail!$D:$D,"FNAC - NFC",Détail!$E:$E)</f>
        <v>-40.28</v>
      </c>
    </row>
    <row r="74" customFormat="false" ht="15" hidden="false" customHeight="true" outlineLevel="0" collapsed="false">
      <c r="A74" s="23" t="s">
        <v>54</v>
      </c>
      <c r="B74" s="23" t="s">
        <v>55</v>
      </c>
    </row>
    <row r="75" customFormat="false" ht="15" hidden="false" customHeight="true" outlineLevel="0" collapsed="false">
      <c r="A75" s="8" t="s">
        <v>57</v>
      </c>
      <c r="B75" s="30" t="n">
        <f aca="false">SUMIFS(Détail!$E:$E,Détail!$D:$D,"FNAC - NFC",Détail!$A:$A,"&gt;="&amp;DATE(2026,2,1),Détail!$A:$A,"&lt;"&amp;EDATE(DATE(2026,2,1),1))</f>
        <v>-40.28</v>
      </c>
    </row>
    <row r="76" customFormat="false" ht="15" hidden="false" customHeight="true" outlineLevel="0" collapsed="false">
      <c r="A76" s="8" t="s">
        <v>58</v>
      </c>
      <c r="B76" s="30" t="n">
        <f aca="false">SUMIFS(Détail!$E:$E,Détail!$D:$D,"FNAC - NFC",Détail!$A:$A,"&gt;="&amp;DATE(2026,3,1),Détail!$A:$A,"&lt;"&amp;EDATE(DATE(2026,3,1),1))</f>
        <v>0</v>
      </c>
    </row>
    <row r="77" customFormat="false" ht="15" hidden="false" customHeight="true" outlineLevel="0" collapsed="false">
      <c r="A77" s="8" t="s">
        <v>59</v>
      </c>
      <c r="B77" s="30" t="n">
        <f aca="false">SUMIFS(Détail!$E:$E,Détail!$D:$D,"FNAC - NFC",Détail!$A:$A,"&gt;="&amp;DATE(2026,4,1),Détail!$A:$A,"&lt;"&amp;EDATE(DATE(2026,4,1),1))</f>
        <v>0</v>
      </c>
    </row>
    <row r="78" customFormat="false" ht="15" hidden="false" customHeight="true" outlineLevel="0" collapsed="false">
      <c r="A78" s="8" t="s">
        <v>60</v>
      </c>
      <c r="B78" s="30" t="n">
        <f aca="false">SUMIFS(Détail!$E:$E,Détail!$D:$D,"FNAC - NFC",Détail!$A:$A,"&gt;="&amp;DATE(2026,5,1),Détail!$A:$A,"&lt;"&amp;EDATE(DATE(2026,5,1),1))</f>
        <v>0</v>
      </c>
    </row>
    <row r="79" customFormat="false" ht="15" hidden="false" customHeight="true" outlineLevel="0" collapsed="false">
      <c r="A79" s="8" t="s">
        <v>61</v>
      </c>
      <c r="B79" s="30" t="n">
        <f aca="false">SUMIFS(Détail!$E:$E,Détail!$D:$D,"FNAC - NFC",Détail!$A:$A,"&gt;="&amp;DATE(2026,6,1),Détail!$A:$A,"&lt;"&amp;EDATE(DATE(2026,6,1),1))</f>
        <v>0</v>
      </c>
    </row>
    <row r="80" customFormat="false" ht="15" hidden="false" customHeight="true" outlineLevel="0" collapsed="false">
      <c r="A80" s="8" t="s">
        <v>62</v>
      </c>
      <c r="B80" s="30" t="n">
        <f aca="false">SUMIFS(Détail!$E:$E,Détail!$D:$D,"FNAC - NFC",Détail!$A:$A,"&gt;="&amp;DATE(2026,7,1),Détail!$A:$A,"&lt;"&amp;EDATE(DATE(2026,7,1),1))</f>
        <v>0</v>
      </c>
    </row>
    <row r="83" customFormat="false" ht="15" hidden="false" customHeight="true" outlineLevel="0" collapsed="false">
      <c r="A83" s="28" t="s">
        <v>193</v>
      </c>
      <c r="B83" s="28"/>
      <c r="C83" s="29" t="n">
        <f aca="false">SUMIF(Détail!$D:$D,"BRICORAMA",Détail!$E:$E)</f>
        <v>-6.99</v>
      </c>
    </row>
    <row r="84" customFormat="false" ht="15" hidden="false" customHeight="true" outlineLevel="0" collapsed="false">
      <c r="A84" s="23" t="s">
        <v>54</v>
      </c>
      <c r="B84" s="23" t="s">
        <v>55</v>
      </c>
    </row>
    <row r="85" customFormat="false" ht="15" hidden="false" customHeight="true" outlineLevel="0" collapsed="false">
      <c r="A85" s="8" t="s">
        <v>57</v>
      </c>
      <c r="B85" s="30" t="n">
        <f aca="false">SUMIFS(Détail!$E:$E,Détail!$D:$D,"BRICORAMA",Détail!$A:$A,"&gt;="&amp;DATE(2026,2,1),Détail!$A:$A,"&lt;"&amp;EDATE(DATE(2026,2,1),1))</f>
        <v>-6.99</v>
      </c>
    </row>
    <row r="86" customFormat="false" ht="15" hidden="false" customHeight="true" outlineLevel="0" collapsed="false">
      <c r="A86" s="8" t="s">
        <v>58</v>
      </c>
      <c r="B86" s="30" t="n">
        <f aca="false">SUMIFS(Détail!$E:$E,Détail!$D:$D,"BRICORAMA",Détail!$A:$A,"&gt;="&amp;DATE(2026,3,1),Détail!$A:$A,"&lt;"&amp;EDATE(DATE(2026,3,1),1))</f>
        <v>0</v>
      </c>
    </row>
    <row r="87" customFormat="false" ht="15" hidden="false" customHeight="true" outlineLevel="0" collapsed="false">
      <c r="A87" s="8" t="s">
        <v>59</v>
      </c>
      <c r="B87" s="30" t="n">
        <f aca="false">SUMIFS(Détail!$E:$E,Détail!$D:$D,"BRICORAMA",Détail!$A:$A,"&gt;="&amp;DATE(2026,4,1),Détail!$A:$A,"&lt;"&amp;EDATE(DATE(2026,4,1),1))</f>
        <v>0</v>
      </c>
    </row>
    <row r="88" customFormat="false" ht="15" hidden="false" customHeight="true" outlineLevel="0" collapsed="false">
      <c r="A88" s="8" t="s">
        <v>60</v>
      </c>
      <c r="B88" s="30" t="n">
        <f aca="false">SUMIFS(Détail!$E:$E,Détail!$D:$D,"BRICORAMA",Détail!$A:$A,"&gt;="&amp;DATE(2026,5,1),Détail!$A:$A,"&lt;"&amp;EDATE(DATE(2026,5,1),1))</f>
        <v>0</v>
      </c>
    </row>
    <row r="89" customFormat="false" ht="15" hidden="false" customHeight="true" outlineLevel="0" collapsed="false">
      <c r="A89" s="8" t="s">
        <v>61</v>
      </c>
      <c r="B89" s="30" t="n">
        <f aca="false">SUMIFS(Détail!$E:$E,Détail!$D:$D,"BRICORAMA",Détail!$A:$A,"&gt;="&amp;DATE(2026,6,1),Détail!$A:$A,"&lt;"&amp;EDATE(DATE(2026,6,1),1))</f>
        <v>0</v>
      </c>
    </row>
    <row r="90" customFormat="false" ht="15" hidden="false" customHeight="true" outlineLevel="0" collapsed="false">
      <c r="A90" s="8" t="s">
        <v>62</v>
      </c>
      <c r="B90" s="30" t="n">
        <f aca="false">SUMIFS(Détail!$E:$E,Détail!$D:$D,"BRICORAMA",Détail!$A:$A,"&gt;="&amp;DATE(2026,7,1),Détail!$A:$A,"&lt;"&amp;EDATE(DATE(2026,7,1),1))</f>
        <v>0</v>
      </c>
    </row>
  </sheetData>
  <mergeCells count="9">
    <mergeCell ref="A3:B3"/>
    <mergeCell ref="A13:B13"/>
    <mergeCell ref="A23:B23"/>
    <mergeCell ref="A33:B33"/>
    <mergeCell ref="A43:B43"/>
    <mergeCell ref="A53:B53"/>
    <mergeCell ref="A63:B63"/>
    <mergeCell ref="A73:B73"/>
    <mergeCell ref="A83:B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194</v>
      </c>
    </row>
    <row r="3" customFormat="false" ht="15" hidden="false" customHeight="true" outlineLevel="0" collapsed="false">
      <c r="A3" s="28" t="s">
        <v>195</v>
      </c>
      <c r="B3" s="28"/>
      <c r="C3" s="29" t="n">
        <f aca="false">SUMIF(Détail!$D:$D,"IFS",Détail!$E:$E)</f>
        <v>-40894.81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SUMIFS(Détail!$E:$E,Détail!$D:$D,"IFS",Détail!$A:$A,"&gt;="&amp;DATE(2026,1,1),Détail!$A:$A,"&lt;"&amp;EDATE(DATE(2026,1,1),1))</f>
        <v>-6343.1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SUMIFS(Détail!$E:$E,Détail!$D:$D,"IFS",Détail!$A:$A,"&gt;="&amp;DATE(2026,2,1),Détail!$A:$A,"&lt;"&amp;EDATE(DATE(2026,2,1),1))</f>
        <v>-5951.2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SUMIFS(Détail!$E:$E,Détail!$D:$D,"IFS",Détail!$A:$A,"&gt;="&amp;DATE(2026,3,1),Détail!$A:$A,"&lt;"&amp;EDATE(DATE(2026,3,1),1))</f>
        <v>0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SUMIFS(Détail!$E:$E,Détail!$D:$D,"IFS",Détail!$A:$A,"&gt;="&amp;DATE(2026,4,1),Détail!$A:$A,"&lt;"&amp;EDATE(DATE(2026,4,1),1))</f>
        <v>-9975.2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SUMIFS(Détail!$E:$E,Détail!$D:$D,"IFS",Détail!$A:$A,"&gt;="&amp;DATE(2026,5,1),Détail!$A:$A,"&lt;"&amp;EDATE(DATE(2026,5,1),1))</f>
        <v>-7826.85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SUMIFS(Détail!$E:$E,Détail!$D:$D,"IFS",Détail!$A:$A,"&gt;="&amp;DATE(2026,6,1),Détail!$A:$A,"&lt;"&amp;EDATE(DATE(2026,6,1),1))</f>
        <v>-10798.46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SUMIFS(Détail!$E:$E,Détail!$D:$D,"IFS",Détail!$A:$A,"&gt;="&amp;DATE(2026,7,1),Détail!$A:$A,"&lt;"&amp;EDATE(DATE(2026,7,1),1))</f>
        <v>0</v>
      </c>
    </row>
    <row r="14" customFormat="false" ht="15" hidden="false" customHeight="true" outlineLevel="0" collapsed="false">
      <c r="A14" s="28" t="s">
        <v>196</v>
      </c>
      <c r="B14" s="28"/>
      <c r="C14" s="29" t="n">
        <f aca="false">SUMIF(Détail!$D:$D,"LA POSTE.FR",Détail!$E:$E)</f>
        <v>-1125.82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SUMIFS(Détail!$E:$E,Détail!$D:$D,"LA POSTE.FR",Détail!$A:$A,"&gt;="&amp;DATE(2026,1,1),Détail!$A:$A,"&lt;"&amp;EDATE(DATE(2026,1,1),1))</f>
        <v>-109.36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SUMIFS(Détail!$E:$E,Détail!$D:$D,"LA POSTE.FR",Détail!$A:$A,"&gt;="&amp;DATE(2026,2,1),Détail!$A:$A,"&lt;"&amp;EDATE(DATE(2026,2,1),1))</f>
        <v>-36.27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SUMIFS(Détail!$E:$E,Détail!$D:$D,"LA POSTE.FR",Détail!$A:$A,"&gt;="&amp;DATE(2026,3,1),Détail!$A:$A,"&lt;"&amp;EDATE(DATE(2026,3,1),1))</f>
        <v>-143.13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SUMIFS(Détail!$E:$E,Détail!$D:$D,"LA POSTE.FR",Détail!$A:$A,"&gt;="&amp;DATE(2026,4,1),Détail!$A:$A,"&lt;"&amp;EDATE(DATE(2026,4,1),1))</f>
        <v>-457.25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SUMIFS(Détail!$E:$E,Détail!$D:$D,"LA POSTE.FR",Détail!$A:$A,"&gt;="&amp;DATE(2026,5,1),Détail!$A:$A,"&lt;"&amp;EDATE(DATE(2026,5,1),1))</f>
        <v>-100.22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SUMIFS(Détail!$E:$E,Détail!$D:$D,"LA POSTE.FR",Détail!$A:$A,"&gt;="&amp;DATE(2026,6,1),Détail!$A:$A,"&lt;"&amp;EDATE(DATE(2026,6,1),1))</f>
        <v>-243.72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SUMIFS(Détail!$E:$E,Détail!$D:$D,"LA POSTE.FR",Détail!$A:$A,"&gt;="&amp;DATE(2026,7,1),Détail!$A:$A,"&lt;"&amp;EDATE(DATE(2026,7,1),1))</f>
        <v>-35.87</v>
      </c>
    </row>
    <row r="25" customFormat="false" ht="15" hidden="false" customHeight="true" outlineLevel="0" collapsed="false">
      <c r="A25" s="28" t="s">
        <v>197</v>
      </c>
      <c r="B25" s="28"/>
      <c r="C25" s="29" t="n">
        <f aca="false">SUMIF(Détail!$D:$D,"DHL INTERNAT. EXP FRANCE",Détail!$E:$E)</f>
        <v>-894.27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SUMIFS(Détail!$E:$E,Détail!$D:$D,"DHL INTERNAT. EXP FRANCE",Détail!$A:$A,"&gt;="&amp;DATE(2026,1,1),Détail!$A:$A,"&lt;"&amp;EDATE(DATE(2026,1,1),1))</f>
        <v>0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SUMIFS(Détail!$E:$E,Détail!$D:$D,"DHL INTERNAT. EXP FRANCE",Détail!$A:$A,"&gt;="&amp;DATE(2026,2,1),Détail!$A:$A,"&lt;"&amp;EDATE(DATE(2026,2,1),1))</f>
        <v>-54.76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SUMIFS(Détail!$E:$E,Détail!$D:$D,"DHL INTERNAT. EXP FRANCE",Détail!$A:$A,"&gt;="&amp;DATE(2026,3,1),Détail!$A:$A,"&lt;"&amp;EDATE(DATE(2026,3,1),1))</f>
        <v>-348.76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SUMIFS(Détail!$E:$E,Détail!$D:$D,"DHL INTERNAT. EXP FRANCE",Détail!$A:$A,"&gt;="&amp;DATE(2026,4,1),Détail!$A:$A,"&lt;"&amp;EDATE(DATE(2026,4,1),1))</f>
        <v>-63.05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SUMIFS(Détail!$E:$E,Détail!$D:$D,"DHL INTERNAT. EXP FRANCE",Détail!$A:$A,"&gt;="&amp;DATE(2026,5,1),Détail!$A:$A,"&lt;"&amp;EDATE(DATE(2026,5,1),1))</f>
        <v>-196.21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SUMIFS(Détail!$E:$E,Détail!$D:$D,"DHL INTERNAT. EXP FRANCE",Détail!$A:$A,"&gt;="&amp;DATE(2026,6,1),Détail!$A:$A,"&lt;"&amp;EDATE(DATE(2026,6,1),1))</f>
        <v>-231.49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SUMIFS(Détail!$E:$E,Détail!$D:$D,"DHL INTERNAT. EXP FRANCE",Détail!$A:$A,"&gt;="&amp;DATE(2026,7,1),Détail!$A:$A,"&lt;"&amp;EDATE(DATE(2026,7,1),1))</f>
        <v>0</v>
      </c>
    </row>
  </sheetData>
  <mergeCells count="3">
    <mergeCell ref="A3:B3"/>
    <mergeCell ref="A14:B1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198</v>
      </c>
    </row>
    <row r="3" customFormat="false" ht="15" hidden="false" customHeight="true" outlineLevel="0" collapsed="false">
      <c r="A3" s="28" t="s">
        <v>199</v>
      </c>
      <c r="B3" s="28"/>
      <c r="C3" s="29" t="n">
        <f aca="false">SUMIF(Détail!$D:$D,"PRET PROFESSIONNEL EQUIPEMENT (N°07113890)",Détail!$E:$E)</f>
        <v>-2232.96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59</v>
      </c>
      <c r="B5" s="30" t="n">
        <f aca="false">SUMIFS(Détail!$E:$E,Détail!$D:$D,"PRET PROFESSIONNEL EQUIPEMENT (N°07113890)",Détail!$A:$A,"&gt;="&amp;DATE(2026,4,1),Détail!$A:$A,"&lt;"&amp;EDATE(DATE(2026,4,1),1))</f>
        <v>-558.24</v>
      </c>
    </row>
    <row r="6" customFormat="false" ht="15" hidden="false" customHeight="true" outlineLevel="0" collapsed="false">
      <c r="A6" s="8" t="s">
        <v>60</v>
      </c>
      <c r="B6" s="30" t="n">
        <f aca="false">SUMIFS(Détail!$E:$E,Détail!$D:$D,"PRET PROFESSIONNEL EQUIPEMENT (N°07113890)",Détail!$A:$A,"&gt;="&amp;DATE(2026,5,1),Détail!$A:$A,"&lt;"&amp;EDATE(DATE(2026,5,1),1))</f>
        <v>-558.24</v>
      </c>
    </row>
    <row r="7" customFormat="false" ht="15" hidden="false" customHeight="true" outlineLevel="0" collapsed="false">
      <c r="A7" s="8" t="s">
        <v>61</v>
      </c>
      <c r="B7" s="30" t="n">
        <f aca="false">SUMIFS(Détail!$E:$E,Détail!$D:$D,"PRET PROFESSIONNEL EQUIPEMENT (N°07113890)",Détail!$A:$A,"&gt;="&amp;DATE(2026,6,1),Détail!$A:$A,"&lt;"&amp;EDATE(DATE(2026,6,1),1))</f>
        <v>-558.24</v>
      </c>
    </row>
    <row r="8" customFormat="false" ht="15" hidden="false" customHeight="true" outlineLevel="0" collapsed="false">
      <c r="A8" s="8" t="s">
        <v>62</v>
      </c>
      <c r="B8" s="30" t="n">
        <f aca="false">SUMIFS(Détail!$E:$E,Détail!$D:$D,"PRET PROFESSIONNEL EQUIPEMENT (N°07113890)",Détail!$A:$A,"&gt;="&amp;DATE(2026,7,1),Détail!$A:$A,"&lt;"&amp;EDATE(DATE(2026,7,1),1))</f>
        <v>-558.24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200</v>
      </c>
    </row>
    <row r="3" customFormat="false" ht="15" hidden="false" customHeight="true" outlineLevel="0" collapsed="false">
      <c r="A3" s="28" t="s">
        <v>201</v>
      </c>
      <c r="B3" s="28"/>
      <c r="C3" s="29" t="n">
        <f aca="false">SUMIF(Détail!$D:$D,"REGLEMENT SAISIE (AMENDE)",Détail!$E:$E)</f>
        <v>-1875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60</v>
      </c>
      <c r="B5" s="30" t="n">
        <f aca="false">SUMIFS(Détail!$E:$E,Détail!$D:$D,"REGLEMENT SAISIE (AMENDE)",Détail!$A:$A,"&gt;="&amp;DATE(2026,5,1),Détail!$A:$A,"&lt;"&amp;EDATE(DATE(2026,5,1),1))</f>
        <v>0</v>
      </c>
    </row>
    <row r="6" customFormat="false" ht="15" hidden="false" customHeight="true" outlineLevel="0" collapsed="false">
      <c r="A6" s="8" t="s">
        <v>61</v>
      </c>
      <c r="B6" s="30" t="n">
        <f aca="false">SUMIFS(Détail!$E:$E,Détail!$D:$D,"REGLEMENT SAISIE (AMENDE)",Détail!$A:$A,"&gt;="&amp;DATE(2026,6,1),Détail!$A:$A,"&lt;"&amp;EDATE(DATE(2026,6,1),1))</f>
        <v>-1875</v>
      </c>
    </row>
    <row r="9" customFormat="false" ht="15" hidden="false" customHeight="true" outlineLevel="0" collapsed="false">
      <c r="A9" s="28" t="s">
        <v>202</v>
      </c>
      <c r="B9" s="28"/>
      <c r="C9" s="29" t="n">
        <f aca="false">SUMIF(Détail!$D:$D,"FRAIS BANCAIRES SAISIE",Détail!$E:$E)</f>
        <v>-100</v>
      </c>
    </row>
    <row r="10" customFormat="false" ht="15" hidden="false" customHeight="true" outlineLevel="0" collapsed="false">
      <c r="A10" s="23" t="s">
        <v>54</v>
      </c>
      <c r="B10" s="23" t="s">
        <v>55</v>
      </c>
    </row>
    <row r="11" customFormat="false" ht="15" hidden="false" customHeight="true" outlineLevel="0" collapsed="false">
      <c r="A11" s="8" t="s">
        <v>60</v>
      </c>
      <c r="B11" s="30" t="n">
        <f aca="false">SUMIFS(Détail!$E:$E,Détail!$D:$D,"FRAIS BANCAIRES SAISIE",Détail!$A:$A,"&gt;="&amp;DATE(2026,5,1),Détail!$A:$A,"&lt;"&amp;EDATE(DATE(2026,5,1),1))</f>
        <v>-100</v>
      </c>
    </row>
    <row r="12" customFormat="false" ht="15" hidden="false" customHeight="true" outlineLevel="0" collapsed="false">
      <c r="A12" s="8" t="s">
        <v>61</v>
      </c>
      <c r="B12" s="30" t="n">
        <f aca="false">SUMIFS(Détail!$E:$E,Détail!$D:$D,"FRAIS BANCAIRES SAISIE",Détail!$A:$A,"&gt;="&amp;DATE(2026,6,1),Détail!$A:$A,"&lt;"&amp;EDATE(DATE(2026,6,1),1))</f>
        <v>0</v>
      </c>
    </row>
  </sheetData>
  <mergeCells count="2">
    <mergeCell ref="A3:B3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203</v>
      </c>
    </row>
    <row r="3" customFormat="false" ht="15" hidden="false" customHeight="true" outlineLevel="0" collapsed="false">
      <c r="A3" s="28" t="s">
        <v>204</v>
      </c>
      <c r="B3" s="28"/>
      <c r="C3" s="29" t="n">
        <f aca="false">SUMIF(Détail!$D:$D,"SUPERMARCHE L'",Détail!$E:$E)</f>
        <v>-561.38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SUMIFS(Détail!$E:$E,Détail!$D:$D,"SUPERMARCHE L'",Détail!$A:$A,"&gt;="&amp;DATE(2026,1,1),Détail!$A:$A,"&lt;"&amp;EDATE(DATE(2026,1,1),1))</f>
        <v>-15.53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SUMIFS(Détail!$E:$E,Détail!$D:$D,"SUPERMARCHE L'",Détail!$A:$A,"&gt;="&amp;DATE(2026,2,1),Détail!$A:$A,"&lt;"&amp;EDATE(DATE(2026,2,1),1))</f>
        <v>-77.16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SUMIFS(Détail!$E:$E,Détail!$D:$D,"SUPERMARCHE L'",Détail!$A:$A,"&gt;="&amp;DATE(2026,3,1),Détail!$A:$A,"&lt;"&amp;EDATE(DATE(2026,3,1),1))</f>
        <v>-68.46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SUMIFS(Détail!$E:$E,Détail!$D:$D,"SUPERMARCHE L'",Détail!$A:$A,"&gt;="&amp;DATE(2026,4,1),Détail!$A:$A,"&lt;"&amp;EDATE(DATE(2026,4,1),1))</f>
        <v>-69.43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SUMIFS(Détail!$E:$E,Détail!$D:$D,"SUPERMARCHE L'",Détail!$A:$A,"&gt;="&amp;DATE(2026,5,1),Détail!$A:$A,"&lt;"&amp;EDATE(DATE(2026,5,1),1))</f>
        <v>-86.2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SUMIFS(Détail!$E:$E,Détail!$D:$D,"SUPERMARCHE L'",Détail!$A:$A,"&gt;="&amp;DATE(2026,6,1),Détail!$A:$A,"&lt;"&amp;EDATE(DATE(2026,6,1),1))</f>
        <v>-158.48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SUMIFS(Détail!$E:$E,Détail!$D:$D,"SUPERMARCHE L'",Détail!$A:$A,"&gt;="&amp;DATE(2026,7,1),Détail!$A:$A,"&lt;"&amp;EDATE(DATE(2026,7,1),1))</f>
        <v>-86.12</v>
      </c>
    </row>
    <row r="14" customFormat="false" ht="15" hidden="false" customHeight="true" outlineLevel="0" collapsed="false">
      <c r="A14" s="28" t="s">
        <v>205</v>
      </c>
      <c r="B14" s="28"/>
      <c r="C14" s="29" t="n">
        <f aca="false">SUMIF(Détail!$D:$D,"CARREFOUR DAC V",Détail!$E:$E)</f>
        <v>-79.47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SUMIFS(Détail!$E:$E,Détail!$D:$D,"CARREFOUR DAC V",Détail!$A:$A,"&gt;="&amp;DATE(2026,1,1),Détail!$A:$A,"&lt;"&amp;EDATE(DATE(2026,1,1),1))</f>
        <v>0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SUMIFS(Détail!$E:$E,Détail!$D:$D,"CARREFOUR DAC V",Détail!$A:$A,"&gt;="&amp;DATE(2026,2,1),Détail!$A:$A,"&lt;"&amp;EDATE(DATE(2026,2,1),1))</f>
        <v>0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SUMIFS(Détail!$E:$E,Détail!$D:$D,"CARREFOUR DAC V",Détail!$A:$A,"&gt;="&amp;DATE(2026,3,1),Détail!$A:$A,"&lt;"&amp;EDATE(DATE(2026,3,1),1))</f>
        <v>0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SUMIFS(Détail!$E:$E,Détail!$D:$D,"CARREFOUR DAC V",Détail!$A:$A,"&gt;="&amp;DATE(2026,4,1),Détail!$A:$A,"&lt;"&amp;EDATE(DATE(2026,4,1),1))</f>
        <v>0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SUMIFS(Détail!$E:$E,Détail!$D:$D,"CARREFOUR DAC V",Détail!$A:$A,"&gt;="&amp;DATE(2026,5,1),Détail!$A:$A,"&lt;"&amp;EDATE(DATE(2026,5,1),1))</f>
        <v>-79.47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SUMIFS(Détail!$E:$E,Détail!$D:$D,"CARREFOUR DAC V",Détail!$A:$A,"&gt;="&amp;DATE(2026,6,1),Détail!$A:$A,"&lt;"&amp;EDATE(DATE(2026,6,1),1))</f>
        <v>0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SUMIFS(Détail!$E:$E,Détail!$D:$D,"CARREFOUR DAC V",Détail!$A:$A,"&gt;="&amp;DATE(2026,7,1),Détail!$A:$A,"&lt;"&amp;EDATE(DATE(2026,7,1),1))</f>
        <v>0</v>
      </c>
    </row>
    <row r="25" customFormat="false" ht="15" hidden="false" customHeight="true" outlineLevel="0" collapsed="false">
      <c r="A25" s="28" t="s">
        <v>206</v>
      </c>
      <c r="B25" s="28"/>
      <c r="C25" s="29" t="n">
        <f aca="false">SUMIF(Détail!$D:$D,"E.LECLERC",Détail!$E:$E)</f>
        <v>-20.4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SUMIFS(Détail!$E:$E,Détail!$D:$D,"E.LECLERC",Détail!$A:$A,"&gt;="&amp;DATE(2026,1,1),Détail!$A:$A,"&lt;"&amp;EDATE(DATE(2026,1,1),1))</f>
        <v>0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SUMIFS(Détail!$E:$E,Détail!$D:$D,"E.LECLERC",Détail!$A:$A,"&gt;="&amp;DATE(2026,2,1),Détail!$A:$A,"&lt;"&amp;EDATE(DATE(2026,2,1),1))</f>
        <v>0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SUMIFS(Détail!$E:$E,Détail!$D:$D,"E.LECLERC",Détail!$A:$A,"&gt;="&amp;DATE(2026,3,1),Détail!$A:$A,"&lt;"&amp;EDATE(DATE(2026,3,1),1))</f>
        <v>0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SUMIFS(Détail!$E:$E,Détail!$D:$D,"E.LECLERC",Détail!$A:$A,"&gt;="&amp;DATE(2026,4,1),Détail!$A:$A,"&lt;"&amp;EDATE(DATE(2026,4,1),1))</f>
        <v>0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SUMIFS(Détail!$E:$E,Détail!$D:$D,"E.LECLERC",Détail!$A:$A,"&gt;="&amp;DATE(2026,5,1),Détail!$A:$A,"&lt;"&amp;EDATE(DATE(2026,5,1),1))</f>
        <v>-20.4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SUMIFS(Détail!$E:$E,Détail!$D:$D,"E.LECLERC",Détail!$A:$A,"&gt;="&amp;DATE(2026,6,1),Détail!$A:$A,"&lt;"&amp;EDATE(DATE(2026,6,1),1))</f>
        <v>0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SUMIFS(Détail!$E:$E,Détail!$D:$D,"E.LECLERC",Détail!$A:$A,"&gt;="&amp;DATE(2026,7,1),Détail!$A:$A,"&lt;"&amp;EDATE(DATE(2026,7,1),1))</f>
        <v>0</v>
      </c>
    </row>
    <row r="36" customFormat="false" ht="15" hidden="false" customHeight="true" outlineLevel="0" collapsed="false">
      <c r="A36" s="28" t="s">
        <v>207</v>
      </c>
      <c r="B36" s="28"/>
      <c r="C36" s="29" t="n">
        <f aca="false">SUMIF(Détail!$D:$D,"INTERMARCHE CHA",Détail!$E:$E)</f>
        <v>-12.08</v>
      </c>
    </row>
    <row r="37" customFormat="false" ht="15" hidden="false" customHeight="true" outlineLevel="0" collapsed="false">
      <c r="A37" s="23" t="s">
        <v>54</v>
      </c>
      <c r="B37" s="23" t="s">
        <v>55</v>
      </c>
    </row>
    <row r="38" customFormat="false" ht="15" hidden="false" customHeight="true" outlineLevel="0" collapsed="false">
      <c r="A38" s="8" t="s">
        <v>56</v>
      </c>
      <c r="B38" s="30" t="n">
        <f aca="false">SUMIFS(Détail!$E:$E,Détail!$D:$D,"INTERMARCHE CHA",Détail!$A:$A,"&gt;="&amp;DATE(2026,1,1),Détail!$A:$A,"&lt;"&amp;EDATE(DATE(2026,1,1),1))</f>
        <v>0</v>
      </c>
    </row>
    <row r="39" customFormat="false" ht="15" hidden="false" customHeight="true" outlineLevel="0" collapsed="false">
      <c r="A39" s="8" t="s">
        <v>57</v>
      </c>
      <c r="B39" s="30" t="n">
        <f aca="false">SUMIFS(Détail!$E:$E,Détail!$D:$D,"INTERMARCHE CHA",Détail!$A:$A,"&gt;="&amp;DATE(2026,2,1),Détail!$A:$A,"&lt;"&amp;EDATE(DATE(2026,2,1),1))</f>
        <v>0</v>
      </c>
    </row>
    <row r="40" customFormat="false" ht="15" hidden="false" customHeight="true" outlineLevel="0" collapsed="false">
      <c r="A40" s="8" t="s">
        <v>58</v>
      </c>
      <c r="B40" s="30" t="n">
        <f aca="false">SUMIFS(Détail!$E:$E,Détail!$D:$D,"INTERMARCHE CHA",Détail!$A:$A,"&gt;="&amp;DATE(2026,3,1),Détail!$A:$A,"&lt;"&amp;EDATE(DATE(2026,3,1),1))</f>
        <v>0</v>
      </c>
    </row>
    <row r="41" customFormat="false" ht="15" hidden="false" customHeight="true" outlineLevel="0" collapsed="false">
      <c r="A41" s="8" t="s">
        <v>59</v>
      </c>
      <c r="B41" s="30" t="n">
        <f aca="false">SUMIFS(Détail!$E:$E,Détail!$D:$D,"INTERMARCHE CHA",Détail!$A:$A,"&gt;="&amp;DATE(2026,4,1),Détail!$A:$A,"&lt;"&amp;EDATE(DATE(2026,4,1),1))</f>
        <v>0</v>
      </c>
    </row>
    <row r="42" customFormat="false" ht="15" hidden="false" customHeight="true" outlineLevel="0" collapsed="false">
      <c r="A42" s="8" t="s">
        <v>60</v>
      </c>
      <c r="B42" s="30" t="n">
        <f aca="false">SUMIFS(Détail!$E:$E,Détail!$D:$D,"INTERMARCHE CHA",Détail!$A:$A,"&gt;="&amp;DATE(2026,5,1),Détail!$A:$A,"&lt;"&amp;EDATE(DATE(2026,5,1),1))</f>
        <v>-12.08</v>
      </c>
    </row>
    <row r="43" customFormat="false" ht="15" hidden="false" customHeight="true" outlineLevel="0" collapsed="false">
      <c r="A43" s="8" t="s">
        <v>61</v>
      </c>
      <c r="B43" s="30" t="n">
        <f aca="false">SUMIFS(Détail!$E:$E,Détail!$D:$D,"INTERMARCHE CHA",Détail!$A:$A,"&gt;="&amp;DATE(2026,6,1),Détail!$A:$A,"&lt;"&amp;EDATE(DATE(2026,6,1),1))</f>
        <v>0</v>
      </c>
    </row>
    <row r="44" customFormat="false" ht="15" hidden="false" customHeight="true" outlineLevel="0" collapsed="false">
      <c r="A44" s="8" t="s">
        <v>62</v>
      </c>
      <c r="B44" s="30" t="n">
        <f aca="false">SUMIFS(Détail!$E:$E,Détail!$D:$D,"INTERMARCHE CHA",Détail!$A:$A,"&gt;="&amp;DATE(2026,7,1),Détail!$A:$A,"&lt;"&amp;EDATE(DATE(2026,7,1),1))</f>
        <v>0</v>
      </c>
    </row>
  </sheetData>
  <mergeCells count="4">
    <mergeCell ref="A3:B3"/>
    <mergeCell ref="A14:B14"/>
    <mergeCell ref="A25:B25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208</v>
      </c>
    </row>
    <row r="3" customFormat="false" ht="15" hidden="false" customHeight="true" outlineLevel="0" collapsed="false">
      <c r="A3" s="28" t="s">
        <v>209</v>
      </c>
      <c r="B3" s="28"/>
      <c r="C3" s="29" t="n">
        <f aca="false">SUMIF(Détail!$D:$D,"SWISSLIFE ASSURANCE DE BIENS",Détail!$E:$E)</f>
        <v>-549.22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SUMIFS(Détail!$E:$E,Détail!$D:$D,"SWISSLIFE ASSURANCE DE BIENS",Détail!$A:$A,"&gt;="&amp;DATE(2026,1,1),Détail!$A:$A,"&lt;"&amp;EDATE(DATE(2026,1,1),1))</f>
        <v>-78.46</v>
      </c>
    </row>
    <row r="6" customFormat="false" ht="15" hidden="false" customHeight="true" outlineLevel="0" collapsed="false">
      <c r="A6" s="8" t="s">
        <v>57</v>
      </c>
      <c r="B6" s="30" t="n">
        <f aca="false">SUMIFS(Détail!$E:$E,Détail!$D:$D,"SWISSLIFE ASSURANCE DE BIENS",Détail!$A:$A,"&gt;="&amp;DATE(2026,2,1),Détail!$A:$A,"&lt;"&amp;EDATE(DATE(2026,2,1),1))</f>
        <v>-78.46</v>
      </c>
    </row>
    <row r="7" customFormat="false" ht="15" hidden="false" customHeight="true" outlineLevel="0" collapsed="false">
      <c r="A7" s="8" t="s">
        <v>58</v>
      </c>
      <c r="B7" s="30" t="n">
        <f aca="false">SUMIFS(Détail!$E:$E,Détail!$D:$D,"SWISSLIFE ASSURANCE DE BIENS",Détail!$A:$A,"&gt;="&amp;DATE(2026,3,1),Détail!$A:$A,"&lt;"&amp;EDATE(DATE(2026,3,1),1))</f>
        <v>-78.46</v>
      </c>
    </row>
    <row r="8" customFormat="false" ht="15" hidden="false" customHeight="true" outlineLevel="0" collapsed="false">
      <c r="A8" s="8" t="s">
        <v>59</v>
      </c>
      <c r="B8" s="30" t="n">
        <f aca="false">SUMIFS(Détail!$E:$E,Détail!$D:$D,"SWISSLIFE ASSURANCE DE BIENS",Détail!$A:$A,"&gt;="&amp;DATE(2026,4,1),Détail!$A:$A,"&lt;"&amp;EDATE(DATE(2026,4,1),1))</f>
        <v>-78.46</v>
      </c>
    </row>
    <row r="9" customFormat="false" ht="15" hidden="false" customHeight="true" outlineLevel="0" collapsed="false">
      <c r="A9" s="8" t="s">
        <v>60</v>
      </c>
      <c r="B9" s="30" t="n">
        <f aca="false">SUMIFS(Détail!$E:$E,Détail!$D:$D,"SWISSLIFE ASSURANCE DE BIENS",Détail!$A:$A,"&gt;="&amp;DATE(2026,5,1),Détail!$A:$A,"&lt;"&amp;EDATE(DATE(2026,5,1),1))</f>
        <v>-78.46</v>
      </c>
    </row>
    <row r="10" customFormat="false" ht="15" hidden="false" customHeight="true" outlineLevel="0" collapsed="false">
      <c r="A10" s="8" t="s">
        <v>61</v>
      </c>
      <c r="B10" s="30" t="n">
        <f aca="false">SUMIFS(Détail!$E:$E,Détail!$D:$D,"SWISSLIFE ASSURANCE DE BIENS",Détail!$A:$A,"&gt;="&amp;DATE(2026,6,1),Détail!$A:$A,"&lt;"&amp;EDATE(DATE(2026,6,1),1))</f>
        <v>-78.46</v>
      </c>
    </row>
    <row r="11" customFormat="false" ht="15" hidden="false" customHeight="true" outlineLevel="0" collapsed="false">
      <c r="A11" s="8" t="s">
        <v>62</v>
      </c>
      <c r="B11" s="30" t="n">
        <f aca="false">SUMIFS(Détail!$E:$E,Détail!$D:$D,"SWISSLIFE ASSURANCE DE BIENS",Détail!$A:$A,"&gt;="&amp;DATE(2026,7,1),Détail!$A:$A,"&lt;"&amp;EDATE(DATE(2026,7,1),1))</f>
        <v>-78.46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7" t="s">
        <v>210</v>
      </c>
    </row>
    <row r="2" customFormat="false" ht="15" hidden="false" customHeight="true" outlineLevel="0" collapsed="false">
      <c r="A2" s="31" t="s">
        <v>211</v>
      </c>
    </row>
    <row r="4" customFormat="false" ht="15" hidden="false" customHeight="true" outlineLevel="0" collapsed="false">
      <c r="A4" s="28" t="s">
        <v>212</v>
      </c>
      <c r="B4" s="28"/>
      <c r="C4" s="29" t="n">
        <f aca="false">SUMIF(Détail!$D:$D,"VW BANK FRANCE",Détail!$E:$E)</f>
        <v>-6108.69</v>
      </c>
    </row>
    <row r="5" customFormat="false" ht="15" hidden="false" customHeight="true" outlineLevel="0" collapsed="false">
      <c r="A5" s="23" t="s">
        <v>54</v>
      </c>
      <c r="B5" s="23" t="s">
        <v>55</v>
      </c>
    </row>
    <row r="6" customFormat="false" ht="15" hidden="false" customHeight="true" outlineLevel="0" collapsed="false">
      <c r="A6" s="8" t="s">
        <v>56</v>
      </c>
      <c r="B6" s="30" t="n">
        <f aca="false">SUMIFS(Détail!$E:$E,Détail!$D:$D,"VW BANK FRANCE",Détail!$A:$A,"&gt;="&amp;DATE(2026,1,1),Détail!$A:$A,"&lt;"&amp;EDATE(DATE(2026,1,1),1))</f>
        <v>-872.67</v>
      </c>
    </row>
    <row r="7" customFormat="false" ht="15" hidden="false" customHeight="true" outlineLevel="0" collapsed="false">
      <c r="A7" s="8" t="s">
        <v>57</v>
      </c>
      <c r="B7" s="30" t="n">
        <f aca="false">SUMIFS(Détail!$E:$E,Détail!$D:$D,"VW BANK FRANCE",Détail!$A:$A,"&gt;="&amp;DATE(2026,2,1),Détail!$A:$A,"&lt;"&amp;EDATE(DATE(2026,2,1),1))</f>
        <v>-872.67</v>
      </c>
    </row>
    <row r="8" customFormat="false" ht="15" hidden="false" customHeight="true" outlineLevel="0" collapsed="false">
      <c r="A8" s="8" t="s">
        <v>58</v>
      </c>
      <c r="B8" s="30" t="n">
        <f aca="false">SUMIFS(Détail!$E:$E,Détail!$D:$D,"VW BANK FRANCE",Détail!$A:$A,"&gt;="&amp;DATE(2026,3,1),Détail!$A:$A,"&lt;"&amp;EDATE(DATE(2026,3,1),1))</f>
        <v>-872.67</v>
      </c>
    </row>
    <row r="9" customFormat="false" ht="15" hidden="false" customHeight="true" outlineLevel="0" collapsed="false">
      <c r="A9" s="8" t="s">
        <v>59</v>
      </c>
      <c r="B9" s="30" t="n">
        <f aca="false">SUMIFS(Détail!$E:$E,Détail!$D:$D,"VW BANK FRANCE",Détail!$A:$A,"&gt;="&amp;DATE(2026,4,1),Détail!$A:$A,"&lt;"&amp;EDATE(DATE(2026,4,1),1))</f>
        <v>-872.67</v>
      </c>
    </row>
    <row r="10" customFormat="false" ht="15" hidden="false" customHeight="true" outlineLevel="0" collapsed="false">
      <c r="A10" s="8" t="s">
        <v>60</v>
      </c>
      <c r="B10" s="30" t="n">
        <f aca="false">SUMIFS(Détail!$E:$E,Détail!$D:$D,"VW BANK FRANCE",Détail!$A:$A,"&gt;="&amp;DATE(2026,5,1),Détail!$A:$A,"&lt;"&amp;EDATE(DATE(2026,5,1),1))</f>
        <v>-872.67</v>
      </c>
    </row>
    <row r="11" customFormat="false" ht="15" hidden="false" customHeight="true" outlineLevel="0" collapsed="false">
      <c r="A11" s="8" t="s">
        <v>61</v>
      </c>
      <c r="B11" s="30" t="n">
        <f aca="false">SUMIFS(Détail!$E:$E,Détail!$D:$D,"VW BANK FRANCE",Détail!$A:$A,"&gt;="&amp;DATE(2026,6,1),Détail!$A:$A,"&lt;"&amp;EDATE(DATE(2026,6,1),1))</f>
        <v>-872.67</v>
      </c>
    </row>
    <row r="12" customFormat="false" ht="15" hidden="false" customHeight="true" outlineLevel="0" collapsed="false">
      <c r="A12" s="8" t="s">
        <v>62</v>
      </c>
      <c r="B12" s="30" t="n">
        <f aca="false">SUMIFS(Détail!$E:$E,Détail!$D:$D,"VW BANK FRANCE",Détail!$A:$A,"&gt;="&amp;DATE(2026,7,1),Détail!$A:$A,"&lt;"&amp;EDATE(DATE(2026,7,1),1))</f>
        <v>-872.67</v>
      </c>
    </row>
    <row r="14" customFormat="false" ht="15" hidden="false" customHeight="true" outlineLevel="0" collapsed="false">
      <c r="A14" s="28" t="s">
        <v>213</v>
      </c>
      <c r="B14" s="28"/>
      <c r="C14" s="29" t="n">
        <f aca="false">SUMIF(Détail!$D:$D,"TOTAL",Détail!$E:$E)+SUMIF(Détail!$D:$D,"TOTAL NB000698",Détail!$E:$E)</f>
        <v>-3139.8</v>
      </c>
    </row>
    <row r="15" customFormat="false" ht="15" hidden="false" customHeight="true" outlineLevel="0" collapsed="false">
      <c r="A15" s="23" t="s">
        <v>54</v>
      </c>
      <c r="B15" s="23" t="s">
        <v>55</v>
      </c>
    </row>
    <row r="16" customFormat="false" ht="15" hidden="false" customHeight="true" outlineLevel="0" collapsed="false">
      <c r="A16" s="8" t="s">
        <v>56</v>
      </c>
      <c r="B16" s="30" t="n">
        <f aca="false">SUMIFS(Détail!$E:$E,Détail!$D:$D,"TOTAL",Détail!$A:$A,"&gt;="&amp;DATE(2026,1,1),Détail!$A:$A,"&lt;"&amp;EDATE(DATE(2026,1,1),1))+SUMIFS(Détail!$E:$E,Détail!$D:$D,"TOTAL NB000698",Détail!$A:$A,"&gt;="&amp;DATE(2026,1,1),Détail!$A:$A,"&lt;"&amp;EDATE(DATE(2026,1,1),1))</f>
        <v>-538.12</v>
      </c>
    </row>
    <row r="17" customFormat="false" ht="15" hidden="false" customHeight="true" outlineLevel="0" collapsed="false">
      <c r="A17" s="8" t="s">
        <v>57</v>
      </c>
      <c r="B17" s="30" t="n">
        <f aca="false">SUMIFS(Détail!$E:$E,Détail!$D:$D,"TOTAL",Détail!$A:$A,"&gt;="&amp;DATE(2026,2,1),Détail!$A:$A,"&lt;"&amp;EDATE(DATE(2026,2,1),1))+SUMIFS(Détail!$E:$E,Détail!$D:$D,"TOTAL NB000698",Détail!$A:$A,"&gt;="&amp;DATE(2026,2,1),Détail!$A:$A,"&lt;"&amp;EDATE(DATE(2026,2,1),1))</f>
        <v>-291.67</v>
      </c>
    </row>
    <row r="18" customFormat="false" ht="15" hidden="false" customHeight="true" outlineLevel="0" collapsed="false">
      <c r="A18" s="8" t="s">
        <v>58</v>
      </c>
      <c r="B18" s="30" t="n">
        <f aca="false">SUMIFS(Détail!$E:$E,Détail!$D:$D,"TOTAL",Détail!$A:$A,"&gt;="&amp;DATE(2026,3,1),Détail!$A:$A,"&lt;"&amp;EDATE(DATE(2026,3,1),1))+SUMIFS(Détail!$E:$E,Détail!$D:$D,"TOTAL NB000698",Détail!$A:$A,"&gt;="&amp;DATE(2026,3,1),Détail!$A:$A,"&lt;"&amp;EDATE(DATE(2026,3,1),1))</f>
        <v>-509.85</v>
      </c>
    </row>
    <row r="19" customFormat="false" ht="15" hidden="false" customHeight="true" outlineLevel="0" collapsed="false">
      <c r="A19" s="8" t="s">
        <v>59</v>
      </c>
      <c r="B19" s="30" t="n">
        <f aca="false">SUMIFS(Détail!$E:$E,Détail!$D:$D,"TOTAL",Détail!$A:$A,"&gt;="&amp;DATE(2026,4,1),Détail!$A:$A,"&lt;"&amp;EDATE(DATE(2026,4,1),1))+SUMIFS(Détail!$E:$E,Détail!$D:$D,"TOTAL NB000698",Détail!$A:$A,"&gt;="&amp;DATE(2026,4,1),Détail!$A:$A,"&lt;"&amp;EDATE(DATE(2026,4,1),1))</f>
        <v>-824</v>
      </c>
    </row>
    <row r="20" customFormat="false" ht="15" hidden="false" customHeight="true" outlineLevel="0" collapsed="false">
      <c r="A20" s="8" t="s">
        <v>60</v>
      </c>
      <c r="B20" s="30" t="n">
        <f aca="false">SUMIFS(Détail!$E:$E,Détail!$D:$D,"TOTAL",Détail!$A:$A,"&gt;="&amp;DATE(2026,5,1),Détail!$A:$A,"&lt;"&amp;EDATE(DATE(2026,5,1),1))+SUMIFS(Détail!$E:$E,Détail!$D:$D,"TOTAL NB000698",Détail!$A:$A,"&gt;="&amp;DATE(2026,5,1),Détail!$A:$A,"&lt;"&amp;EDATE(DATE(2026,5,1),1))</f>
        <v>-460.21</v>
      </c>
    </row>
    <row r="21" customFormat="false" ht="15" hidden="false" customHeight="true" outlineLevel="0" collapsed="false">
      <c r="A21" s="8" t="s">
        <v>61</v>
      </c>
      <c r="B21" s="30" t="n">
        <f aca="false">SUMIFS(Détail!$E:$E,Détail!$D:$D,"TOTAL",Détail!$A:$A,"&gt;="&amp;DATE(2026,6,1),Détail!$A:$A,"&lt;"&amp;EDATE(DATE(2026,6,1),1))+SUMIFS(Détail!$E:$E,Détail!$D:$D,"TOTAL NB000698",Détail!$A:$A,"&gt;="&amp;DATE(2026,6,1),Détail!$A:$A,"&lt;"&amp;EDATE(DATE(2026,6,1),1))</f>
        <v>-309.73</v>
      </c>
    </row>
    <row r="22" customFormat="false" ht="15" hidden="false" customHeight="true" outlineLevel="0" collapsed="false">
      <c r="A22" s="8" t="s">
        <v>62</v>
      </c>
      <c r="B22" s="30" t="n">
        <f aca="false">SUMIFS(Détail!$E:$E,Détail!$D:$D,"TOTAL",Détail!$A:$A,"&gt;="&amp;DATE(2026,7,1),Détail!$A:$A,"&lt;"&amp;EDATE(DATE(2026,7,1),1))+SUMIFS(Détail!$E:$E,Détail!$D:$D,"TOTAL NB000698",Détail!$A:$A,"&gt;="&amp;DATE(2026,7,1),Détail!$A:$A,"&lt;"&amp;EDATE(DATE(2026,7,1),1))</f>
        <v>-206.22</v>
      </c>
    </row>
    <row r="23" customFormat="false" ht="15" hidden="false" customHeight="true" outlineLevel="0" collapsed="false">
      <c r="A23" s="25" t="s">
        <v>214</v>
      </c>
      <c r="B23" s="25" t="s">
        <v>215</v>
      </c>
    </row>
    <row r="25" customFormat="false" ht="15" hidden="false" customHeight="true" outlineLevel="0" collapsed="false">
      <c r="A25" s="28" t="s">
        <v>216</v>
      </c>
      <c r="B25" s="28"/>
      <c r="C25" s="29" t="n">
        <f aca="false">SUMIF(Détail!$D:$D,"ESSO CHAMPIGNY",Détail!$E:$E)+SUMIF(Détail!$D:$D,"ESSO ST THIBAUL",Détail!$E:$E)+SUMIF(Détail!$D:$D,"ESSO VALFONTENA",Détail!$E:$E)+SUMIF(Détail!$D:$D,"ESSO ERAGNYBELL",Détail!$E:$E)+SUMIF(Détail!$D:$D,"ESSO CHAMPILAVA",Détail!$E:$E)+SUMIF(Détail!$D:$D,"ESSO ATTAINVILL",Détail!$E:$E)+SUMIF(Détail!$D:$D,"ESSO JOINVILLE",Détail!$E:$E)+SUMIF(Détail!$D:$D,"ESSO RDAM STADH",Détail!$E:$E)+SUMIF(Détail!$D:$D,"ESSO ASSEVILLER",Détail!$E:$E)+SUMIF(Détail!$D:$D,"ESSO DAC VERDUN",Détail!$E:$E)+SUMIF(Détail!$D:$D,"ESSO VIRONVAYSU",Détail!$E:$E)</f>
        <v>-2541.23</v>
      </c>
    </row>
    <row r="26" customFormat="false" ht="15" hidden="false" customHeight="true" outlineLevel="0" collapsed="false">
      <c r="A26" s="23" t="s">
        <v>54</v>
      </c>
      <c r="B26" s="23" t="s">
        <v>55</v>
      </c>
    </row>
    <row r="27" customFormat="false" ht="15" hidden="false" customHeight="true" outlineLevel="0" collapsed="false">
      <c r="A27" s="8" t="s">
        <v>56</v>
      </c>
      <c r="B27" s="30" t="n">
        <f aca="false">SUMIFS(Détail!$E:$E,Détail!$D:$D,"ESSO CHAMPIGNY",Détail!$A:$A,"&gt;="&amp;DATE(2026,1,1),Détail!$A:$A,"&lt;"&amp;EDATE(DATE(2026,1,1),1))+SUMIFS(Détail!$E:$E,Détail!$D:$D,"ESSO ST THIBAUL",Détail!$A:$A,"&gt;="&amp;DATE(2026,1,1),Détail!$A:$A,"&lt;"&amp;EDATE(DATE(2026,1,1),1))+SUMIFS(Détail!$E:$E,Détail!$D:$D,"ESSO VALFONTENA",Détail!$A:$A,"&gt;="&amp;DATE(2026,1,1),Détail!$A:$A,"&lt;"&amp;EDATE(DATE(2026,1,1),1))+SUMIFS(Détail!$E:$E,Détail!$D:$D,"ESSO ERAGNYBELL",Détail!$A:$A,"&gt;="&amp;DATE(2026,1,1),Détail!$A:$A,"&lt;"&amp;EDATE(DATE(2026,1,1),1))+SUMIFS(Détail!$E:$E,Détail!$D:$D,"ESSO CHAMPILAVA",Détail!$A:$A,"&gt;="&amp;DATE(2026,1,1),Détail!$A:$A,"&lt;"&amp;EDATE(DATE(2026,1,1),1))+SUMIFS(Détail!$E:$E,Détail!$D:$D,"ESSO ATTAINVILL",Détail!$A:$A,"&gt;="&amp;DATE(2026,1,1),Détail!$A:$A,"&lt;"&amp;EDATE(DATE(2026,1,1),1))+SUMIFS(Détail!$E:$E,Détail!$D:$D,"ESSO JOINVILLE",Détail!$A:$A,"&gt;="&amp;DATE(2026,1,1),Détail!$A:$A,"&lt;"&amp;EDATE(DATE(2026,1,1),1))+SUMIFS(Détail!$E:$E,Détail!$D:$D,"ESSO RDAM STADH",Détail!$A:$A,"&gt;="&amp;DATE(2026,1,1),Détail!$A:$A,"&lt;"&amp;EDATE(DATE(2026,1,1),1))+SUMIFS(Détail!$E:$E,Détail!$D:$D,"ESSO ASSEVILLER",Détail!$A:$A,"&gt;="&amp;DATE(2026,1,1),Détail!$A:$A,"&lt;"&amp;EDATE(DATE(2026,1,1),1))+SUMIFS(Détail!$E:$E,Détail!$D:$D,"ESSO DAC VERDUN",Détail!$A:$A,"&gt;="&amp;DATE(2026,1,1),Détail!$A:$A,"&lt;"&amp;EDATE(DATE(2026,1,1),1))+SUMIFS(Détail!$E:$E,Détail!$D:$D,"ESSO VIRONVAYSU",Détail!$A:$A,"&gt;="&amp;DATE(2026,1,1),Détail!$A:$A,"&lt;"&amp;EDATE(DATE(2026,1,1),1))</f>
        <v>-316.69</v>
      </c>
    </row>
    <row r="28" customFormat="false" ht="15" hidden="false" customHeight="true" outlineLevel="0" collapsed="false">
      <c r="A28" s="8" t="s">
        <v>57</v>
      </c>
      <c r="B28" s="30" t="n">
        <f aca="false">SUMIFS(Détail!$E:$E,Détail!$D:$D,"ESSO CHAMPIGNY",Détail!$A:$A,"&gt;="&amp;DATE(2026,2,1),Détail!$A:$A,"&lt;"&amp;EDATE(DATE(2026,2,1),1))+SUMIFS(Détail!$E:$E,Détail!$D:$D,"ESSO ST THIBAUL",Détail!$A:$A,"&gt;="&amp;DATE(2026,2,1),Détail!$A:$A,"&lt;"&amp;EDATE(DATE(2026,2,1),1))+SUMIFS(Détail!$E:$E,Détail!$D:$D,"ESSO VALFONTENA",Détail!$A:$A,"&gt;="&amp;DATE(2026,2,1),Détail!$A:$A,"&lt;"&amp;EDATE(DATE(2026,2,1),1))+SUMIFS(Détail!$E:$E,Détail!$D:$D,"ESSO ERAGNYBELL",Détail!$A:$A,"&gt;="&amp;DATE(2026,2,1),Détail!$A:$A,"&lt;"&amp;EDATE(DATE(2026,2,1),1))+SUMIFS(Détail!$E:$E,Détail!$D:$D,"ESSO CHAMPILAVA",Détail!$A:$A,"&gt;="&amp;DATE(2026,2,1),Détail!$A:$A,"&lt;"&amp;EDATE(DATE(2026,2,1),1))+SUMIFS(Détail!$E:$E,Détail!$D:$D,"ESSO ATTAINVILL",Détail!$A:$A,"&gt;="&amp;DATE(2026,2,1),Détail!$A:$A,"&lt;"&amp;EDATE(DATE(2026,2,1),1))+SUMIFS(Détail!$E:$E,Détail!$D:$D,"ESSO JOINVILLE",Détail!$A:$A,"&gt;="&amp;DATE(2026,2,1),Détail!$A:$A,"&lt;"&amp;EDATE(DATE(2026,2,1),1))+SUMIFS(Détail!$E:$E,Détail!$D:$D,"ESSO RDAM STADH",Détail!$A:$A,"&gt;="&amp;DATE(2026,2,1),Détail!$A:$A,"&lt;"&amp;EDATE(DATE(2026,2,1),1))+SUMIFS(Détail!$E:$E,Détail!$D:$D,"ESSO ASSEVILLER",Détail!$A:$A,"&gt;="&amp;DATE(2026,2,1),Détail!$A:$A,"&lt;"&amp;EDATE(DATE(2026,2,1),1))+SUMIFS(Détail!$E:$E,Détail!$D:$D,"ESSO DAC VERDUN",Détail!$A:$A,"&gt;="&amp;DATE(2026,2,1),Détail!$A:$A,"&lt;"&amp;EDATE(DATE(2026,2,1),1))+SUMIFS(Détail!$E:$E,Détail!$D:$D,"ESSO VIRONVAYSU",Détail!$A:$A,"&gt;="&amp;DATE(2026,2,1),Détail!$A:$A,"&lt;"&amp;EDATE(DATE(2026,2,1),1))</f>
        <v>-303.73</v>
      </c>
    </row>
    <row r="29" customFormat="false" ht="15" hidden="false" customHeight="true" outlineLevel="0" collapsed="false">
      <c r="A29" s="8" t="s">
        <v>58</v>
      </c>
      <c r="B29" s="30" t="n">
        <f aca="false">SUMIFS(Détail!$E:$E,Détail!$D:$D,"ESSO CHAMPIGNY",Détail!$A:$A,"&gt;="&amp;DATE(2026,3,1),Détail!$A:$A,"&lt;"&amp;EDATE(DATE(2026,3,1),1))+SUMIFS(Détail!$E:$E,Détail!$D:$D,"ESSO ST THIBAUL",Détail!$A:$A,"&gt;="&amp;DATE(2026,3,1),Détail!$A:$A,"&lt;"&amp;EDATE(DATE(2026,3,1),1))+SUMIFS(Détail!$E:$E,Détail!$D:$D,"ESSO VALFONTENA",Détail!$A:$A,"&gt;="&amp;DATE(2026,3,1),Détail!$A:$A,"&lt;"&amp;EDATE(DATE(2026,3,1),1))+SUMIFS(Détail!$E:$E,Détail!$D:$D,"ESSO ERAGNYBELL",Détail!$A:$A,"&gt;="&amp;DATE(2026,3,1),Détail!$A:$A,"&lt;"&amp;EDATE(DATE(2026,3,1),1))+SUMIFS(Détail!$E:$E,Détail!$D:$D,"ESSO CHAMPILAVA",Détail!$A:$A,"&gt;="&amp;DATE(2026,3,1),Détail!$A:$A,"&lt;"&amp;EDATE(DATE(2026,3,1),1))+SUMIFS(Détail!$E:$E,Détail!$D:$D,"ESSO ATTAINVILL",Détail!$A:$A,"&gt;="&amp;DATE(2026,3,1),Détail!$A:$A,"&lt;"&amp;EDATE(DATE(2026,3,1),1))+SUMIFS(Détail!$E:$E,Détail!$D:$D,"ESSO JOINVILLE",Détail!$A:$A,"&gt;="&amp;DATE(2026,3,1),Détail!$A:$A,"&lt;"&amp;EDATE(DATE(2026,3,1),1))+SUMIFS(Détail!$E:$E,Détail!$D:$D,"ESSO RDAM STADH",Détail!$A:$A,"&gt;="&amp;DATE(2026,3,1),Détail!$A:$A,"&lt;"&amp;EDATE(DATE(2026,3,1),1))+SUMIFS(Détail!$E:$E,Détail!$D:$D,"ESSO ASSEVILLER",Détail!$A:$A,"&gt;="&amp;DATE(2026,3,1),Détail!$A:$A,"&lt;"&amp;EDATE(DATE(2026,3,1),1))+SUMIFS(Détail!$E:$E,Détail!$D:$D,"ESSO DAC VERDUN",Détail!$A:$A,"&gt;="&amp;DATE(2026,3,1),Détail!$A:$A,"&lt;"&amp;EDATE(DATE(2026,3,1),1))+SUMIFS(Détail!$E:$E,Détail!$D:$D,"ESSO VIRONVAYSU",Détail!$A:$A,"&gt;="&amp;DATE(2026,3,1),Détail!$A:$A,"&lt;"&amp;EDATE(DATE(2026,3,1),1))</f>
        <v>-403.18</v>
      </c>
    </row>
    <row r="30" customFormat="false" ht="15" hidden="false" customHeight="true" outlineLevel="0" collapsed="false">
      <c r="A30" s="8" t="s">
        <v>59</v>
      </c>
      <c r="B30" s="30" t="n">
        <f aca="false">SUMIFS(Détail!$E:$E,Détail!$D:$D,"ESSO CHAMPIGNY",Détail!$A:$A,"&gt;="&amp;DATE(2026,4,1),Détail!$A:$A,"&lt;"&amp;EDATE(DATE(2026,4,1),1))+SUMIFS(Détail!$E:$E,Détail!$D:$D,"ESSO ST THIBAUL",Détail!$A:$A,"&gt;="&amp;DATE(2026,4,1),Détail!$A:$A,"&lt;"&amp;EDATE(DATE(2026,4,1),1))+SUMIFS(Détail!$E:$E,Détail!$D:$D,"ESSO VALFONTENA",Détail!$A:$A,"&gt;="&amp;DATE(2026,4,1),Détail!$A:$A,"&lt;"&amp;EDATE(DATE(2026,4,1),1))+SUMIFS(Détail!$E:$E,Détail!$D:$D,"ESSO ERAGNYBELL",Détail!$A:$A,"&gt;="&amp;DATE(2026,4,1),Détail!$A:$A,"&lt;"&amp;EDATE(DATE(2026,4,1),1))+SUMIFS(Détail!$E:$E,Détail!$D:$D,"ESSO CHAMPILAVA",Détail!$A:$A,"&gt;="&amp;DATE(2026,4,1),Détail!$A:$A,"&lt;"&amp;EDATE(DATE(2026,4,1),1))+SUMIFS(Détail!$E:$E,Détail!$D:$D,"ESSO ATTAINVILL",Détail!$A:$A,"&gt;="&amp;DATE(2026,4,1),Détail!$A:$A,"&lt;"&amp;EDATE(DATE(2026,4,1),1))+SUMIFS(Détail!$E:$E,Détail!$D:$D,"ESSO JOINVILLE",Détail!$A:$A,"&gt;="&amp;DATE(2026,4,1),Détail!$A:$A,"&lt;"&amp;EDATE(DATE(2026,4,1),1))+SUMIFS(Détail!$E:$E,Détail!$D:$D,"ESSO RDAM STADH",Détail!$A:$A,"&gt;="&amp;DATE(2026,4,1),Détail!$A:$A,"&lt;"&amp;EDATE(DATE(2026,4,1),1))+SUMIFS(Détail!$E:$E,Détail!$D:$D,"ESSO ASSEVILLER",Détail!$A:$A,"&gt;="&amp;DATE(2026,4,1),Détail!$A:$A,"&lt;"&amp;EDATE(DATE(2026,4,1),1))+SUMIFS(Détail!$E:$E,Détail!$D:$D,"ESSO DAC VERDUN",Détail!$A:$A,"&gt;="&amp;DATE(2026,4,1),Détail!$A:$A,"&lt;"&amp;EDATE(DATE(2026,4,1),1))+SUMIFS(Détail!$E:$E,Détail!$D:$D,"ESSO VIRONVAYSU",Détail!$A:$A,"&gt;="&amp;DATE(2026,4,1),Détail!$A:$A,"&lt;"&amp;EDATE(DATE(2026,4,1),1))</f>
        <v>-610.71</v>
      </c>
    </row>
    <row r="31" customFormat="false" ht="15" hidden="false" customHeight="true" outlineLevel="0" collapsed="false">
      <c r="A31" s="8" t="s">
        <v>60</v>
      </c>
      <c r="B31" s="30" t="n">
        <f aca="false">SUMIFS(Détail!$E:$E,Détail!$D:$D,"ESSO CHAMPIGNY",Détail!$A:$A,"&gt;="&amp;DATE(2026,5,1),Détail!$A:$A,"&lt;"&amp;EDATE(DATE(2026,5,1),1))+SUMIFS(Détail!$E:$E,Détail!$D:$D,"ESSO ST THIBAUL",Détail!$A:$A,"&gt;="&amp;DATE(2026,5,1),Détail!$A:$A,"&lt;"&amp;EDATE(DATE(2026,5,1),1))+SUMIFS(Détail!$E:$E,Détail!$D:$D,"ESSO VALFONTENA",Détail!$A:$A,"&gt;="&amp;DATE(2026,5,1),Détail!$A:$A,"&lt;"&amp;EDATE(DATE(2026,5,1),1))+SUMIFS(Détail!$E:$E,Détail!$D:$D,"ESSO ERAGNYBELL",Détail!$A:$A,"&gt;="&amp;DATE(2026,5,1),Détail!$A:$A,"&lt;"&amp;EDATE(DATE(2026,5,1),1))+SUMIFS(Détail!$E:$E,Détail!$D:$D,"ESSO CHAMPILAVA",Détail!$A:$A,"&gt;="&amp;DATE(2026,5,1),Détail!$A:$A,"&lt;"&amp;EDATE(DATE(2026,5,1),1))+SUMIFS(Détail!$E:$E,Détail!$D:$D,"ESSO ATTAINVILL",Détail!$A:$A,"&gt;="&amp;DATE(2026,5,1),Détail!$A:$A,"&lt;"&amp;EDATE(DATE(2026,5,1),1))+SUMIFS(Détail!$E:$E,Détail!$D:$D,"ESSO JOINVILLE",Détail!$A:$A,"&gt;="&amp;DATE(2026,5,1),Détail!$A:$A,"&lt;"&amp;EDATE(DATE(2026,5,1),1))+SUMIFS(Détail!$E:$E,Détail!$D:$D,"ESSO RDAM STADH",Détail!$A:$A,"&gt;="&amp;DATE(2026,5,1),Détail!$A:$A,"&lt;"&amp;EDATE(DATE(2026,5,1),1))+SUMIFS(Détail!$E:$E,Détail!$D:$D,"ESSO ASSEVILLER",Détail!$A:$A,"&gt;="&amp;DATE(2026,5,1),Détail!$A:$A,"&lt;"&amp;EDATE(DATE(2026,5,1),1))+SUMIFS(Détail!$E:$E,Détail!$D:$D,"ESSO DAC VERDUN",Détail!$A:$A,"&gt;="&amp;DATE(2026,5,1),Détail!$A:$A,"&lt;"&amp;EDATE(DATE(2026,5,1),1))+SUMIFS(Détail!$E:$E,Détail!$D:$D,"ESSO VIRONVAYSU",Détail!$A:$A,"&gt;="&amp;DATE(2026,5,1),Détail!$A:$A,"&lt;"&amp;EDATE(DATE(2026,5,1),1))</f>
        <v>-379.94</v>
      </c>
    </row>
    <row r="32" customFormat="false" ht="15" hidden="false" customHeight="true" outlineLevel="0" collapsed="false">
      <c r="A32" s="8" t="s">
        <v>61</v>
      </c>
      <c r="B32" s="30" t="n">
        <f aca="false">SUMIFS(Détail!$E:$E,Détail!$D:$D,"ESSO CHAMPIGNY",Détail!$A:$A,"&gt;="&amp;DATE(2026,6,1),Détail!$A:$A,"&lt;"&amp;EDATE(DATE(2026,6,1),1))+SUMIFS(Détail!$E:$E,Détail!$D:$D,"ESSO ST THIBAUL",Détail!$A:$A,"&gt;="&amp;DATE(2026,6,1),Détail!$A:$A,"&lt;"&amp;EDATE(DATE(2026,6,1),1))+SUMIFS(Détail!$E:$E,Détail!$D:$D,"ESSO VALFONTENA",Détail!$A:$A,"&gt;="&amp;DATE(2026,6,1),Détail!$A:$A,"&lt;"&amp;EDATE(DATE(2026,6,1),1))+SUMIFS(Détail!$E:$E,Détail!$D:$D,"ESSO ERAGNYBELL",Détail!$A:$A,"&gt;="&amp;DATE(2026,6,1),Détail!$A:$A,"&lt;"&amp;EDATE(DATE(2026,6,1),1))+SUMIFS(Détail!$E:$E,Détail!$D:$D,"ESSO CHAMPILAVA",Détail!$A:$A,"&gt;="&amp;DATE(2026,6,1),Détail!$A:$A,"&lt;"&amp;EDATE(DATE(2026,6,1),1))+SUMIFS(Détail!$E:$E,Détail!$D:$D,"ESSO ATTAINVILL",Détail!$A:$A,"&gt;="&amp;DATE(2026,6,1),Détail!$A:$A,"&lt;"&amp;EDATE(DATE(2026,6,1),1))+SUMIFS(Détail!$E:$E,Détail!$D:$D,"ESSO JOINVILLE",Détail!$A:$A,"&gt;="&amp;DATE(2026,6,1),Détail!$A:$A,"&lt;"&amp;EDATE(DATE(2026,6,1),1))+SUMIFS(Détail!$E:$E,Détail!$D:$D,"ESSO RDAM STADH",Détail!$A:$A,"&gt;="&amp;DATE(2026,6,1),Détail!$A:$A,"&lt;"&amp;EDATE(DATE(2026,6,1),1))+SUMIFS(Détail!$E:$E,Détail!$D:$D,"ESSO ASSEVILLER",Détail!$A:$A,"&gt;="&amp;DATE(2026,6,1),Détail!$A:$A,"&lt;"&amp;EDATE(DATE(2026,6,1),1))+SUMIFS(Détail!$E:$E,Détail!$D:$D,"ESSO DAC VERDUN",Détail!$A:$A,"&gt;="&amp;DATE(2026,6,1),Détail!$A:$A,"&lt;"&amp;EDATE(DATE(2026,6,1),1))+SUMIFS(Détail!$E:$E,Détail!$D:$D,"ESSO VIRONVAYSU",Détail!$A:$A,"&gt;="&amp;DATE(2026,6,1),Détail!$A:$A,"&lt;"&amp;EDATE(DATE(2026,6,1),1))</f>
        <v>-456.84</v>
      </c>
    </row>
    <row r="33" customFormat="false" ht="15" hidden="false" customHeight="true" outlineLevel="0" collapsed="false">
      <c r="A33" s="8" t="s">
        <v>62</v>
      </c>
      <c r="B33" s="30" t="n">
        <f aca="false">SUMIFS(Détail!$E:$E,Détail!$D:$D,"ESSO CHAMPIGNY",Détail!$A:$A,"&gt;="&amp;DATE(2026,7,1),Détail!$A:$A,"&lt;"&amp;EDATE(DATE(2026,7,1),1))+SUMIFS(Détail!$E:$E,Détail!$D:$D,"ESSO ST THIBAUL",Détail!$A:$A,"&gt;="&amp;DATE(2026,7,1),Détail!$A:$A,"&lt;"&amp;EDATE(DATE(2026,7,1),1))+SUMIFS(Détail!$E:$E,Détail!$D:$D,"ESSO VALFONTENA",Détail!$A:$A,"&gt;="&amp;DATE(2026,7,1),Détail!$A:$A,"&lt;"&amp;EDATE(DATE(2026,7,1),1))+SUMIFS(Détail!$E:$E,Détail!$D:$D,"ESSO ERAGNYBELL",Détail!$A:$A,"&gt;="&amp;DATE(2026,7,1),Détail!$A:$A,"&lt;"&amp;EDATE(DATE(2026,7,1),1))+SUMIFS(Détail!$E:$E,Détail!$D:$D,"ESSO CHAMPILAVA",Détail!$A:$A,"&gt;="&amp;DATE(2026,7,1),Détail!$A:$A,"&lt;"&amp;EDATE(DATE(2026,7,1),1))+SUMIFS(Détail!$E:$E,Détail!$D:$D,"ESSO ATTAINVILL",Détail!$A:$A,"&gt;="&amp;DATE(2026,7,1),Détail!$A:$A,"&lt;"&amp;EDATE(DATE(2026,7,1),1))+SUMIFS(Détail!$E:$E,Détail!$D:$D,"ESSO JOINVILLE",Détail!$A:$A,"&gt;="&amp;DATE(2026,7,1),Détail!$A:$A,"&lt;"&amp;EDATE(DATE(2026,7,1),1))+SUMIFS(Détail!$E:$E,Détail!$D:$D,"ESSO RDAM STADH",Détail!$A:$A,"&gt;="&amp;DATE(2026,7,1),Détail!$A:$A,"&lt;"&amp;EDATE(DATE(2026,7,1),1))+SUMIFS(Détail!$E:$E,Détail!$D:$D,"ESSO ASSEVILLER",Détail!$A:$A,"&gt;="&amp;DATE(2026,7,1),Détail!$A:$A,"&lt;"&amp;EDATE(DATE(2026,7,1),1))+SUMIFS(Détail!$E:$E,Détail!$D:$D,"ESSO DAC VERDUN",Détail!$A:$A,"&gt;="&amp;DATE(2026,7,1),Détail!$A:$A,"&lt;"&amp;EDATE(DATE(2026,7,1),1))+SUMIFS(Détail!$E:$E,Détail!$D:$D,"ESSO VIRONVAYSU",Détail!$A:$A,"&gt;="&amp;DATE(2026,7,1),Détail!$A:$A,"&lt;"&amp;EDATE(DATE(2026,7,1),1))</f>
        <v>-70.14</v>
      </c>
    </row>
    <row r="34" customFormat="false" ht="15" hidden="false" customHeight="true" outlineLevel="0" collapsed="false">
      <c r="A34" s="25" t="s">
        <v>214</v>
      </c>
      <c r="B34" s="25" t="s">
        <v>217</v>
      </c>
    </row>
    <row r="36" customFormat="false" ht="15" hidden="false" customHeight="true" outlineLevel="0" collapsed="false">
      <c r="A36" s="28" t="s">
        <v>218</v>
      </c>
      <c r="B36" s="28"/>
      <c r="C36" s="29" t="n">
        <f aca="false">SUMIF(Détail!$D:$D,"STATION AVIA",Détail!$E:$E)</f>
        <v>-271.36</v>
      </c>
    </row>
    <row r="37" customFormat="false" ht="15" hidden="false" customHeight="true" outlineLevel="0" collapsed="false">
      <c r="A37" s="23" t="s">
        <v>54</v>
      </c>
      <c r="B37" s="23" t="s">
        <v>55</v>
      </c>
    </row>
    <row r="38" customFormat="false" ht="15" hidden="false" customHeight="true" outlineLevel="0" collapsed="false">
      <c r="A38" s="8" t="s">
        <v>56</v>
      </c>
      <c r="B38" s="30" t="n">
        <f aca="false">SUMIFS(Détail!$E:$E,Détail!$D:$D,"STATION AVIA",Détail!$A:$A,"&gt;="&amp;DATE(2026,1,1),Détail!$A:$A,"&lt;"&amp;EDATE(DATE(2026,1,1),1))</f>
        <v>0</v>
      </c>
    </row>
    <row r="39" customFormat="false" ht="15" hidden="false" customHeight="true" outlineLevel="0" collapsed="false">
      <c r="A39" s="8" t="s">
        <v>57</v>
      </c>
      <c r="B39" s="30" t="n">
        <f aca="false">SUMIFS(Détail!$E:$E,Détail!$D:$D,"STATION AVIA",Détail!$A:$A,"&gt;="&amp;DATE(2026,2,1),Détail!$A:$A,"&lt;"&amp;EDATE(DATE(2026,2,1),1))</f>
        <v>0</v>
      </c>
    </row>
    <row r="40" customFormat="false" ht="15" hidden="false" customHeight="true" outlineLevel="0" collapsed="false">
      <c r="A40" s="8" t="s">
        <v>58</v>
      </c>
      <c r="B40" s="30" t="n">
        <f aca="false">SUMIFS(Détail!$E:$E,Détail!$D:$D,"STATION AVIA",Détail!$A:$A,"&gt;="&amp;DATE(2026,3,1),Détail!$A:$A,"&lt;"&amp;EDATE(DATE(2026,3,1),1))</f>
        <v>0</v>
      </c>
    </row>
    <row r="41" customFormat="false" ht="15" hidden="false" customHeight="true" outlineLevel="0" collapsed="false">
      <c r="A41" s="8" t="s">
        <v>59</v>
      </c>
      <c r="B41" s="30" t="n">
        <f aca="false">SUMIFS(Détail!$E:$E,Détail!$D:$D,"STATION AVIA",Détail!$A:$A,"&gt;="&amp;DATE(2026,4,1),Détail!$A:$A,"&lt;"&amp;EDATE(DATE(2026,4,1),1))</f>
        <v>-271.36</v>
      </c>
    </row>
    <row r="42" customFormat="false" ht="15" hidden="false" customHeight="true" outlineLevel="0" collapsed="false">
      <c r="A42" s="8" t="s">
        <v>60</v>
      </c>
      <c r="B42" s="30" t="n">
        <f aca="false">SUMIFS(Détail!$E:$E,Détail!$D:$D,"STATION AVIA",Détail!$A:$A,"&gt;="&amp;DATE(2026,5,1),Détail!$A:$A,"&lt;"&amp;EDATE(DATE(2026,5,1),1))</f>
        <v>0</v>
      </c>
    </row>
    <row r="43" customFormat="false" ht="15" hidden="false" customHeight="true" outlineLevel="0" collapsed="false">
      <c r="A43" s="8" t="s">
        <v>61</v>
      </c>
      <c r="B43" s="30" t="n">
        <f aca="false">SUMIFS(Détail!$E:$E,Détail!$D:$D,"STATION AVIA",Détail!$A:$A,"&gt;="&amp;DATE(2026,6,1),Détail!$A:$A,"&lt;"&amp;EDATE(DATE(2026,6,1),1))</f>
        <v>0</v>
      </c>
    </row>
    <row r="44" customFormat="false" ht="15" hidden="false" customHeight="true" outlineLevel="0" collapsed="false">
      <c r="A44" s="8" t="s">
        <v>62</v>
      </c>
      <c r="B44" s="30" t="n">
        <f aca="false">SUMIFS(Détail!$E:$E,Détail!$D:$D,"STATION AVIA",Détail!$A:$A,"&gt;="&amp;DATE(2026,7,1),Détail!$A:$A,"&lt;"&amp;EDATE(DATE(2026,7,1),1))</f>
        <v>0</v>
      </c>
    </row>
    <row r="46" customFormat="false" ht="15" hidden="false" customHeight="true" outlineLevel="0" collapsed="false">
      <c r="A46" s="28" t="s">
        <v>219</v>
      </c>
      <c r="B46" s="28"/>
      <c r="C46" s="29" t="n">
        <f aca="false">SUMIF(Détail!$D:$D,"SHELL DAC",Détail!$E:$E)</f>
        <v>-69.38</v>
      </c>
    </row>
    <row r="47" customFormat="false" ht="15" hidden="false" customHeight="true" outlineLevel="0" collapsed="false">
      <c r="A47" s="23" t="s">
        <v>54</v>
      </c>
      <c r="B47" s="23" t="s">
        <v>55</v>
      </c>
    </row>
    <row r="48" customFormat="false" ht="15" hidden="false" customHeight="true" outlineLevel="0" collapsed="false">
      <c r="A48" s="8" t="s">
        <v>56</v>
      </c>
      <c r="B48" s="30" t="n">
        <f aca="false">SUMIFS(Détail!$E:$E,Détail!$D:$D,"SHELL DAC",Détail!$A:$A,"&gt;="&amp;DATE(2026,1,1),Détail!$A:$A,"&lt;"&amp;EDATE(DATE(2026,1,1),1))</f>
        <v>0</v>
      </c>
    </row>
    <row r="49" customFormat="false" ht="15" hidden="false" customHeight="true" outlineLevel="0" collapsed="false">
      <c r="A49" s="8" t="s">
        <v>57</v>
      </c>
      <c r="B49" s="30" t="n">
        <f aca="false">SUMIFS(Détail!$E:$E,Détail!$D:$D,"SHELL DAC",Détail!$A:$A,"&gt;="&amp;DATE(2026,2,1),Détail!$A:$A,"&lt;"&amp;EDATE(DATE(2026,2,1),1))</f>
        <v>0</v>
      </c>
    </row>
    <row r="50" customFormat="false" ht="15" hidden="false" customHeight="true" outlineLevel="0" collapsed="false">
      <c r="A50" s="8" t="s">
        <v>58</v>
      </c>
      <c r="B50" s="30" t="n">
        <f aca="false">SUMIFS(Détail!$E:$E,Détail!$D:$D,"SHELL DAC",Détail!$A:$A,"&gt;="&amp;DATE(2026,3,1),Détail!$A:$A,"&lt;"&amp;EDATE(DATE(2026,3,1),1))</f>
        <v>-69.38</v>
      </c>
    </row>
    <row r="51" customFormat="false" ht="15" hidden="false" customHeight="true" outlineLevel="0" collapsed="false">
      <c r="A51" s="8" t="s">
        <v>59</v>
      </c>
      <c r="B51" s="30" t="n">
        <f aca="false">SUMIFS(Détail!$E:$E,Détail!$D:$D,"SHELL DAC",Détail!$A:$A,"&gt;="&amp;DATE(2026,4,1),Détail!$A:$A,"&lt;"&amp;EDATE(DATE(2026,4,1),1))</f>
        <v>0</v>
      </c>
    </row>
    <row r="52" customFormat="false" ht="15" hidden="false" customHeight="true" outlineLevel="0" collapsed="false">
      <c r="A52" s="8" t="s">
        <v>60</v>
      </c>
      <c r="B52" s="30" t="n">
        <f aca="false">SUMIFS(Détail!$E:$E,Détail!$D:$D,"SHELL DAC",Détail!$A:$A,"&gt;="&amp;DATE(2026,5,1),Détail!$A:$A,"&lt;"&amp;EDATE(DATE(2026,5,1),1))</f>
        <v>0</v>
      </c>
    </row>
    <row r="53" customFormat="false" ht="15" hidden="false" customHeight="true" outlineLevel="0" collapsed="false">
      <c r="A53" s="8" t="s">
        <v>61</v>
      </c>
      <c r="B53" s="30" t="n">
        <f aca="false">SUMIFS(Détail!$E:$E,Détail!$D:$D,"SHELL DAC",Détail!$A:$A,"&gt;="&amp;DATE(2026,6,1),Détail!$A:$A,"&lt;"&amp;EDATE(DATE(2026,6,1),1))</f>
        <v>0</v>
      </c>
    </row>
    <row r="54" customFormat="false" ht="15" hidden="false" customHeight="true" outlineLevel="0" collapsed="false">
      <c r="A54" s="8" t="s">
        <v>62</v>
      </c>
      <c r="B54" s="30" t="n">
        <f aca="false">SUMIFS(Détail!$E:$E,Détail!$D:$D,"SHELL DAC",Détail!$A:$A,"&gt;="&amp;DATE(2026,7,1),Détail!$A:$A,"&lt;"&amp;EDATE(DATE(2026,7,1),1))</f>
        <v>0</v>
      </c>
    </row>
    <row r="56" customFormat="false" ht="15" hidden="false" customHeight="true" outlineLevel="0" collapsed="false">
      <c r="A56" s="28" t="s">
        <v>220</v>
      </c>
      <c r="B56" s="28"/>
      <c r="C56" s="29" t="n">
        <f aca="false">SUMIF(Détail!$D:$D,"CERTAS ESSOF241",Détail!$E:$E)</f>
        <v>-56.29</v>
      </c>
    </row>
    <row r="57" customFormat="false" ht="15" hidden="false" customHeight="true" outlineLevel="0" collapsed="false">
      <c r="A57" s="23" t="s">
        <v>54</v>
      </c>
      <c r="B57" s="23" t="s">
        <v>55</v>
      </c>
    </row>
    <row r="58" customFormat="false" ht="15" hidden="false" customHeight="true" outlineLevel="0" collapsed="false">
      <c r="A58" s="8" t="s">
        <v>56</v>
      </c>
      <c r="B58" s="30" t="n">
        <f aca="false">SUMIFS(Détail!$E:$E,Détail!$D:$D,"CERTAS ESSOF241",Détail!$A:$A,"&gt;="&amp;DATE(2026,1,1),Détail!$A:$A,"&lt;"&amp;EDATE(DATE(2026,1,1),1))</f>
        <v>0</v>
      </c>
    </row>
    <row r="59" customFormat="false" ht="15" hidden="false" customHeight="true" outlineLevel="0" collapsed="false">
      <c r="A59" s="8" t="s">
        <v>57</v>
      </c>
      <c r="B59" s="30" t="n">
        <f aca="false">SUMIFS(Détail!$E:$E,Détail!$D:$D,"CERTAS ESSOF241",Détail!$A:$A,"&gt;="&amp;DATE(2026,2,1),Détail!$A:$A,"&lt;"&amp;EDATE(DATE(2026,2,1),1))</f>
        <v>0</v>
      </c>
    </row>
    <row r="60" customFormat="false" ht="15" hidden="false" customHeight="true" outlineLevel="0" collapsed="false">
      <c r="A60" s="8" t="s">
        <v>58</v>
      </c>
      <c r="B60" s="30" t="n">
        <f aca="false">SUMIFS(Détail!$E:$E,Détail!$D:$D,"CERTAS ESSOF241",Détail!$A:$A,"&gt;="&amp;DATE(2026,3,1),Détail!$A:$A,"&lt;"&amp;EDATE(DATE(2026,3,1),1))</f>
        <v>0</v>
      </c>
    </row>
    <row r="61" customFormat="false" ht="15" hidden="false" customHeight="true" outlineLevel="0" collapsed="false">
      <c r="A61" s="8" t="s">
        <v>59</v>
      </c>
      <c r="B61" s="30" t="n">
        <f aca="false">SUMIFS(Détail!$E:$E,Détail!$D:$D,"CERTAS ESSOF241",Détail!$A:$A,"&gt;="&amp;DATE(2026,4,1),Détail!$A:$A,"&lt;"&amp;EDATE(DATE(2026,4,1),1))</f>
        <v>0</v>
      </c>
    </row>
    <row r="62" customFormat="false" ht="15" hidden="false" customHeight="true" outlineLevel="0" collapsed="false">
      <c r="A62" s="8" t="s">
        <v>60</v>
      </c>
      <c r="B62" s="30" t="n">
        <f aca="false">SUMIFS(Détail!$E:$E,Détail!$D:$D,"CERTAS ESSOF241",Détail!$A:$A,"&gt;="&amp;DATE(2026,5,1),Détail!$A:$A,"&lt;"&amp;EDATE(DATE(2026,5,1),1))</f>
        <v>0</v>
      </c>
    </row>
    <row r="63" customFormat="false" ht="15" hidden="false" customHeight="true" outlineLevel="0" collapsed="false">
      <c r="A63" s="8" t="s">
        <v>61</v>
      </c>
      <c r="B63" s="30" t="n">
        <f aca="false">SUMIFS(Détail!$E:$E,Détail!$D:$D,"CERTAS ESSOF241",Détail!$A:$A,"&gt;="&amp;DATE(2026,6,1),Détail!$A:$A,"&lt;"&amp;EDATE(DATE(2026,6,1),1))</f>
        <v>-56.29</v>
      </c>
    </row>
    <row r="64" customFormat="false" ht="15" hidden="false" customHeight="true" outlineLevel="0" collapsed="false">
      <c r="A64" s="8" t="s">
        <v>62</v>
      </c>
      <c r="B64" s="30" t="n">
        <f aca="false">SUMIFS(Détail!$E:$E,Détail!$D:$D,"CERTAS ESSOF241",Détail!$A:$A,"&gt;="&amp;DATE(2026,7,1),Détail!$A:$A,"&lt;"&amp;EDATE(DATE(2026,7,1),1))</f>
        <v>0</v>
      </c>
    </row>
    <row r="66" customFormat="false" ht="15" hidden="false" customHeight="true" outlineLevel="0" collapsed="false">
      <c r="A66" s="28" t="s">
        <v>221</v>
      </c>
      <c r="B66" s="28"/>
      <c r="C66" s="29" t="n">
        <f aca="false">SUMIF(Détail!$D:$D,"SANEF AUTOROUTE",Détail!$E:$E)+SUMIF(Détail!$D:$D,"SANEF",Détail!$E:$E)+SUMIF(Détail!$D:$D,"COFIROUTE",Détail!$E:$E)+SUMIF(Détail!$D:$D,"APRR",Détail!$E:$E)+SUMIF(Détail!$D:$D,"APRR NFC",Détail!$E:$E)+SUMIF(Détail!$D:$D,"AUTOROUTES DU S",Détail!$E:$E)+SUMIF(Détail!$D:$D,"SAPN",Détail!$E:$E)+SUMIF(Détail!$D:$D,"ROCADIS",Détail!$E:$E)</f>
        <v>-521.8</v>
      </c>
    </row>
    <row r="67" customFormat="false" ht="15" hidden="false" customHeight="true" outlineLevel="0" collapsed="false">
      <c r="A67" s="23" t="s">
        <v>54</v>
      </c>
      <c r="B67" s="23" t="s">
        <v>55</v>
      </c>
    </row>
    <row r="68" customFormat="false" ht="15" hidden="false" customHeight="true" outlineLevel="0" collapsed="false">
      <c r="A68" s="8" t="s">
        <v>56</v>
      </c>
      <c r="B68" s="30" t="n">
        <f aca="false">SUMIFS(Détail!$E:$E,Détail!$D:$D,"SANEF AUTOROUTE",Détail!$A:$A,"&gt;="&amp;DATE(2026,1,1),Détail!$A:$A,"&lt;"&amp;EDATE(DATE(2026,1,1),1))+SUMIFS(Détail!$E:$E,Détail!$D:$D,"SANEF",Détail!$A:$A,"&gt;="&amp;DATE(2026,1,1),Détail!$A:$A,"&lt;"&amp;EDATE(DATE(2026,1,1),1))+SUMIFS(Détail!$E:$E,Détail!$D:$D,"COFIROUTE",Détail!$A:$A,"&gt;="&amp;DATE(2026,1,1),Détail!$A:$A,"&lt;"&amp;EDATE(DATE(2026,1,1),1))+SUMIFS(Détail!$E:$E,Détail!$D:$D,"APRR",Détail!$A:$A,"&gt;="&amp;DATE(2026,1,1),Détail!$A:$A,"&lt;"&amp;EDATE(DATE(2026,1,1),1))+SUMIFS(Détail!$E:$E,Détail!$D:$D,"APRR NFC",Détail!$A:$A,"&gt;="&amp;DATE(2026,1,1),Détail!$A:$A,"&lt;"&amp;EDATE(DATE(2026,1,1),1))+SUMIFS(Détail!$E:$E,Détail!$D:$D,"AUTOROUTES DU S",Détail!$A:$A,"&gt;="&amp;DATE(2026,1,1),Détail!$A:$A,"&lt;"&amp;EDATE(DATE(2026,1,1),1))+SUMIFS(Détail!$E:$E,Détail!$D:$D,"SAPN",Détail!$A:$A,"&gt;="&amp;DATE(2026,1,1),Détail!$A:$A,"&lt;"&amp;EDATE(DATE(2026,1,1),1))+SUMIFS(Détail!$E:$E,Détail!$D:$D,"ROCADIS",Détail!$A:$A,"&gt;="&amp;DATE(2026,1,1),Détail!$A:$A,"&lt;"&amp;EDATE(DATE(2026,1,1),1))</f>
        <v>-94.9</v>
      </c>
    </row>
    <row r="69" customFormat="false" ht="15" hidden="false" customHeight="true" outlineLevel="0" collapsed="false">
      <c r="A69" s="8" t="s">
        <v>57</v>
      </c>
      <c r="B69" s="30" t="n">
        <f aca="false">SUMIFS(Détail!$E:$E,Détail!$D:$D,"SANEF AUTOROUTE",Détail!$A:$A,"&gt;="&amp;DATE(2026,2,1),Détail!$A:$A,"&lt;"&amp;EDATE(DATE(2026,2,1),1))+SUMIFS(Détail!$E:$E,Détail!$D:$D,"SANEF",Détail!$A:$A,"&gt;="&amp;DATE(2026,2,1),Détail!$A:$A,"&lt;"&amp;EDATE(DATE(2026,2,1),1))+SUMIFS(Détail!$E:$E,Détail!$D:$D,"COFIROUTE",Détail!$A:$A,"&gt;="&amp;DATE(2026,2,1),Détail!$A:$A,"&lt;"&amp;EDATE(DATE(2026,2,1),1))+SUMIFS(Détail!$E:$E,Détail!$D:$D,"APRR",Détail!$A:$A,"&gt;="&amp;DATE(2026,2,1),Détail!$A:$A,"&lt;"&amp;EDATE(DATE(2026,2,1),1))+SUMIFS(Détail!$E:$E,Détail!$D:$D,"APRR NFC",Détail!$A:$A,"&gt;="&amp;DATE(2026,2,1),Détail!$A:$A,"&lt;"&amp;EDATE(DATE(2026,2,1),1))+SUMIFS(Détail!$E:$E,Détail!$D:$D,"AUTOROUTES DU S",Détail!$A:$A,"&gt;="&amp;DATE(2026,2,1),Détail!$A:$A,"&lt;"&amp;EDATE(DATE(2026,2,1),1))+SUMIFS(Détail!$E:$E,Détail!$D:$D,"SAPN",Détail!$A:$A,"&gt;="&amp;DATE(2026,2,1),Détail!$A:$A,"&lt;"&amp;EDATE(DATE(2026,2,1),1))+SUMIFS(Détail!$E:$E,Détail!$D:$D,"ROCADIS",Détail!$A:$A,"&gt;="&amp;DATE(2026,2,1),Détail!$A:$A,"&lt;"&amp;EDATE(DATE(2026,2,1),1))</f>
        <v>-64.5</v>
      </c>
    </row>
    <row r="70" customFormat="false" ht="15" hidden="false" customHeight="true" outlineLevel="0" collapsed="false">
      <c r="A70" s="8" t="s">
        <v>58</v>
      </c>
      <c r="B70" s="30" t="n">
        <f aca="false">SUMIFS(Détail!$E:$E,Détail!$D:$D,"SANEF AUTOROUTE",Détail!$A:$A,"&gt;="&amp;DATE(2026,3,1),Détail!$A:$A,"&lt;"&amp;EDATE(DATE(2026,3,1),1))+SUMIFS(Détail!$E:$E,Détail!$D:$D,"SANEF",Détail!$A:$A,"&gt;="&amp;DATE(2026,3,1),Détail!$A:$A,"&lt;"&amp;EDATE(DATE(2026,3,1),1))+SUMIFS(Détail!$E:$E,Détail!$D:$D,"COFIROUTE",Détail!$A:$A,"&gt;="&amp;DATE(2026,3,1),Détail!$A:$A,"&lt;"&amp;EDATE(DATE(2026,3,1),1))+SUMIFS(Détail!$E:$E,Détail!$D:$D,"APRR",Détail!$A:$A,"&gt;="&amp;DATE(2026,3,1),Détail!$A:$A,"&lt;"&amp;EDATE(DATE(2026,3,1),1))+SUMIFS(Détail!$E:$E,Détail!$D:$D,"APRR NFC",Détail!$A:$A,"&gt;="&amp;DATE(2026,3,1),Détail!$A:$A,"&lt;"&amp;EDATE(DATE(2026,3,1),1))+SUMIFS(Détail!$E:$E,Détail!$D:$D,"AUTOROUTES DU S",Détail!$A:$A,"&gt;="&amp;DATE(2026,3,1),Détail!$A:$A,"&lt;"&amp;EDATE(DATE(2026,3,1),1))+SUMIFS(Détail!$E:$E,Détail!$D:$D,"SAPN",Détail!$A:$A,"&gt;="&amp;DATE(2026,3,1),Détail!$A:$A,"&lt;"&amp;EDATE(DATE(2026,3,1),1))+SUMIFS(Détail!$E:$E,Détail!$D:$D,"ROCADIS",Détail!$A:$A,"&gt;="&amp;DATE(2026,3,1),Détail!$A:$A,"&lt;"&amp;EDATE(DATE(2026,3,1),1))</f>
        <v>-101</v>
      </c>
    </row>
    <row r="71" customFormat="false" ht="15" hidden="false" customHeight="true" outlineLevel="0" collapsed="false">
      <c r="A71" s="8" t="s">
        <v>59</v>
      </c>
      <c r="B71" s="30" t="n">
        <f aca="false">SUMIFS(Détail!$E:$E,Détail!$D:$D,"SANEF AUTOROUTE",Détail!$A:$A,"&gt;="&amp;DATE(2026,4,1),Détail!$A:$A,"&lt;"&amp;EDATE(DATE(2026,4,1),1))+SUMIFS(Détail!$E:$E,Détail!$D:$D,"SANEF",Détail!$A:$A,"&gt;="&amp;DATE(2026,4,1),Détail!$A:$A,"&lt;"&amp;EDATE(DATE(2026,4,1),1))+SUMIFS(Détail!$E:$E,Détail!$D:$D,"COFIROUTE",Détail!$A:$A,"&gt;="&amp;DATE(2026,4,1),Détail!$A:$A,"&lt;"&amp;EDATE(DATE(2026,4,1),1))+SUMIFS(Détail!$E:$E,Détail!$D:$D,"APRR",Détail!$A:$A,"&gt;="&amp;DATE(2026,4,1),Détail!$A:$A,"&lt;"&amp;EDATE(DATE(2026,4,1),1))+SUMIFS(Détail!$E:$E,Détail!$D:$D,"APRR NFC",Détail!$A:$A,"&gt;="&amp;DATE(2026,4,1),Détail!$A:$A,"&lt;"&amp;EDATE(DATE(2026,4,1),1))+SUMIFS(Détail!$E:$E,Détail!$D:$D,"AUTOROUTES DU S",Détail!$A:$A,"&gt;="&amp;DATE(2026,4,1),Détail!$A:$A,"&lt;"&amp;EDATE(DATE(2026,4,1),1))+SUMIFS(Détail!$E:$E,Détail!$D:$D,"SAPN",Détail!$A:$A,"&gt;="&amp;DATE(2026,4,1),Détail!$A:$A,"&lt;"&amp;EDATE(DATE(2026,4,1),1))+SUMIFS(Détail!$E:$E,Détail!$D:$D,"ROCADIS",Détail!$A:$A,"&gt;="&amp;DATE(2026,4,1),Détail!$A:$A,"&lt;"&amp;EDATE(DATE(2026,4,1),1))</f>
        <v>-261.4</v>
      </c>
    </row>
    <row r="72" customFormat="false" ht="15" hidden="false" customHeight="true" outlineLevel="0" collapsed="false">
      <c r="A72" s="8" t="s">
        <v>60</v>
      </c>
      <c r="B72" s="30" t="n">
        <f aca="false">SUMIFS(Détail!$E:$E,Détail!$D:$D,"SANEF AUTOROUTE",Détail!$A:$A,"&gt;="&amp;DATE(2026,5,1),Détail!$A:$A,"&lt;"&amp;EDATE(DATE(2026,5,1),1))+SUMIFS(Détail!$E:$E,Détail!$D:$D,"SANEF",Détail!$A:$A,"&gt;="&amp;DATE(2026,5,1),Détail!$A:$A,"&lt;"&amp;EDATE(DATE(2026,5,1),1))+SUMIFS(Détail!$E:$E,Détail!$D:$D,"COFIROUTE",Détail!$A:$A,"&gt;="&amp;DATE(2026,5,1),Détail!$A:$A,"&lt;"&amp;EDATE(DATE(2026,5,1),1))+SUMIFS(Détail!$E:$E,Détail!$D:$D,"APRR",Détail!$A:$A,"&gt;="&amp;DATE(2026,5,1),Détail!$A:$A,"&lt;"&amp;EDATE(DATE(2026,5,1),1))+SUMIFS(Détail!$E:$E,Détail!$D:$D,"APRR NFC",Détail!$A:$A,"&gt;="&amp;DATE(2026,5,1),Détail!$A:$A,"&lt;"&amp;EDATE(DATE(2026,5,1),1))+SUMIFS(Détail!$E:$E,Détail!$D:$D,"AUTOROUTES DU S",Détail!$A:$A,"&gt;="&amp;DATE(2026,5,1),Détail!$A:$A,"&lt;"&amp;EDATE(DATE(2026,5,1),1))+SUMIFS(Détail!$E:$E,Détail!$D:$D,"SAPN",Détail!$A:$A,"&gt;="&amp;DATE(2026,5,1),Détail!$A:$A,"&lt;"&amp;EDATE(DATE(2026,5,1),1))+SUMIFS(Détail!$E:$E,Détail!$D:$D,"ROCADIS",Détail!$A:$A,"&gt;="&amp;DATE(2026,5,1),Détail!$A:$A,"&lt;"&amp;EDATE(DATE(2026,5,1),1))</f>
        <v>0</v>
      </c>
    </row>
    <row r="73" customFormat="false" ht="15" hidden="false" customHeight="true" outlineLevel="0" collapsed="false">
      <c r="A73" s="8" t="s">
        <v>61</v>
      </c>
      <c r="B73" s="30" t="n">
        <f aca="false">SUMIFS(Détail!$E:$E,Détail!$D:$D,"SANEF AUTOROUTE",Détail!$A:$A,"&gt;="&amp;DATE(2026,6,1),Détail!$A:$A,"&lt;"&amp;EDATE(DATE(2026,6,1),1))+SUMIFS(Détail!$E:$E,Détail!$D:$D,"SANEF",Détail!$A:$A,"&gt;="&amp;DATE(2026,6,1),Détail!$A:$A,"&lt;"&amp;EDATE(DATE(2026,6,1),1))+SUMIFS(Détail!$E:$E,Détail!$D:$D,"COFIROUTE",Détail!$A:$A,"&gt;="&amp;DATE(2026,6,1),Détail!$A:$A,"&lt;"&amp;EDATE(DATE(2026,6,1),1))+SUMIFS(Détail!$E:$E,Détail!$D:$D,"APRR",Détail!$A:$A,"&gt;="&amp;DATE(2026,6,1),Détail!$A:$A,"&lt;"&amp;EDATE(DATE(2026,6,1),1))+SUMIFS(Détail!$E:$E,Détail!$D:$D,"APRR NFC",Détail!$A:$A,"&gt;="&amp;DATE(2026,6,1),Détail!$A:$A,"&lt;"&amp;EDATE(DATE(2026,6,1),1))+SUMIFS(Détail!$E:$E,Détail!$D:$D,"AUTOROUTES DU S",Détail!$A:$A,"&gt;="&amp;DATE(2026,6,1),Détail!$A:$A,"&lt;"&amp;EDATE(DATE(2026,6,1),1))+SUMIFS(Détail!$E:$E,Détail!$D:$D,"SAPN",Détail!$A:$A,"&gt;="&amp;DATE(2026,6,1),Détail!$A:$A,"&lt;"&amp;EDATE(DATE(2026,6,1),1))+SUMIFS(Détail!$E:$E,Détail!$D:$D,"ROCADIS",Détail!$A:$A,"&gt;="&amp;DATE(2026,6,1),Détail!$A:$A,"&lt;"&amp;EDATE(DATE(2026,6,1),1))</f>
        <v>0</v>
      </c>
    </row>
    <row r="74" customFormat="false" ht="15" hidden="false" customHeight="true" outlineLevel="0" collapsed="false">
      <c r="A74" s="8" t="s">
        <v>62</v>
      </c>
      <c r="B74" s="30" t="n">
        <f aca="false">SUMIFS(Détail!$E:$E,Détail!$D:$D,"SANEF AUTOROUTE",Détail!$A:$A,"&gt;="&amp;DATE(2026,7,1),Détail!$A:$A,"&lt;"&amp;EDATE(DATE(2026,7,1),1))+SUMIFS(Détail!$E:$E,Détail!$D:$D,"SANEF",Détail!$A:$A,"&gt;="&amp;DATE(2026,7,1),Détail!$A:$A,"&lt;"&amp;EDATE(DATE(2026,7,1),1))+SUMIFS(Détail!$E:$E,Détail!$D:$D,"COFIROUTE",Détail!$A:$A,"&gt;="&amp;DATE(2026,7,1),Détail!$A:$A,"&lt;"&amp;EDATE(DATE(2026,7,1),1))+SUMIFS(Détail!$E:$E,Détail!$D:$D,"APRR",Détail!$A:$A,"&gt;="&amp;DATE(2026,7,1),Détail!$A:$A,"&lt;"&amp;EDATE(DATE(2026,7,1),1))+SUMIFS(Détail!$E:$E,Détail!$D:$D,"APRR NFC",Détail!$A:$A,"&gt;="&amp;DATE(2026,7,1),Détail!$A:$A,"&lt;"&amp;EDATE(DATE(2026,7,1),1))+SUMIFS(Détail!$E:$E,Détail!$D:$D,"AUTOROUTES DU S",Détail!$A:$A,"&gt;="&amp;DATE(2026,7,1),Détail!$A:$A,"&lt;"&amp;EDATE(DATE(2026,7,1),1))+SUMIFS(Détail!$E:$E,Détail!$D:$D,"SAPN",Détail!$A:$A,"&gt;="&amp;DATE(2026,7,1),Détail!$A:$A,"&lt;"&amp;EDATE(DATE(2026,7,1),1))+SUMIFS(Détail!$E:$E,Détail!$D:$D,"ROCADIS",Détail!$A:$A,"&gt;="&amp;DATE(2026,7,1),Détail!$A:$A,"&lt;"&amp;EDATE(DATE(2026,7,1),1))</f>
        <v>0</v>
      </c>
    </row>
    <row r="75" customFormat="false" ht="15" hidden="false" customHeight="true" outlineLevel="0" collapsed="false">
      <c r="A75" s="25" t="s">
        <v>214</v>
      </c>
      <c r="B75" s="25" t="s">
        <v>222</v>
      </c>
    </row>
    <row r="77" customFormat="false" ht="15" hidden="false" customHeight="true" outlineLevel="0" collapsed="false">
      <c r="A77" s="28" t="s">
        <v>223</v>
      </c>
      <c r="B77" s="28"/>
      <c r="C77" s="29" t="n">
        <f aca="false">SUMIF(Détail!$D:$D,"BIPANDGO",Détail!$E:$E)+SUMIF(Détail!$D:$D,"BIPANDGO-BIP   GO",Détail!$E:$E)+SUMIF(Détail!$D:$D,"ROOLE-IDENTICAR-IDENTICAR",Détail!$E:$E)</f>
        <v>-376.9</v>
      </c>
    </row>
    <row r="78" customFormat="false" ht="15" hidden="false" customHeight="true" outlineLevel="0" collapsed="false">
      <c r="A78" s="23" t="s">
        <v>54</v>
      </c>
      <c r="B78" s="23" t="s">
        <v>55</v>
      </c>
    </row>
    <row r="79" customFormat="false" ht="15" hidden="false" customHeight="true" outlineLevel="0" collapsed="false">
      <c r="A79" s="8" t="s">
        <v>56</v>
      </c>
      <c r="B79" s="30" t="n">
        <f aca="false">SUMIFS(Détail!$E:$E,Détail!$D:$D,"BIPANDGO",Détail!$A:$A,"&gt;="&amp;DATE(2026,1,1),Détail!$A:$A,"&lt;"&amp;EDATE(DATE(2026,1,1),1))+SUMIFS(Détail!$E:$E,Détail!$D:$D,"BIPANDGO-BIP   GO",Détail!$A:$A,"&gt;="&amp;DATE(2026,1,1),Détail!$A:$A,"&lt;"&amp;EDATE(DATE(2026,1,1),1))+SUMIFS(Détail!$E:$E,Détail!$D:$D,"ROOLE-IDENTICAR-IDENTICAR",Détail!$A:$A,"&gt;="&amp;DATE(2026,1,1),Détail!$A:$A,"&lt;"&amp;EDATE(DATE(2026,1,1),1))</f>
        <v>-15.95</v>
      </c>
    </row>
    <row r="80" customFormat="false" ht="15" hidden="false" customHeight="true" outlineLevel="0" collapsed="false">
      <c r="A80" s="8" t="s">
        <v>57</v>
      </c>
      <c r="B80" s="30" t="n">
        <f aca="false">SUMIFS(Détail!$E:$E,Détail!$D:$D,"BIPANDGO",Détail!$A:$A,"&gt;="&amp;DATE(2026,2,1),Détail!$A:$A,"&lt;"&amp;EDATE(DATE(2026,2,1),1))+SUMIFS(Détail!$E:$E,Détail!$D:$D,"BIPANDGO-BIP   GO",Détail!$A:$A,"&gt;="&amp;DATE(2026,2,1),Détail!$A:$A,"&lt;"&amp;EDATE(DATE(2026,2,1),1))+SUMIFS(Détail!$E:$E,Détail!$D:$D,"ROOLE-IDENTICAR-IDENTICAR",Détail!$A:$A,"&gt;="&amp;DATE(2026,2,1),Détail!$A:$A,"&lt;"&amp;EDATE(DATE(2026,2,1),1))</f>
        <v>-15.95</v>
      </c>
    </row>
    <row r="81" customFormat="false" ht="15" hidden="false" customHeight="true" outlineLevel="0" collapsed="false">
      <c r="A81" s="8" t="s">
        <v>58</v>
      </c>
      <c r="B81" s="30" t="n">
        <f aca="false">SUMIFS(Détail!$E:$E,Détail!$D:$D,"BIPANDGO",Détail!$A:$A,"&gt;="&amp;DATE(2026,3,1),Détail!$A:$A,"&lt;"&amp;EDATE(DATE(2026,3,1),1))+SUMIFS(Détail!$E:$E,Détail!$D:$D,"BIPANDGO-BIP   GO",Détail!$A:$A,"&gt;="&amp;DATE(2026,3,1),Détail!$A:$A,"&lt;"&amp;EDATE(DATE(2026,3,1),1))+SUMIFS(Détail!$E:$E,Détail!$D:$D,"ROOLE-IDENTICAR-IDENTICAR",Détail!$A:$A,"&gt;="&amp;DATE(2026,3,1),Détail!$A:$A,"&lt;"&amp;EDATE(DATE(2026,3,1),1))</f>
        <v>-15.95</v>
      </c>
    </row>
    <row r="82" customFormat="false" ht="15" hidden="false" customHeight="true" outlineLevel="0" collapsed="false">
      <c r="A82" s="8" t="s">
        <v>59</v>
      </c>
      <c r="B82" s="30" t="n">
        <f aca="false">SUMIFS(Détail!$E:$E,Détail!$D:$D,"BIPANDGO",Détail!$A:$A,"&gt;="&amp;DATE(2026,4,1),Détail!$A:$A,"&lt;"&amp;EDATE(DATE(2026,4,1),1))+SUMIFS(Détail!$E:$E,Détail!$D:$D,"BIPANDGO-BIP   GO",Détail!$A:$A,"&gt;="&amp;DATE(2026,4,1),Détail!$A:$A,"&lt;"&amp;EDATE(DATE(2026,4,1),1))+SUMIFS(Détail!$E:$E,Détail!$D:$D,"ROOLE-IDENTICAR-IDENTICAR",Détail!$A:$A,"&gt;="&amp;DATE(2026,4,1),Détail!$A:$A,"&lt;"&amp;EDATE(DATE(2026,4,1),1))</f>
        <v>-45.95</v>
      </c>
    </row>
    <row r="83" customFormat="false" ht="15" hidden="false" customHeight="true" outlineLevel="0" collapsed="false">
      <c r="A83" s="8" t="s">
        <v>60</v>
      </c>
      <c r="B83" s="30" t="n">
        <f aca="false">SUMIFS(Détail!$E:$E,Détail!$D:$D,"BIPANDGO",Détail!$A:$A,"&gt;="&amp;DATE(2026,5,1),Détail!$A:$A,"&lt;"&amp;EDATE(DATE(2026,5,1),1))+SUMIFS(Détail!$E:$E,Détail!$D:$D,"BIPANDGO-BIP   GO",Détail!$A:$A,"&gt;="&amp;DATE(2026,5,1),Détail!$A:$A,"&lt;"&amp;EDATE(DATE(2026,5,1),1))+SUMIFS(Détail!$E:$E,Détail!$D:$D,"ROOLE-IDENTICAR-IDENTICAR",Détail!$A:$A,"&gt;="&amp;DATE(2026,5,1),Détail!$A:$A,"&lt;"&amp;EDATE(DATE(2026,5,1),1))</f>
        <v>-160.05</v>
      </c>
    </row>
    <row r="84" customFormat="false" ht="15" hidden="false" customHeight="true" outlineLevel="0" collapsed="false">
      <c r="A84" s="8" t="s">
        <v>61</v>
      </c>
      <c r="B84" s="30" t="n">
        <f aca="false">SUMIFS(Détail!$E:$E,Détail!$D:$D,"BIPANDGO",Détail!$A:$A,"&gt;="&amp;DATE(2026,6,1),Détail!$A:$A,"&lt;"&amp;EDATE(DATE(2026,6,1),1))+SUMIFS(Détail!$E:$E,Détail!$D:$D,"BIPANDGO-BIP   GO",Détail!$A:$A,"&gt;="&amp;DATE(2026,6,1),Détail!$A:$A,"&lt;"&amp;EDATE(DATE(2026,6,1),1))+SUMIFS(Détail!$E:$E,Détail!$D:$D,"ROOLE-IDENTICAR-IDENTICAR",Détail!$A:$A,"&gt;="&amp;DATE(2026,6,1),Détail!$A:$A,"&lt;"&amp;EDATE(DATE(2026,6,1),1))</f>
        <v>-123.05</v>
      </c>
    </row>
    <row r="85" customFormat="false" ht="15" hidden="false" customHeight="true" outlineLevel="0" collapsed="false">
      <c r="A85" s="8" t="s">
        <v>62</v>
      </c>
      <c r="B85" s="30" t="n">
        <f aca="false">SUMIFS(Détail!$E:$E,Détail!$D:$D,"BIPANDGO",Détail!$A:$A,"&gt;="&amp;DATE(2026,7,1),Détail!$A:$A,"&lt;"&amp;EDATE(DATE(2026,7,1),1))+SUMIFS(Détail!$E:$E,Détail!$D:$D,"BIPANDGO-BIP   GO",Détail!$A:$A,"&gt;="&amp;DATE(2026,7,1),Détail!$A:$A,"&lt;"&amp;EDATE(DATE(2026,7,1),1))+SUMIFS(Détail!$E:$E,Détail!$D:$D,"ROOLE-IDENTICAR-IDENTICAR",Détail!$A:$A,"&gt;="&amp;DATE(2026,7,1),Détail!$A:$A,"&lt;"&amp;EDATE(DATE(2026,7,1),1))</f>
        <v>0</v>
      </c>
    </row>
    <row r="86" customFormat="false" ht="15" hidden="false" customHeight="true" outlineLevel="0" collapsed="false">
      <c r="A86" s="25" t="s">
        <v>214</v>
      </c>
      <c r="B86" s="25" t="s">
        <v>224</v>
      </c>
    </row>
    <row r="88" customFormat="false" ht="15" hidden="false" customHeight="true" outlineLevel="0" collapsed="false">
      <c r="A88" s="28" t="s">
        <v>225</v>
      </c>
      <c r="B88" s="28"/>
      <c r="C88" s="29" t="n">
        <f aca="false">SUMIF(Détail!$D:$D,"PARK CASINO ROS",Détail!$E:$E)+SUMIF(Détail!$D:$D,"VIPARIS PDV PKG",Détail!$E:$E)+SUMIF(Détail!$D:$D,"BSM AP MARINA P",Détail!$E:$E)+SUMIF(Détail!$D:$D,"INDIGO 941401",Détail!$E:$E)+SUMIF(Détail!$D:$D,"INDIGO 750108",Détail!$E:$E)+SUMIF(Détail!$D:$D,"INDIGO 940006",Détail!$E:$E)+SUMIF(Détail!$D:$D,"PARK PTE VERSAI",Détail!$E:$E)+SUMIF(Détail!$D:$D,"ADP ORY P3 CBBS",Détail!$E:$E)+SUMIF(Détail!$D:$D,"ADP ROISSY PEF",Détail!$E:$E)+SUMIF(Détail!$D:$D,"EFFIA PARK",Détail!$E:$E)+SUMIF(Détail!$D:$D,"H P P E",Détail!$E:$E)</f>
        <v>-160.5</v>
      </c>
    </row>
    <row r="89" customFormat="false" ht="15" hidden="false" customHeight="true" outlineLevel="0" collapsed="false">
      <c r="A89" s="23" t="s">
        <v>54</v>
      </c>
      <c r="B89" s="23" t="s">
        <v>55</v>
      </c>
    </row>
    <row r="90" customFormat="false" ht="15" hidden="false" customHeight="true" outlineLevel="0" collapsed="false">
      <c r="A90" s="8" t="s">
        <v>56</v>
      </c>
      <c r="B90" s="30" t="n">
        <f aca="false">SUMIFS(Détail!$E:$E,Détail!$D:$D,"PARK CASINO ROS",Détail!$A:$A,"&gt;="&amp;DATE(2026,1,1),Détail!$A:$A,"&lt;"&amp;EDATE(DATE(2026,1,1),1))+SUMIFS(Détail!$E:$E,Détail!$D:$D,"VIPARIS PDV PKG",Détail!$A:$A,"&gt;="&amp;DATE(2026,1,1),Détail!$A:$A,"&lt;"&amp;EDATE(DATE(2026,1,1),1))+SUMIFS(Détail!$E:$E,Détail!$D:$D,"BSM AP MARINA P",Détail!$A:$A,"&gt;="&amp;DATE(2026,1,1),Détail!$A:$A,"&lt;"&amp;EDATE(DATE(2026,1,1),1))+SUMIFS(Détail!$E:$E,Détail!$D:$D,"INDIGO 941401",Détail!$A:$A,"&gt;="&amp;DATE(2026,1,1),Détail!$A:$A,"&lt;"&amp;EDATE(DATE(2026,1,1),1))+SUMIFS(Détail!$E:$E,Détail!$D:$D,"INDIGO 750108",Détail!$A:$A,"&gt;="&amp;DATE(2026,1,1),Détail!$A:$A,"&lt;"&amp;EDATE(DATE(2026,1,1),1))+SUMIFS(Détail!$E:$E,Détail!$D:$D,"INDIGO 940006",Détail!$A:$A,"&gt;="&amp;DATE(2026,1,1),Détail!$A:$A,"&lt;"&amp;EDATE(DATE(2026,1,1),1))+SUMIFS(Détail!$E:$E,Détail!$D:$D,"PARK PTE VERSAI",Détail!$A:$A,"&gt;="&amp;DATE(2026,1,1),Détail!$A:$A,"&lt;"&amp;EDATE(DATE(2026,1,1),1))+SUMIFS(Détail!$E:$E,Détail!$D:$D,"ADP ORY P3 CBBS",Détail!$A:$A,"&gt;="&amp;DATE(2026,1,1),Détail!$A:$A,"&lt;"&amp;EDATE(DATE(2026,1,1),1))+SUMIFS(Détail!$E:$E,Détail!$D:$D,"ADP ROISSY PEF",Détail!$A:$A,"&gt;="&amp;DATE(2026,1,1),Détail!$A:$A,"&lt;"&amp;EDATE(DATE(2026,1,1),1))+SUMIFS(Détail!$E:$E,Détail!$D:$D,"EFFIA PARK",Détail!$A:$A,"&gt;="&amp;DATE(2026,1,1),Détail!$A:$A,"&lt;"&amp;EDATE(DATE(2026,1,1),1))+SUMIFS(Détail!$E:$E,Détail!$D:$D,"H P P E",Détail!$A:$A,"&gt;="&amp;DATE(2026,1,1),Détail!$A:$A,"&lt;"&amp;EDATE(DATE(2026,1,1),1))</f>
        <v>-51.7</v>
      </c>
    </row>
    <row r="91" customFormat="false" ht="15" hidden="false" customHeight="true" outlineLevel="0" collapsed="false">
      <c r="A91" s="8" t="s">
        <v>57</v>
      </c>
      <c r="B91" s="30" t="n">
        <f aca="false">SUMIFS(Détail!$E:$E,Détail!$D:$D,"PARK CASINO ROS",Détail!$A:$A,"&gt;="&amp;DATE(2026,2,1),Détail!$A:$A,"&lt;"&amp;EDATE(DATE(2026,2,1),1))+SUMIFS(Détail!$E:$E,Détail!$D:$D,"VIPARIS PDV PKG",Détail!$A:$A,"&gt;="&amp;DATE(2026,2,1),Détail!$A:$A,"&lt;"&amp;EDATE(DATE(2026,2,1),1))+SUMIFS(Détail!$E:$E,Détail!$D:$D,"BSM AP MARINA P",Détail!$A:$A,"&gt;="&amp;DATE(2026,2,1),Détail!$A:$A,"&lt;"&amp;EDATE(DATE(2026,2,1),1))+SUMIFS(Détail!$E:$E,Détail!$D:$D,"INDIGO 941401",Détail!$A:$A,"&gt;="&amp;DATE(2026,2,1),Détail!$A:$A,"&lt;"&amp;EDATE(DATE(2026,2,1),1))+SUMIFS(Détail!$E:$E,Détail!$D:$D,"INDIGO 750108",Détail!$A:$A,"&gt;="&amp;DATE(2026,2,1),Détail!$A:$A,"&lt;"&amp;EDATE(DATE(2026,2,1),1))+SUMIFS(Détail!$E:$E,Détail!$D:$D,"INDIGO 940006",Détail!$A:$A,"&gt;="&amp;DATE(2026,2,1),Détail!$A:$A,"&lt;"&amp;EDATE(DATE(2026,2,1),1))+SUMIFS(Détail!$E:$E,Détail!$D:$D,"PARK PTE VERSAI",Détail!$A:$A,"&gt;="&amp;DATE(2026,2,1),Détail!$A:$A,"&lt;"&amp;EDATE(DATE(2026,2,1),1))+SUMIFS(Détail!$E:$E,Détail!$D:$D,"ADP ORY P3 CBBS",Détail!$A:$A,"&gt;="&amp;DATE(2026,2,1),Détail!$A:$A,"&lt;"&amp;EDATE(DATE(2026,2,1),1))+SUMIFS(Détail!$E:$E,Détail!$D:$D,"ADP ROISSY PEF",Détail!$A:$A,"&gt;="&amp;DATE(2026,2,1),Détail!$A:$A,"&lt;"&amp;EDATE(DATE(2026,2,1),1))+SUMIFS(Détail!$E:$E,Détail!$D:$D,"EFFIA PARK",Détail!$A:$A,"&gt;="&amp;DATE(2026,2,1),Détail!$A:$A,"&lt;"&amp;EDATE(DATE(2026,2,1),1))+SUMIFS(Détail!$E:$E,Détail!$D:$D,"H P P E",Détail!$A:$A,"&gt;="&amp;DATE(2026,2,1),Détail!$A:$A,"&lt;"&amp;EDATE(DATE(2026,2,1),1))</f>
        <v>-20.4</v>
      </c>
    </row>
    <row r="92" customFormat="false" ht="15" hidden="false" customHeight="true" outlineLevel="0" collapsed="false">
      <c r="A92" s="8" t="s">
        <v>58</v>
      </c>
      <c r="B92" s="30" t="n">
        <f aca="false">SUMIFS(Détail!$E:$E,Détail!$D:$D,"PARK CASINO ROS",Détail!$A:$A,"&gt;="&amp;DATE(2026,3,1),Détail!$A:$A,"&lt;"&amp;EDATE(DATE(2026,3,1),1))+SUMIFS(Détail!$E:$E,Détail!$D:$D,"VIPARIS PDV PKG",Détail!$A:$A,"&gt;="&amp;DATE(2026,3,1),Détail!$A:$A,"&lt;"&amp;EDATE(DATE(2026,3,1),1))+SUMIFS(Détail!$E:$E,Détail!$D:$D,"BSM AP MARINA P",Détail!$A:$A,"&gt;="&amp;DATE(2026,3,1),Détail!$A:$A,"&lt;"&amp;EDATE(DATE(2026,3,1),1))+SUMIFS(Détail!$E:$E,Détail!$D:$D,"INDIGO 941401",Détail!$A:$A,"&gt;="&amp;DATE(2026,3,1),Détail!$A:$A,"&lt;"&amp;EDATE(DATE(2026,3,1),1))+SUMIFS(Détail!$E:$E,Détail!$D:$D,"INDIGO 750108",Détail!$A:$A,"&gt;="&amp;DATE(2026,3,1),Détail!$A:$A,"&lt;"&amp;EDATE(DATE(2026,3,1),1))+SUMIFS(Détail!$E:$E,Détail!$D:$D,"INDIGO 940006",Détail!$A:$A,"&gt;="&amp;DATE(2026,3,1),Détail!$A:$A,"&lt;"&amp;EDATE(DATE(2026,3,1),1))+SUMIFS(Détail!$E:$E,Détail!$D:$D,"PARK PTE VERSAI",Détail!$A:$A,"&gt;="&amp;DATE(2026,3,1),Détail!$A:$A,"&lt;"&amp;EDATE(DATE(2026,3,1),1))+SUMIFS(Détail!$E:$E,Détail!$D:$D,"ADP ORY P3 CBBS",Détail!$A:$A,"&gt;="&amp;DATE(2026,3,1),Détail!$A:$A,"&lt;"&amp;EDATE(DATE(2026,3,1),1))+SUMIFS(Détail!$E:$E,Détail!$D:$D,"ADP ROISSY PEF",Détail!$A:$A,"&gt;="&amp;DATE(2026,3,1),Détail!$A:$A,"&lt;"&amp;EDATE(DATE(2026,3,1),1))+SUMIFS(Détail!$E:$E,Détail!$D:$D,"EFFIA PARK",Détail!$A:$A,"&gt;="&amp;DATE(2026,3,1),Détail!$A:$A,"&lt;"&amp;EDATE(DATE(2026,3,1),1))+SUMIFS(Détail!$E:$E,Détail!$D:$D,"H P P E",Détail!$A:$A,"&gt;="&amp;DATE(2026,3,1),Détail!$A:$A,"&lt;"&amp;EDATE(DATE(2026,3,1),1))</f>
        <v>-6.2</v>
      </c>
    </row>
    <row r="93" customFormat="false" ht="15" hidden="false" customHeight="true" outlineLevel="0" collapsed="false">
      <c r="A93" s="8" t="s">
        <v>59</v>
      </c>
      <c r="B93" s="30" t="n">
        <f aca="false">SUMIFS(Détail!$E:$E,Détail!$D:$D,"PARK CASINO ROS",Détail!$A:$A,"&gt;="&amp;DATE(2026,4,1),Détail!$A:$A,"&lt;"&amp;EDATE(DATE(2026,4,1),1))+SUMIFS(Détail!$E:$E,Détail!$D:$D,"VIPARIS PDV PKG",Détail!$A:$A,"&gt;="&amp;DATE(2026,4,1),Détail!$A:$A,"&lt;"&amp;EDATE(DATE(2026,4,1),1))+SUMIFS(Détail!$E:$E,Détail!$D:$D,"BSM AP MARINA P",Détail!$A:$A,"&gt;="&amp;DATE(2026,4,1),Détail!$A:$A,"&lt;"&amp;EDATE(DATE(2026,4,1),1))+SUMIFS(Détail!$E:$E,Détail!$D:$D,"INDIGO 941401",Détail!$A:$A,"&gt;="&amp;DATE(2026,4,1),Détail!$A:$A,"&lt;"&amp;EDATE(DATE(2026,4,1),1))+SUMIFS(Détail!$E:$E,Détail!$D:$D,"INDIGO 750108",Détail!$A:$A,"&gt;="&amp;DATE(2026,4,1),Détail!$A:$A,"&lt;"&amp;EDATE(DATE(2026,4,1),1))+SUMIFS(Détail!$E:$E,Détail!$D:$D,"INDIGO 940006",Détail!$A:$A,"&gt;="&amp;DATE(2026,4,1),Détail!$A:$A,"&lt;"&amp;EDATE(DATE(2026,4,1),1))+SUMIFS(Détail!$E:$E,Détail!$D:$D,"PARK PTE VERSAI",Détail!$A:$A,"&gt;="&amp;DATE(2026,4,1),Détail!$A:$A,"&lt;"&amp;EDATE(DATE(2026,4,1),1))+SUMIFS(Détail!$E:$E,Détail!$D:$D,"ADP ORY P3 CBBS",Détail!$A:$A,"&gt;="&amp;DATE(2026,4,1),Détail!$A:$A,"&lt;"&amp;EDATE(DATE(2026,4,1),1))+SUMIFS(Détail!$E:$E,Détail!$D:$D,"ADP ROISSY PEF",Détail!$A:$A,"&gt;="&amp;DATE(2026,4,1),Détail!$A:$A,"&lt;"&amp;EDATE(DATE(2026,4,1),1))+SUMIFS(Détail!$E:$E,Détail!$D:$D,"EFFIA PARK",Détail!$A:$A,"&gt;="&amp;DATE(2026,4,1),Détail!$A:$A,"&lt;"&amp;EDATE(DATE(2026,4,1),1))+SUMIFS(Détail!$E:$E,Détail!$D:$D,"H P P E",Détail!$A:$A,"&gt;="&amp;DATE(2026,4,1),Détail!$A:$A,"&lt;"&amp;EDATE(DATE(2026,4,1),1))</f>
        <v>-61</v>
      </c>
    </row>
    <row r="94" customFormat="false" ht="15" hidden="false" customHeight="true" outlineLevel="0" collapsed="false">
      <c r="A94" s="8" t="s">
        <v>60</v>
      </c>
      <c r="B94" s="30" t="n">
        <f aca="false">SUMIFS(Détail!$E:$E,Détail!$D:$D,"PARK CASINO ROS",Détail!$A:$A,"&gt;="&amp;DATE(2026,5,1),Détail!$A:$A,"&lt;"&amp;EDATE(DATE(2026,5,1),1))+SUMIFS(Détail!$E:$E,Détail!$D:$D,"VIPARIS PDV PKG",Détail!$A:$A,"&gt;="&amp;DATE(2026,5,1),Détail!$A:$A,"&lt;"&amp;EDATE(DATE(2026,5,1),1))+SUMIFS(Détail!$E:$E,Détail!$D:$D,"BSM AP MARINA P",Détail!$A:$A,"&gt;="&amp;DATE(2026,5,1),Détail!$A:$A,"&lt;"&amp;EDATE(DATE(2026,5,1),1))+SUMIFS(Détail!$E:$E,Détail!$D:$D,"INDIGO 941401",Détail!$A:$A,"&gt;="&amp;DATE(2026,5,1),Détail!$A:$A,"&lt;"&amp;EDATE(DATE(2026,5,1),1))+SUMIFS(Détail!$E:$E,Détail!$D:$D,"INDIGO 750108",Détail!$A:$A,"&gt;="&amp;DATE(2026,5,1),Détail!$A:$A,"&lt;"&amp;EDATE(DATE(2026,5,1),1))+SUMIFS(Détail!$E:$E,Détail!$D:$D,"INDIGO 940006",Détail!$A:$A,"&gt;="&amp;DATE(2026,5,1),Détail!$A:$A,"&lt;"&amp;EDATE(DATE(2026,5,1),1))+SUMIFS(Détail!$E:$E,Détail!$D:$D,"PARK PTE VERSAI",Détail!$A:$A,"&gt;="&amp;DATE(2026,5,1),Détail!$A:$A,"&lt;"&amp;EDATE(DATE(2026,5,1),1))+SUMIFS(Détail!$E:$E,Détail!$D:$D,"ADP ORY P3 CBBS",Détail!$A:$A,"&gt;="&amp;DATE(2026,5,1),Détail!$A:$A,"&lt;"&amp;EDATE(DATE(2026,5,1),1))+SUMIFS(Détail!$E:$E,Détail!$D:$D,"ADP ROISSY PEF",Détail!$A:$A,"&gt;="&amp;DATE(2026,5,1),Détail!$A:$A,"&lt;"&amp;EDATE(DATE(2026,5,1),1))+SUMIFS(Détail!$E:$E,Détail!$D:$D,"EFFIA PARK",Détail!$A:$A,"&gt;="&amp;DATE(2026,5,1),Détail!$A:$A,"&lt;"&amp;EDATE(DATE(2026,5,1),1))+SUMIFS(Détail!$E:$E,Détail!$D:$D,"H P P E",Détail!$A:$A,"&gt;="&amp;DATE(2026,5,1),Détail!$A:$A,"&lt;"&amp;EDATE(DATE(2026,5,1),1))</f>
        <v>-5.35</v>
      </c>
    </row>
    <row r="95" customFormat="false" ht="15" hidden="false" customHeight="true" outlineLevel="0" collapsed="false">
      <c r="A95" s="8" t="s">
        <v>61</v>
      </c>
      <c r="B95" s="30" t="n">
        <f aca="false">SUMIFS(Détail!$E:$E,Détail!$D:$D,"PARK CASINO ROS",Détail!$A:$A,"&gt;="&amp;DATE(2026,6,1),Détail!$A:$A,"&lt;"&amp;EDATE(DATE(2026,6,1),1))+SUMIFS(Détail!$E:$E,Détail!$D:$D,"VIPARIS PDV PKG",Détail!$A:$A,"&gt;="&amp;DATE(2026,6,1),Détail!$A:$A,"&lt;"&amp;EDATE(DATE(2026,6,1),1))+SUMIFS(Détail!$E:$E,Détail!$D:$D,"BSM AP MARINA P",Détail!$A:$A,"&gt;="&amp;DATE(2026,6,1),Détail!$A:$A,"&lt;"&amp;EDATE(DATE(2026,6,1),1))+SUMIFS(Détail!$E:$E,Détail!$D:$D,"INDIGO 941401",Détail!$A:$A,"&gt;="&amp;DATE(2026,6,1),Détail!$A:$A,"&lt;"&amp;EDATE(DATE(2026,6,1),1))+SUMIFS(Détail!$E:$E,Détail!$D:$D,"INDIGO 750108",Détail!$A:$A,"&gt;="&amp;DATE(2026,6,1),Détail!$A:$A,"&lt;"&amp;EDATE(DATE(2026,6,1),1))+SUMIFS(Détail!$E:$E,Détail!$D:$D,"INDIGO 940006",Détail!$A:$A,"&gt;="&amp;DATE(2026,6,1),Détail!$A:$A,"&lt;"&amp;EDATE(DATE(2026,6,1),1))+SUMIFS(Détail!$E:$E,Détail!$D:$D,"PARK PTE VERSAI",Détail!$A:$A,"&gt;="&amp;DATE(2026,6,1),Détail!$A:$A,"&lt;"&amp;EDATE(DATE(2026,6,1),1))+SUMIFS(Détail!$E:$E,Détail!$D:$D,"ADP ORY P3 CBBS",Détail!$A:$A,"&gt;="&amp;DATE(2026,6,1),Détail!$A:$A,"&lt;"&amp;EDATE(DATE(2026,6,1),1))+SUMIFS(Détail!$E:$E,Détail!$D:$D,"ADP ROISSY PEF",Détail!$A:$A,"&gt;="&amp;DATE(2026,6,1),Détail!$A:$A,"&lt;"&amp;EDATE(DATE(2026,6,1),1))+SUMIFS(Détail!$E:$E,Détail!$D:$D,"EFFIA PARK",Détail!$A:$A,"&gt;="&amp;DATE(2026,6,1),Détail!$A:$A,"&lt;"&amp;EDATE(DATE(2026,6,1),1))+SUMIFS(Détail!$E:$E,Détail!$D:$D,"H P P E",Détail!$A:$A,"&gt;="&amp;DATE(2026,6,1),Détail!$A:$A,"&lt;"&amp;EDATE(DATE(2026,6,1),1))</f>
        <v>-7.35</v>
      </c>
    </row>
    <row r="96" customFormat="false" ht="15" hidden="false" customHeight="true" outlineLevel="0" collapsed="false">
      <c r="A96" s="8" t="s">
        <v>62</v>
      </c>
      <c r="B96" s="30" t="n">
        <f aca="false">SUMIFS(Détail!$E:$E,Détail!$D:$D,"PARK CASINO ROS",Détail!$A:$A,"&gt;="&amp;DATE(2026,7,1),Détail!$A:$A,"&lt;"&amp;EDATE(DATE(2026,7,1),1))+SUMIFS(Détail!$E:$E,Détail!$D:$D,"VIPARIS PDV PKG",Détail!$A:$A,"&gt;="&amp;DATE(2026,7,1),Détail!$A:$A,"&lt;"&amp;EDATE(DATE(2026,7,1),1))+SUMIFS(Détail!$E:$E,Détail!$D:$D,"BSM AP MARINA P",Détail!$A:$A,"&gt;="&amp;DATE(2026,7,1),Détail!$A:$A,"&lt;"&amp;EDATE(DATE(2026,7,1),1))+SUMIFS(Détail!$E:$E,Détail!$D:$D,"INDIGO 941401",Détail!$A:$A,"&gt;="&amp;DATE(2026,7,1),Détail!$A:$A,"&lt;"&amp;EDATE(DATE(2026,7,1),1))+SUMIFS(Détail!$E:$E,Détail!$D:$D,"INDIGO 750108",Détail!$A:$A,"&gt;="&amp;DATE(2026,7,1),Détail!$A:$A,"&lt;"&amp;EDATE(DATE(2026,7,1),1))+SUMIFS(Détail!$E:$E,Détail!$D:$D,"INDIGO 940006",Détail!$A:$A,"&gt;="&amp;DATE(2026,7,1),Détail!$A:$A,"&lt;"&amp;EDATE(DATE(2026,7,1),1))+SUMIFS(Détail!$E:$E,Détail!$D:$D,"PARK PTE VERSAI",Détail!$A:$A,"&gt;="&amp;DATE(2026,7,1),Détail!$A:$A,"&lt;"&amp;EDATE(DATE(2026,7,1),1))+SUMIFS(Détail!$E:$E,Détail!$D:$D,"ADP ORY P3 CBBS",Détail!$A:$A,"&gt;="&amp;DATE(2026,7,1),Détail!$A:$A,"&lt;"&amp;EDATE(DATE(2026,7,1),1))+SUMIFS(Détail!$E:$E,Détail!$D:$D,"ADP ROISSY PEF",Détail!$A:$A,"&gt;="&amp;DATE(2026,7,1),Détail!$A:$A,"&lt;"&amp;EDATE(DATE(2026,7,1),1))+SUMIFS(Détail!$E:$E,Détail!$D:$D,"EFFIA PARK",Détail!$A:$A,"&gt;="&amp;DATE(2026,7,1),Détail!$A:$A,"&lt;"&amp;EDATE(DATE(2026,7,1),1))+SUMIFS(Détail!$E:$E,Détail!$D:$D,"H P P E",Détail!$A:$A,"&gt;="&amp;DATE(2026,7,1),Détail!$A:$A,"&lt;"&amp;EDATE(DATE(2026,7,1),1))</f>
        <v>-8.5</v>
      </c>
    </row>
    <row r="97" customFormat="false" ht="15" hidden="false" customHeight="true" outlineLevel="0" collapsed="false">
      <c r="A97" s="25" t="s">
        <v>214</v>
      </c>
      <c r="B97" s="25" t="s">
        <v>226</v>
      </c>
    </row>
  </sheetData>
  <mergeCells count="9">
    <mergeCell ref="A4:B4"/>
    <mergeCell ref="A14:B14"/>
    <mergeCell ref="A25:B25"/>
    <mergeCell ref="A36:B36"/>
    <mergeCell ref="A46:B46"/>
    <mergeCell ref="A56:B56"/>
    <mergeCell ref="A66:B66"/>
    <mergeCell ref="A77:B77"/>
    <mergeCell ref="A88:B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227</v>
      </c>
    </row>
    <row r="3" customFormat="false" ht="15" hidden="false" customHeight="true" outlineLevel="0" collapsed="false">
      <c r="A3" s="28" t="s">
        <v>228</v>
      </c>
      <c r="B3" s="28"/>
      <c r="C3" s="29" t="n">
        <f aca="false">SUMIF(Détail!$D:$D,"JFC BY MARY AUTOMOBILES",Détail!$E:$E)</f>
        <v>-3754.96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SUMIFS(Détail!$E:$E,Détail!$D:$D,"JFC BY MARY AUTOMOBILES",Détail!$A:$A,"&gt;="&amp;DATE(2026,1,1),Détail!$A:$A,"&lt;"&amp;EDATE(DATE(2026,1,1),1))</f>
        <v>0</v>
      </c>
    </row>
    <row r="6" customFormat="false" ht="15" hidden="false" customHeight="true" outlineLevel="0" collapsed="false">
      <c r="A6" s="8" t="s">
        <v>58</v>
      </c>
      <c r="B6" s="30" t="n">
        <f aca="false">SUMIFS(Détail!$E:$E,Détail!$D:$D,"JFC BY MARY AUTOMOBILES",Détail!$A:$A,"&gt;="&amp;DATE(2026,3,1),Détail!$A:$A,"&lt;"&amp;EDATE(DATE(2026,3,1),1))</f>
        <v>-3754.96</v>
      </c>
    </row>
    <row r="7" customFormat="false" ht="15" hidden="false" customHeight="true" outlineLevel="0" collapsed="false">
      <c r="A7" s="8" t="s">
        <v>59</v>
      </c>
      <c r="B7" s="30" t="n">
        <f aca="false">SUMIFS(Détail!$E:$E,Détail!$D:$D,"JFC BY MARY AUTOMOBILES",Détail!$A:$A,"&gt;="&amp;DATE(2026,4,1),Détail!$A:$A,"&lt;"&amp;EDATE(DATE(2026,4,1),1))</f>
        <v>0</v>
      </c>
    </row>
    <row r="8" customFormat="false" ht="15" hidden="false" customHeight="true" outlineLevel="0" collapsed="false">
      <c r="A8" s="8" t="s">
        <v>60</v>
      </c>
      <c r="B8" s="30" t="n">
        <f aca="false">SUMIFS(Détail!$E:$E,Détail!$D:$D,"JFC BY MARY AUTOMOBILES",Détail!$A:$A,"&gt;="&amp;DATE(2026,5,1),Détail!$A:$A,"&lt;"&amp;EDATE(DATE(2026,5,1),1))</f>
        <v>0</v>
      </c>
    </row>
    <row r="9" customFormat="false" ht="15" hidden="false" customHeight="true" outlineLevel="0" collapsed="false">
      <c r="A9" s="8" t="s">
        <v>61</v>
      </c>
      <c r="B9" s="30" t="n">
        <f aca="false">SUMIFS(Détail!$E:$E,Détail!$D:$D,"JFC BY MARY AUTOMOBILES",Détail!$A:$A,"&gt;="&amp;DATE(2026,6,1),Détail!$A:$A,"&lt;"&amp;EDATE(DATE(2026,6,1),1))</f>
        <v>0</v>
      </c>
    </row>
    <row r="12" customFormat="false" ht="15" hidden="false" customHeight="true" outlineLevel="0" collapsed="false">
      <c r="A12" s="28" t="s">
        <v>229</v>
      </c>
      <c r="B12" s="28"/>
      <c r="C12" s="29" t="n">
        <f aca="false">SUMIF(Détail!$D:$D,"EASY PNEUS",Détail!$E:$E)</f>
        <v>-285.08</v>
      </c>
    </row>
    <row r="13" customFormat="false" ht="15" hidden="false" customHeight="true" outlineLevel="0" collapsed="false">
      <c r="A13" s="23" t="s">
        <v>54</v>
      </c>
      <c r="B13" s="23" t="s">
        <v>55</v>
      </c>
    </row>
    <row r="14" customFormat="false" ht="15" hidden="false" customHeight="true" outlineLevel="0" collapsed="false">
      <c r="A14" s="8" t="s">
        <v>56</v>
      </c>
      <c r="B14" s="30" t="n">
        <f aca="false">SUMIFS(Détail!$E:$E,Détail!$D:$D,"EASY PNEUS",Détail!$A:$A,"&gt;="&amp;DATE(2026,1,1),Détail!$A:$A,"&lt;"&amp;EDATE(DATE(2026,1,1),1))</f>
        <v>0</v>
      </c>
    </row>
    <row r="15" customFormat="false" ht="15" hidden="false" customHeight="true" outlineLevel="0" collapsed="false">
      <c r="A15" s="8" t="s">
        <v>58</v>
      </c>
      <c r="B15" s="30" t="n">
        <f aca="false">SUMIFS(Détail!$E:$E,Détail!$D:$D,"EASY PNEUS",Détail!$A:$A,"&gt;="&amp;DATE(2026,3,1),Détail!$A:$A,"&lt;"&amp;EDATE(DATE(2026,3,1),1))</f>
        <v>0</v>
      </c>
    </row>
    <row r="16" customFormat="false" ht="15" hidden="false" customHeight="true" outlineLevel="0" collapsed="false">
      <c r="A16" s="8" t="s">
        <v>59</v>
      </c>
      <c r="B16" s="30" t="n">
        <f aca="false">SUMIFS(Détail!$E:$E,Détail!$D:$D,"EASY PNEUS",Détail!$A:$A,"&gt;="&amp;DATE(2026,4,1),Détail!$A:$A,"&lt;"&amp;EDATE(DATE(2026,4,1),1))</f>
        <v>0</v>
      </c>
    </row>
    <row r="17" customFormat="false" ht="15" hidden="false" customHeight="true" outlineLevel="0" collapsed="false">
      <c r="A17" s="8" t="s">
        <v>60</v>
      </c>
      <c r="B17" s="30" t="n">
        <f aca="false">SUMIFS(Détail!$E:$E,Détail!$D:$D,"EASY PNEUS",Détail!$A:$A,"&gt;="&amp;DATE(2026,5,1),Détail!$A:$A,"&lt;"&amp;EDATE(DATE(2026,5,1),1))</f>
        <v>-285.08</v>
      </c>
    </row>
    <row r="18" customFormat="false" ht="15" hidden="false" customHeight="true" outlineLevel="0" collapsed="false">
      <c r="A18" s="8" t="s">
        <v>61</v>
      </c>
      <c r="B18" s="30" t="n">
        <f aca="false">SUMIFS(Détail!$E:$E,Détail!$D:$D,"EASY PNEUS",Détail!$A:$A,"&gt;="&amp;DATE(2026,6,1),Détail!$A:$A,"&lt;"&amp;EDATE(DATE(2026,6,1),1))</f>
        <v>0</v>
      </c>
    </row>
    <row r="21" customFormat="false" ht="15" hidden="false" customHeight="true" outlineLevel="0" collapsed="false">
      <c r="A21" s="28" t="s">
        <v>230</v>
      </c>
      <c r="B21" s="28"/>
      <c r="C21" s="29" t="n">
        <f aca="false">SUMIF(Détail!$D:$D,"SPEEDY CHAMPIGN",Détail!$E:$E)</f>
        <v>-147</v>
      </c>
    </row>
    <row r="22" customFormat="false" ht="15" hidden="false" customHeight="true" outlineLevel="0" collapsed="false">
      <c r="A22" s="23" t="s">
        <v>54</v>
      </c>
      <c r="B22" s="23" t="s">
        <v>55</v>
      </c>
    </row>
    <row r="23" customFormat="false" ht="15" hidden="false" customHeight="true" outlineLevel="0" collapsed="false">
      <c r="A23" s="8" t="s">
        <v>56</v>
      </c>
      <c r="B23" s="30" t="n">
        <f aca="false">SUMIFS(Détail!$E:$E,Détail!$D:$D,"SPEEDY CHAMPIGN",Détail!$A:$A,"&gt;="&amp;DATE(2026,1,1),Détail!$A:$A,"&lt;"&amp;EDATE(DATE(2026,1,1),1))</f>
        <v>-147</v>
      </c>
    </row>
    <row r="24" customFormat="false" ht="15" hidden="false" customHeight="true" outlineLevel="0" collapsed="false">
      <c r="A24" s="8" t="s">
        <v>58</v>
      </c>
      <c r="B24" s="30" t="n">
        <f aca="false">SUMIFS(Détail!$E:$E,Détail!$D:$D,"SPEEDY CHAMPIGN",Détail!$A:$A,"&gt;="&amp;DATE(2026,3,1),Détail!$A:$A,"&lt;"&amp;EDATE(DATE(2026,3,1),1))</f>
        <v>0</v>
      </c>
    </row>
    <row r="25" customFormat="false" ht="15" hidden="false" customHeight="true" outlineLevel="0" collapsed="false">
      <c r="A25" s="8" t="s">
        <v>59</v>
      </c>
      <c r="B25" s="30" t="n">
        <f aca="false">SUMIFS(Détail!$E:$E,Détail!$D:$D,"SPEEDY CHAMPIGN",Détail!$A:$A,"&gt;="&amp;DATE(2026,4,1),Détail!$A:$A,"&lt;"&amp;EDATE(DATE(2026,4,1),1))</f>
        <v>0</v>
      </c>
    </row>
    <row r="26" customFormat="false" ht="15" hidden="false" customHeight="true" outlineLevel="0" collapsed="false">
      <c r="A26" s="8" t="s">
        <v>60</v>
      </c>
      <c r="B26" s="30" t="n">
        <f aca="false">SUMIFS(Détail!$E:$E,Détail!$D:$D,"SPEEDY CHAMPIGN",Détail!$A:$A,"&gt;="&amp;DATE(2026,5,1),Détail!$A:$A,"&lt;"&amp;EDATE(DATE(2026,5,1),1))</f>
        <v>0</v>
      </c>
    </row>
    <row r="27" customFormat="false" ht="15" hidden="false" customHeight="true" outlineLevel="0" collapsed="false">
      <c r="A27" s="8" t="s">
        <v>61</v>
      </c>
      <c r="B27" s="30" t="n">
        <f aca="false">SUMIFS(Détail!$E:$E,Détail!$D:$D,"SPEEDY CHAMPIGN",Détail!$A:$A,"&gt;="&amp;DATE(2026,6,1),Détail!$A:$A,"&lt;"&amp;EDATE(DATE(2026,6,1),1))</f>
        <v>0</v>
      </c>
    </row>
    <row r="30" customFormat="false" ht="15" hidden="false" customHeight="true" outlineLevel="0" collapsed="false">
      <c r="A30" s="28" t="s">
        <v>231</v>
      </c>
      <c r="B30" s="28"/>
      <c r="C30" s="29" t="n">
        <f aca="false">SUMIF(Détail!$D:$D,"LM AUTO PARTS",Détail!$E:$E)</f>
        <v>-142</v>
      </c>
    </row>
    <row r="31" customFormat="false" ht="15" hidden="false" customHeight="true" outlineLevel="0" collapsed="false">
      <c r="A31" s="23" t="s">
        <v>54</v>
      </c>
      <c r="B31" s="23" t="s">
        <v>55</v>
      </c>
    </row>
    <row r="32" customFormat="false" ht="15" hidden="false" customHeight="true" outlineLevel="0" collapsed="false">
      <c r="A32" s="8" t="s">
        <v>56</v>
      </c>
      <c r="B32" s="30" t="n">
        <f aca="false">SUMIFS(Détail!$E:$E,Détail!$D:$D,"LM AUTO PARTS",Détail!$A:$A,"&gt;="&amp;DATE(2026,1,1),Détail!$A:$A,"&lt;"&amp;EDATE(DATE(2026,1,1),1))</f>
        <v>0</v>
      </c>
    </row>
    <row r="33" customFormat="false" ht="15" hidden="false" customHeight="true" outlineLevel="0" collapsed="false">
      <c r="A33" s="8" t="s">
        <v>58</v>
      </c>
      <c r="B33" s="30" t="n">
        <f aca="false">SUMIFS(Détail!$E:$E,Détail!$D:$D,"LM AUTO PARTS",Détail!$A:$A,"&gt;="&amp;DATE(2026,3,1),Détail!$A:$A,"&lt;"&amp;EDATE(DATE(2026,3,1),1))</f>
        <v>0</v>
      </c>
    </row>
    <row r="34" customFormat="false" ht="15" hidden="false" customHeight="true" outlineLevel="0" collapsed="false">
      <c r="A34" s="8" t="s">
        <v>59</v>
      </c>
      <c r="B34" s="30" t="n">
        <f aca="false">SUMIFS(Détail!$E:$E,Détail!$D:$D,"LM AUTO PARTS",Détail!$A:$A,"&gt;="&amp;DATE(2026,4,1),Détail!$A:$A,"&lt;"&amp;EDATE(DATE(2026,4,1),1))</f>
        <v>0</v>
      </c>
    </row>
    <row r="35" customFormat="false" ht="15" hidden="false" customHeight="true" outlineLevel="0" collapsed="false">
      <c r="A35" s="8" t="s">
        <v>60</v>
      </c>
      <c r="B35" s="30" t="n">
        <f aca="false">SUMIFS(Détail!$E:$E,Détail!$D:$D,"LM AUTO PARTS",Détail!$A:$A,"&gt;="&amp;DATE(2026,5,1),Détail!$A:$A,"&lt;"&amp;EDATE(DATE(2026,5,1),1))</f>
        <v>0</v>
      </c>
    </row>
    <row r="36" customFormat="false" ht="15" hidden="false" customHeight="true" outlineLevel="0" collapsed="false">
      <c r="A36" s="8" t="s">
        <v>61</v>
      </c>
      <c r="B36" s="30" t="n">
        <f aca="false">SUMIFS(Détail!$E:$E,Détail!$D:$D,"LM AUTO PARTS",Détail!$A:$A,"&gt;="&amp;DATE(2026,6,1),Détail!$A:$A,"&lt;"&amp;EDATE(DATE(2026,6,1),1))</f>
        <v>-142</v>
      </c>
    </row>
    <row r="39" customFormat="false" ht="15" hidden="false" customHeight="true" outlineLevel="0" collapsed="false">
      <c r="A39" s="28" t="s">
        <v>232</v>
      </c>
      <c r="B39" s="28"/>
      <c r="C39" s="29" t="n">
        <f aca="false">SUMIF(Détail!$D:$D,"AUTOLOOK RAPID",Détail!$E:$E)</f>
        <v>-60</v>
      </c>
    </row>
    <row r="40" customFormat="false" ht="15" hidden="false" customHeight="true" outlineLevel="0" collapsed="false">
      <c r="A40" s="23" t="s">
        <v>54</v>
      </c>
      <c r="B40" s="23" t="s">
        <v>55</v>
      </c>
    </row>
    <row r="41" customFormat="false" ht="15" hidden="false" customHeight="true" outlineLevel="0" collapsed="false">
      <c r="A41" s="8" t="s">
        <v>56</v>
      </c>
      <c r="B41" s="30" t="n">
        <f aca="false">SUMIFS(Détail!$E:$E,Détail!$D:$D,"AUTOLOOK RAPID",Détail!$A:$A,"&gt;="&amp;DATE(2026,1,1),Détail!$A:$A,"&lt;"&amp;EDATE(DATE(2026,1,1),1))</f>
        <v>0</v>
      </c>
    </row>
    <row r="42" customFormat="false" ht="15" hidden="false" customHeight="true" outlineLevel="0" collapsed="false">
      <c r="A42" s="8" t="s">
        <v>58</v>
      </c>
      <c r="B42" s="30" t="n">
        <f aca="false">SUMIFS(Détail!$E:$E,Détail!$D:$D,"AUTOLOOK RAPID",Détail!$A:$A,"&gt;="&amp;DATE(2026,3,1),Détail!$A:$A,"&lt;"&amp;EDATE(DATE(2026,3,1),1))</f>
        <v>0</v>
      </c>
    </row>
    <row r="43" customFormat="false" ht="15" hidden="false" customHeight="true" outlineLevel="0" collapsed="false">
      <c r="A43" s="8" t="s">
        <v>59</v>
      </c>
      <c r="B43" s="30" t="n">
        <f aca="false">SUMIFS(Détail!$E:$E,Détail!$D:$D,"AUTOLOOK RAPID",Détail!$A:$A,"&gt;="&amp;DATE(2026,4,1),Détail!$A:$A,"&lt;"&amp;EDATE(DATE(2026,4,1),1))</f>
        <v>-60</v>
      </c>
    </row>
    <row r="44" customFormat="false" ht="15" hidden="false" customHeight="true" outlineLevel="0" collapsed="false">
      <c r="A44" s="8" t="s">
        <v>60</v>
      </c>
      <c r="B44" s="30" t="n">
        <f aca="false">SUMIFS(Détail!$E:$E,Détail!$D:$D,"AUTOLOOK RAPID",Détail!$A:$A,"&gt;="&amp;DATE(2026,5,1),Détail!$A:$A,"&lt;"&amp;EDATE(DATE(2026,5,1),1))</f>
        <v>0</v>
      </c>
    </row>
    <row r="45" customFormat="false" ht="15" hidden="false" customHeight="true" outlineLevel="0" collapsed="false">
      <c r="A45" s="8" t="s">
        <v>61</v>
      </c>
      <c r="B45" s="30" t="n">
        <f aca="false">SUMIFS(Détail!$E:$E,Détail!$D:$D,"AUTOLOOK RAPID",Détail!$A:$A,"&gt;="&amp;DATE(2026,6,1),Détail!$A:$A,"&lt;"&amp;EDATE(DATE(2026,6,1),1))</f>
        <v>0</v>
      </c>
    </row>
    <row r="48" customFormat="false" ht="15" hidden="false" customHeight="true" outlineLevel="0" collapsed="false">
      <c r="A48" s="28" t="s">
        <v>233</v>
      </c>
      <c r="B48" s="28"/>
      <c r="C48" s="29" t="n">
        <f aca="false">SUMIF(Détail!$D:$D,"LAVAGE AUTO",Détail!$E:$E)</f>
        <v>-20</v>
      </c>
    </row>
    <row r="49" customFormat="false" ht="15" hidden="false" customHeight="true" outlineLevel="0" collapsed="false">
      <c r="A49" s="23" t="s">
        <v>54</v>
      </c>
      <c r="B49" s="23" t="s">
        <v>55</v>
      </c>
    </row>
    <row r="50" customFormat="false" ht="15" hidden="false" customHeight="true" outlineLevel="0" collapsed="false">
      <c r="A50" s="8" t="s">
        <v>56</v>
      </c>
      <c r="B50" s="30" t="n">
        <f aca="false">SUMIFS(Détail!$E:$E,Détail!$D:$D,"LAVAGE AUTO",Détail!$A:$A,"&gt;="&amp;DATE(2026,1,1),Détail!$A:$A,"&lt;"&amp;EDATE(DATE(2026,1,1),1))</f>
        <v>0</v>
      </c>
    </row>
    <row r="51" customFormat="false" ht="15" hidden="false" customHeight="true" outlineLevel="0" collapsed="false">
      <c r="A51" s="8" t="s">
        <v>58</v>
      </c>
      <c r="B51" s="30" t="n">
        <f aca="false">SUMIFS(Détail!$E:$E,Détail!$D:$D,"LAVAGE AUTO",Détail!$A:$A,"&gt;="&amp;DATE(2026,3,1),Détail!$A:$A,"&lt;"&amp;EDATE(DATE(2026,3,1),1))</f>
        <v>0</v>
      </c>
    </row>
    <row r="52" customFormat="false" ht="15" hidden="false" customHeight="true" outlineLevel="0" collapsed="false">
      <c r="A52" s="8" t="s">
        <v>59</v>
      </c>
      <c r="B52" s="30" t="n">
        <f aca="false">SUMIFS(Détail!$E:$E,Détail!$D:$D,"LAVAGE AUTO",Détail!$A:$A,"&gt;="&amp;DATE(2026,4,1),Détail!$A:$A,"&lt;"&amp;EDATE(DATE(2026,4,1),1))</f>
        <v>-20</v>
      </c>
    </row>
    <row r="53" customFormat="false" ht="15" hidden="false" customHeight="true" outlineLevel="0" collapsed="false">
      <c r="A53" s="8" t="s">
        <v>60</v>
      </c>
      <c r="B53" s="30" t="n">
        <f aca="false">SUMIFS(Détail!$E:$E,Détail!$D:$D,"LAVAGE AUTO",Détail!$A:$A,"&gt;="&amp;DATE(2026,5,1),Détail!$A:$A,"&lt;"&amp;EDATE(DATE(2026,5,1),1))</f>
        <v>0</v>
      </c>
    </row>
    <row r="54" customFormat="false" ht="15" hidden="false" customHeight="true" outlineLevel="0" collapsed="false">
      <c r="A54" s="8" t="s">
        <v>61</v>
      </c>
      <c r="B54" s="30" t="n">
        <f aca="false">SUMIFS(Détail!$E:$E,Détail!$D:$D,"LAVAGE AUTO",Détail!$A:$A,"&gt;="&amp;DATE(2026,6,1),Détail!$A:$A,"&lt;"&amp;EDATE(DATE(2026,6,1),1))</f>
        <v>0</v>
      </c>
    </row>
    <row r="57" customFormat="false" ht="15" hidden="false" customHeight="true" outlineLevel="0" collapsed="false">
      <c r="A57" s="28" t="s">
        <v>234</v>
      </c>
      <c r="B57" s="28"/>
      <c r="C57" s="29" t="n">
        <f aca="false">SUMIF(Détail!$D:$D,"JET SERVICIO",Détail!$E:$E)</f>
        <v>-17.12</v>
      </c>
    </row>
    <row r="58" customFormat="false" ht="15" hidden="false" customHeight="true" outlineLevel="0" collapsed="false">
      <c r="A58" s="23" t="s">
        <v>54</v>
      </c>
      <c r="B58" s="23" t="s">
        <v>55</v>
      </c>
    </row>
    <row r="59" customFormat="false" ht="15" hidden="false" customHeight="true" outlineLevel="0" collapsed="false">
      <c r="A59" s="8" t="s">
        <v>56</v>
      </c>
      <c r="B59" s="30" t="n">
        <f aca="false">SUMIFS(Détail!$E:$E,Détail!$D:$D,"JET SERVICIO",Détail!$A:$A,"&gt;="&amp;DATE(2026,1,1),Détail!$A:$A,"&lt;"&amp;EDATE(DATE(2026,1,1),1))</f>
        <v>0</v>
      </c>
    </row>
    <row r="60" customFormat="false" ht="15" hidden="false" customHeight="true" outlineLevel="0" collapsed="false">
      <c r="A60" s="8" t="s">
        <v>58</v>
      </c>
      <c r="B60" s="30" t="n">
        <f aca="false">SUMIFS(Détail!$E:$E,Détail!$D:$D,"JET SERVICIO",Détail!$A:$A,"&gt;="&amp;DATE(2026,3,1),Détail!$A:$A,"&lt;"&amp;EDATE(DATE(2026,3,1),1))</f>
        <v>0</v>
      </c>
    </row>
    <row r="61" customFormat="false" ht="15" hidden="false" customHeight="true" outlineLevel="0" collapsed="false">
      <c r="A61" s="8" t="s">
        <v>59</v>
      </c>
      <c r="B61" s="30" t="n">
        <f aca="false">SUMIFS(Détail!$E:$E,Détail!$D:$D,"JET SERVICIO",Détail!$A:$A,"&gt;="&amp;DATE(2026,4,1),Détail!$A:$A,"&lt;"&amp;EDATE(DATE(2026,4,1),1))</f>
        <v>-17.12</v>
      </c>
    </row>
    <row r="62" customFormat="false" ht="15" hidden="false" customHeight="true" outlineLevel="0" collapsed="false">
      <c r="A62" s="8" t="s">
        <v>60</v>
      </c>
      <c r="B62" s="30" t="n">
        <f aca="false">SUMIFS(Détail!$E:$E,Détail!$D:$D,"JET SERVICIO",Détail!$A:$A,"&gt;="&amp;DATE(2026,5,1),Détail!$A:$A,"&lt;"&amp;EDATE(DATE(2026,5,1),1))</f>
        <v>0</v>
      </c>
    </row>
    <row r="63" customFormat="false" ht="15" hidden="false" customHeight="true" outlineLevel="0" collapsed="false">
      <c r="A63" s="8" t="s">
        <v>61</v>
      </c>
      <c r="B63" s="30" t="n">
        <f aca="false">SUMIFS(Détail!$E:$E,Détail!$D:$D,"JET SERVICIO",Détail!$A:$A,"&gt;="&amp;DATE(2026,6,1),Détail!$A:$A,"&lt;"&amp;EDATE(DATE(2026,6,1),1))</f>
        <v>0</v>
      </c>
    </row>
  </sheetData>
  <mergeCells count="7">
    <mergeCell ref="A3:B3"/>
    <mergeCell ref="A12:B12"/>
    <mergeCell ref="A21:B21"/>
    <mergeCell ref="A30:B30"/>
    <mergeCell ref="A39:B39"/>
    <mergeCell ref="A48:B48"/>
    <mergeCell ref="A57:B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7" t="s">
        <v>235</v>
      </c>
    </row>
    <row r="3" customFormat="false" ht="15" hidden="false" customHeight="true" outlineLevel="0" collapsed="false">
      <c r="A3" s="28" t="s">
        <v>236</v>
      </c>
      <c r="B3" s="28"/>
      <c r="C3" s="29" t="n">
        <f aca="false">SUMIF(Détail!$D:$D,"MCDONALD'S",Détail!$E:$E)</f>
        <v>-161.38</v>
      </c>
    </row>
    <row r="4" customFormat="false" ht="15" hidden="false" customHeight="true" outlineLevel="0" collapsed="false">
      <c r="A4" s="23" t="s">
        <v>54</v>
      </c>
      <c r="B4" s="23" t="s">
        <v>55</v>
      </c>
    </row>
    <row r="5" customFormat="false" ht="15" hidden="false" customHeight="true" outlineLevel="0" collapsed="false">
      <c r="A5" s="8" t="s">
        <v>56</v>
      </c>
      <c r="B5" s="30" t="n">
        <f aca="false">SUMIFS(Détail!$E:$E,Détail!$D:$D,"MCDONALD'S",Détail!$A:$A,"&gt;="&amp;DATE(2026,1,1),Détail!$A:$A,"&lt;"&amp;EDATE(DATE(2026,1,1),1))</f>
        <v>-27.49</v>
      </c>
    </row>
    <row r="6" customFormat="false" ht="15" hidden="false" customHeight="true" outlineLevel="0" collapsed="false">
      <c r="A6" s="8" t="s">
        <v>58</v>
      </c>
      <c r="B6" s="30" t="n">
        <f aca="false">SUMIFS(Détail!$E:$E,Détail!$D:$D,"MCDONALD'S",Détail!$A:$A,"&gt;="&amp;DATE(2026,3,1),Détail!$A:$A,"&lt;"&amp;EDATE(DATE(2026,3,1),1))</f>
        <v>-36.45</v>
      </c>
    </row>
    <row r="7" customFormat="false" ht="15" hidden="false" customHeight="true" outlineLevel="0" collapsed="false">
      <c r="A7" s="8" t="s">
        <v>59</v>
      </c>
      <c r="B7" s="30" t="n">
        <f aca="false">SUMIFS(Détail!$E:$E,Détail!$D:$D,"MCDONALD'S",Détail!$A:$A,"&gt;="&amp;DATE(2026,4,1),Détail!$A:$A,"&lt;"&amp;EDATE(DATE(2026,4,1),1))</f>
        <v>-82.75</v>
      </c>
    </row>
    <row r="8" customFormat="false" ht="15" hidden="false" customHeight="true" outlineLevel="0" collapsed="false">
      <c r="A8" s="8" t="s">
        <v>60</v>
      </c>
      <c r="B8" s="30" t="n">
        <f aca="false">SUMIFS(Détail!$E:$E,Détail!$D:$D,"MCDONALD'S",Détail!$A:$A,"&gt;="&amp;DATE(2026,5,1),Détail!$A:$A,"&lt;"&amp;EDATE(DATE(2026,5,1),1))</f>
        <v>0</v>
      </c>
    </row>
    <row r="9" customFormat="false" ht="15" hidden="false" customHeight="true" outlineLevel="0" collapsed="false">
      <c r="A9" s="8" t="s">
        <v>61</v>
      </c>
      <c r="B9" s="30" t="n">
        <f aca="false">SUMIFS(Détail!$E:$E,Détail!$D:$D,"MCDONALD'S",Détail!$A:$A,"&gt;="&amp;DATE(2026,6,1),Détail!$A:$A,"&lt;"&amp;EDATE(DATE(2026,6,1),1))</f>
        <v>-14.69</v>
      </c>
    </row>
    <row r="12" customFormat="false" ht="15" hidden="false" customHeight="true" outlineLevel="0" collapsed="false">
      <c r="A12" s="28" t="s">
        <v>237</v>
      </c>
      <c r="B12" s="28"/>
      <c r="C12" s="29" t="n">
        <f aca="false">SUMIF(Détail!$D:$D,"SUBWAY",Détail!$E:$E)</f>
        <v>-75.4</v>
      </c>
    </row>
    <row r="13" customFormat="false" ht="15" hidden="false" customHeight="true" outlineLevel="0" collapsed="false">
      <c r="A13" s="23" t="s">
        <v>54</v>
      </c>
      <c r="B13" s="23" t="s">
        <v>55</v>
      </c>
    </row>
    <row r="14" customFormat="false" ht="15" hidden="false" customHeight="true" outlineLevel="0" collapsed="false">
      <c r="A14" s="8" t="s">
        <v>56</v>
      </c>
      <c r="B14" s="30" t="n">
        <f aca="false">SUMIFS(Détail!$E:$E,Détail!$D:$D,"SUBWAY",Détail!$A:$A,"&gt;="&amp;DATE(2026,1,1),Détail!$A:$A,"&lt;"&amp;EDATE(DATE(2026,1,1),1))</f>
        <v>0</v>
      </c>
    </row>
    <row r="15" customFormat="false" ht="15" hidden="false" customHeight="true" outlineLevel="0" collapsed="false">
      <c r="A15" s="8" t="s">
        <v>58</v>
      </c>
      <c r="B15" s="30" t="n">
        <f aca="false">SUMIFS(Détail!$E:$E,Détail!$D:$D,"SUBWAY",Détail!$A:$A,"&gt;="&amp;DATE(2026,3,1),Détail!$A:$A,"&lt;"&amp;EDATE(DATE(2026,3,1),1))</f>
        <v>-75.4</v>
      </c>
    </row>
    <row r="16" customFormat="false" ht="15" hidden="false" customHeight="true" outlineLevel="0" collapsed="false">
      <c r="A16" s="8" t="s">
        <v>59</v>
      </c>
      <c r="B16" s="30" t="n">
        <f aca="false">SUMIFS(Détail!$E:$E,Détail!$D:$D,"SUBWAY",Détail!$A:$A,"&gt;="&amp;DATE(2026,4,1),Détail!$A:$A,"&lt;"&amp;EDATE(DATE(2026,4,1),1))</f>
        <v>0</v>
      </c>
    </row>
    <row r="17" customFormat="false" ht="15" hidden="false" customHeight="true" outlineLevel="0" collapsed="false">
      <c r="A17" s="8" t="s">
        <v>60</v>
      </c>
      <c r="B17" s="30" t="n">
        <f aca="false">SUMIFS(Détail!$E:$E,Détail!$D:$D,"SUBWAY",Détail!$A:$A,"&gt;="&amp;DATE(2026,5,1),Détail!$A:$A,"&lt;"&amp;EDATE(DATE(2026,5,1),1))</f>
        <v>0</v>
      </c>
    </row>
    <row r="18" customFormat="false" ht="15" hidden="false" customHeight="true" outlineLevel="0" collapsed="false">
      <c r="A18" s="8" t="s">
        <v>61</v>
      </c>
      <c r="B18" s="30" t="n">
        <f aca="false">SUMIFS(Détail!$E:$E,Détail!$D:$D,"SUBWAY",Détail!$A:$A,"&gt;="&amp;DATE(2026,6,1),Détail!$A:$A,"&lt;"&amp;EDATE(DATE(2026,6,1),1))</f>
        <v>0</v>
      </c>
    </row>
    <row r="21" customFormat="false" ht="15" hidden="false" customHeight="true" outlineLevel="0" collapsed="false">
      <c r="A21" s="28" t="s">
        <v>238</v>
      </c>
      <c r="B21" s="28"/>
      <c r="C21" s="29" t="n">
        <f aca="false">SUMIF(Détail!$D:$D,"ANDREA PAPPADA'",Détail!$E:$E)</f>
        <v>-44.7</v>
      </c>
    </row>
    <row r="22" customFormat="false" ht="15" hidden="false" customHeight="true" outlineLevel="0" collapsed="false">
      <c r="A22" s="23" t="s">
        <v>54</v>
      </c>
      <c r="B22" s="23" t="s">
        <v>55</v>
      </c>
    </row>
    <row r="23" customFormat="false" ht="15" hidden="false" customHeight="true" outlineLevel="0" collapsed="false">
      <c r="A23" s="8" t="s">
        <v>56</v>
      </c>
      <c r="B23" s="30" t="n">
        <f aca="false">SUMIFS(Détail!$E:$E,Détail!$D:$D,"ANDREA PAPPADA'",Détail!$A:$A,"&gt;="&amp;DATE(2026,1,1),Détail!$A:$A,"&lt;"&amp;EDATE(DATE(2026,1,1),1))</f>
        <v>0</v>
      </c>
    </row>
    <row r="24" customFormat="false" ht="15" hidden="false" customHeight="true" outlineLevel="0" collapsed="false">
      <c r="A24" s="8" t="s">
        <v>58</v>
      </c>
      <c r="B24" s="30" t="n">
        <f aca="false">SUMIFS(Détail!$E:$E,Détail!$D:$D,"ANDREA PAPPADA'",Détail!$A:$A,"&gt;="&amp;DATE(2026,3,1),Détail!$A:$A,"&lt;"&amp;EDATE(DATE(2026,3,1),1))</f>
        <v>0</v>
      </c>
    </row>
    <row r="25" customFormat="false" ht="15" hidden="false" customHeight="true" outlineLevel="0" collapsed="false">
      <c r="A25" s="8" t="s">
        <v>59</v>
      </c>
      <c r="B25" s="30" t="n">
        <f aca="false">SUMIFS(Détail!$E:$E,Détail!$D:$D,"ANDREA PAPPADA'",Détail!$A:$A,"&gt;="&amp;DATE(2026,4,1),Détail!$A:$A,"&lt;"&amp;EDATE(DATE(2026,4,1),1))</f>
        <v>0</v>
      </c>
    </row>
    <row r="26" customFormat="false" ht="15" hidden="false" customHeight="true" outlineLevel="0" collapsed="false">
      <c r="A26" s="8" t="s">
        <v>60</v>
      </c>
      <c r="B26" s="30" t="n">
        <f aca="false">SUMIFS(Détail!$E:$E,Détail!$D:$D,"ANDREA PAPPADA'",Détail!$A:$A,"&gt;="&amp;DATE(2026,5,1),Détail!$A:$A,"&lt;"&amp;EDATE(DATE(2026,5,1),1))</f>
        <v>0</v>
      </c>
    </row>
    <row r="27" customFormat="false" ht="15" hidden="false" customHeight="true" outlineLevel="0" collapsed="false">
      <c r="A27" s="8" t="s">
        <v>61</v>
      </c>
      <c r="B27" s="30" t="n">
        <f aca="false">SUMIFS(Détail!$E:$E,Détail!$D:$D,"ANDREA PAPPADA'",Détail!$A:$A,"&gt;="&amp;DATE(2026,6,1),Détail!$A:$A,"&lt;"&amp;EDATE(DATE(2026,6,1),1))</f>
        <v>-44.7</v>
      </c>
    </row>
    <row r="30" customFormat="false" ht="15" hidden="false" customHeight="true" outlineLevel="0" collapsed="false">
      <c r="A30" s="28" t="s">
        <v>239</v>
      </c>
      <c r="B30" s="28"/>
      <c r="C30" s="29" t="n">
        <f aca="false">SUMIF(Détail!$D:$D,"HORETO PARIS",Détail!$E:$E)</f>
        <v>-26.5</v>
      </c>
    </row>
    <row r="31" customFormat="false" ht="15" hidden="false" customHeight="true" outlineLevel="0" collapsed="false">
      <c r="A31" s="23" t="s">
        <v>54</v>
      </c>
      <c r="B31" s="23" t="s">
        <v>55</v>
      </c>
    </row>
    <row r="32" customFormat="false" ht="15" hidden="false" customHeight="true" outlineLevel="0" collapsed="false">
      <c r="A32" s="8" t="s">
        <v>56</v>
      </c>
      <c r="B32" s="30" t="n">
        <f aca="false">SUMIFS(Détail!$E:$E,Détail!$D:$D,"HORETO PARIS",Détail!$A:$A,"&gt;="&amp;DATE(2026,1,1),Détail!$A:$A,"&lt;"&amp;EDATE(DATE(2026,1,1),1))</f>
        <v>0</v>
      </c>
    </row>
    <row r="33" customFormat="false" ht="15" hidden="false" customHeight="true" outlineLevel="0" collapsed="false">
      <c r="A33" s="8" t="s">
        <v>58</v>
      </c>
      <c r="B33" s="30" t="n">
        <f aca="false">SUMIFS(Détail!$E:$E,Détail!$D:$D,"HORETO PARIS",Détail!$A:$A,"&gt;="&amp;DATE(2026,3,1),Détail!$A:$A,"&lt;"&amp;EDATE(DATE(2026,3,1),1))</f>
        <v>0</v>
      </c>
    </row>
    <row r="34" customFormat="false" ht="15" hidden="false" customHeight="true" outlineLevel="0" collapsed="false">
      <c r="A34" s="8" t="s">
        <v>59</v>
      </c>
      <c r="B34" s="30" t="n">
        <f aca="false">SUMIFS(Détail!$E:$E,Détail!$D:$D,"HORETO PARIS",Détail!$A:$A,"&gt;="&amp;DATE(2026,4,1),Détail!$A:$A,"&lt;"&amp;EDATE(DATE(2026,4,1),1))</f>
        <v>-26.5</v>
      </c>
    </row>
    <row r="35" customFormat="false" ht="15" hidden="false" customHeight="true" outlineLevel="0" collapsed="false">
      <c r="A35" s="8" t="s">
        <v>60</v>
      </c>
      <c r="B35" s="30" t="n">
        <f aca="false">SUMIFS(Détail!$E:$E,Détail!$D:$D,"HORETO PARIS",Détail!$A:$A,"&gt;="&amp;DATE(2026,5,1),Détail!$A:$A,"&lt;"&amp;EDATE(DATE(2026,5,1),1))</f>
        <v>0</v>
      </c>
    </row>
    <row r="36" customFormat="false" ht="15" hidden="false" customHeight="true" outlineLevel="0" collapsed="false">
      <c r="A36" s="8" t="s">
        <v>61</v>
      </c>
      <c r="B36" s="30" t="n">
        <f aca="false">SUMIFS(Détail!$E:$E,Détail!$D:$D,"HORETO PARIS",Détail!$A:$A,"&gt;="&amp;DATE(2026,6,1),Détail!$A:$A,"&lt;"&amp;EDATE(DATE(2026,6,1),1))</f>
        <v>0</v>
      </c>
    </row>
    <row r="39" customFormat="false" ht="15" hidden="false" customHeight="true" outlineLevel="0" collapsed="false">
      <c r="A39" s="28" t="s">
        <v>240</v>
      </c>
      <c r="B39" s="28"/>
      <c r="C39" s="29" t="n">
        <f aca="false">SUMIF(Détail!$D:$D,"DELIVEROO",Détail!$E:$E)</f>
        <v>-26.11</v>
      </c>
    </row>
    <row r="40" customFormat="false" ht="15" hidden="false" customHeight="true" outlineLevel="0" collapsed="false">
      <c r="A40" s="23" t="s">
        <v>54</v>
      </c>
      <c r="B40" s="23" t="s">
        <v>55</v>
      </c>
    </row>
    <row r="41" customFormat="false" ht="15" hidden="false" customHeight="true" outlineLevel="0" collapsed="false">
      <c r="A41" s="8" t="s">
        <v>56</v>
      </c>
      <c r="B41" s="30" t="n">
        <f aca="false">SUMIFS(Détail!$E:$E,Détail!$D:$D,"DELIVEROO",Détail!$A:$A,"&gt;="&amp;DATE(2026,1,1),Détail!$A:$A,"&lt;"&amp;EDATE(DATE(2026,1,1),1))</f>
        <v>0</v>
      </c>
    </row>
    <row r="42" customFormat="false" ht="15" hidden="false" customHeight="true" outlineLevel="0" collapsed="false">
      <c r="A42" s="8" t="s">
        <v>58</v>
      </c>
      <c r="B42" s="30" t="n">
        <f aca="false">SUMIFS(Détail!$E:$E,Détail!$D:$D,"DELIVEROO",Détail!$A:$A,"&gt;="&amp;DATE(2026,3,1),Détail!$A:$A,"&lt;"&amp;EDATE(DATE(2026,3,1),1))</f>
        <v>0</v>
      </c>
    </row>
    <row r="43" customFormat="false" ht="15" hidden="false" customHeight="true" outlineLevel="0" collapsed="false">
      <c r="A43" s="8" t="s">
        <v>59</v>
      </c>
      <c r="B43" s="30" t="n">
        <f aca="false">SUMIFS(Détail!$E:$E,Détail!$D:$D,"DELIVEROO",Détail!$A:$A,"&gt;="&amp;DATE(2026,4,1),Détail!$A:$A,"&lt;"&amp;EDATE(DATE(2026,4,1),1))</f>
        <v>0</v>
      </c>
    </row>
    <row r="44" customFormat="false" ht="15" hidden="false" customHeight="true" outlineLevel="0" collapsed="false">
      <c r="A44" s="8" t="s">
        <v>60</v>
      </c>
      <c r="B44" s="30" t="n">
        <f aca="false">SUMIFS(Détail!$E:$E,Détail!$D:$D,"DELIVEROO",Détail!$A:$A,"&gt;="&amp;DATE(2026,5,1),Détail!$A:$A,"&lt;"&amp;EDATE(DATE(2026,5,1),1))</f>
        <v>0</v>
      </c>
    </row>
    <row r="45" customFormat="false" ht="15" hidden="false" customHeight="true" outlineLevel="0" collapsed="false">
      <c r="A45" s="8" t="s">
        <v>61</v>
      </c>
      <c r="B45" s="30" t="n">
        <f aca="false">SUMIFS(Détail!$E:$E,Détail!$D:$D,"DELIVEROO",Détail!$A:$A,"&gt;="&amp;DATE(2026,6,1),Détail!$A:$A,"&lt;"&amp;EDATE(DATE(2026,6,1),1))</f>
        <v>-26.11</v>
      </c>
    </row>
    <row r="48" customFormat="false" ht="15" hidden="false" customHeight="true" outlineLevel="0" collapsed="false">
      <c r="A48" s="28" t="s">
        <v>241</v>
      </c>
      <c r="B48" s="28"/>
      <c r="C48" s="29" t="n">
        <f aca="false">SUMIF(Détail!$D:$D,"RAVI RS",Détail!$E:$E)</f>
        <v>-19.8</v>
      </c>
    </row>
    <row r="49" customFormat="false" ht="15" hidden="false" customHeight="true" outlineLevel="0" collapsed="false">
      <c r="A49" s="23" t="s">
        <v>54</v>
      </c>
      <c r="B49" s="23" t="s">
        <v>55</v>
      </c>
    </row>
    <row r="50" customFormat="false" ht="15" hidden="false" customHeight="true" outlineLevel="0" collapsed="false">
      <c r="A50" s="8" t="s">
        <v>56</v>
      </c>
      <c r="B50" s="30" t="n">
        <f aca="false">SUMIFS(Détail!$E:$E,Détail!$D:$D,"RAVI RS",Détail!$A:$A,"&gt;="&amp;DATE(2026,1,1),Détail!$A:$A,"&lt;"&amp;EDATE(DATE(2026,1,1),1))</f>
        <v>0</v>
      </c>
    </row>
    <row r="51" customFormat="false" ht="15" hidden="false" customHeight="true" outlineLevel="0" collapsed="false">
      <c r="A51" s="8" t="s">
        <v>58</v>
      </c>
      <c r="B51" s="30" t="n">
        <f aca="false">SUMIFS(Détail!$E:$E,Détail!$D:$D,"RAVI RS",Détail!$A:$A,"&gt;="&amp;DATE(2026,3,1),Détail!$A:$A,"&lt;"&amp;EDATE(DATE(2026,3,1),1))</f>
        <v>0</v>
      </c>
    </row>
    <row r="52" customFormat="false" ht="15" hidden="false" customHeight="true" outlineLevel="0" collapsed="false">
      <c r="A52" s="8" t="s">
        <v>59</v>
      </c>
      <c r="B52" s="30" t="n">
        <f aca="false">SUMIFS(Détail!$E:$E,Détail!$D:$D,"RAVI RS",Détail!$A:$A,"&gt;="&amp;DATE(2026,4,1),Détail!$A:$A,"&lt;"&amp;EDATE(DATE(2026,4,1),1))</f>
        <v>-19.8</v>
      </c>
    </row>
    <row r="53" customFormat="false" ht="15" hidden="false" customHeight="true" outlineLevel="0" collapsed="false">
      <c r="A53" s="8" t="s">
        <v>60</v>
      </c>
      <c r="B53" s="30" t="n">
        <f aca="false">SUMIFS(Détail!$E:$E,Détail!$D:$D,"RAVI RS",Détail!$A:$A,"&gt;="&amp;DATE(2026,5,1),Détail!$A:$A,"&lt;"&amp;EDATE(DATE(2026,5,1),1))</f>
        <v>0</v>
      </c>
    </row>
    <row r="54" customFormat="false" ht="15" hidden="false" customHeight="true" outlineLevel="0" collapsed="false">
      <c r="A54" s="8" t="s">
        <v>61</v>
      </c>
      <c r="B54" s="30" t="n">
        <f aca="false">SUMIFS(Détail!$E:$E,Détail!$D:$D,"RAVI RS",Détail!$A:$A,"&gt;="&amp;DATE(2026,6,1),Détail!$A:$A,"&lt;"&amp;EDATE(DATE(2026,6,1),1))</f>
        <v>0</v>
      </c>
    </row>
    <row r="57" customFormat="false" ht="15" hidden="false" customHeight="true" outlineLevel="0" collapsed="false">
      <c r="A57" s="28" t="s">
        <v>242</v>
      </c>
      <c r="B57" s="28"/>
      <c r="C57" s="29" t="n">
        <f aca="false">SUMIF(Détail!$D:$D,"CHICKEN ET COMP",Détail!$E:$E)</f>
        <v>-18</v>
      </c>
    </row>
    <row r="58" customFormat="false" ht="15" hidden="false" customHeight="true" outlineLevel="0" collapsed="false">
      <c r="A58" s="23" t="s">
        <v>54</v>
      </c>
      <c r="B58" s="23" t="s">
        <v>55</v>
      </c>
    </row>
    <row r="59" customFormat="false" ht="15" hidden="false" customHeight="true" outlineLevel="0" collapsed="false">
      <c r="A59" s="8" t="s">
        <v>56</v>
      </c>
      <c r="B59" s="30" t="n">
        <f aca="false">SUMIFS(Détail!$E:$E,Détail!$D:$D,"CHICKEN ET COMP",Détail!$A:$A,"&gt;="&amp;DATE(2026,1,1),Détail!$A:$A,"&lt;"&amp;EDATE(DATE(2026,1,1),1))</f>
        <v>-18</v>
      </c>
    </row>
    <row r="60" customFormat="false" ht="15" hidden="false" customHeight="true" outlineLevel="0" collapsed="false">
      <c r="A60" s="8" t="s">
        <v>58</v>
      </c>
      <c r="B60" s="30" t="n">
        <f aca="false">SUMIFS(Détail!$E:$E,Détail!$D:$D,"CHICKEN ET COMP",Détail!$A:$A,"&gt;="&amp;DATE(2026,3,1),Détail!$A:$A,"&lt;"&amp;EDATE(DATE(2026,3,1),1))</f>
        <v>0</v>
      </c>
    </row>
    <row r="61" customFormat="false" ht="15" hidden="false" customHeight="true" outlineLevel="0" collapsed="false">
      <c r="A61" s="8" t="s">
        <v>59</v>
      </c>
      <c r="B61" s="30" t="n">
        <f aca="false">SUMIFS(Détail!$E:$E,Détail!$D:$D,"CHICKEN ET COMP",Détail!$A:$A,"&gt;="&amp;DATE(2026,4,1),Détail!$A:$A,"&lt;"&amp;EDATE(DATE(2026,4,1),1))</f>
        <v>0</v>
      </c>
    </row>
    <row r="62" customFormat="false" ht="15" hidden="false" customHeight="true" outlineLevel="0" collapsed="false">
      <c r="A62" s="8" t="s">
        <v>60</v>
      </c>
      <c r="B62" s="30" t="n">
        <f aca="false">SUMIFS(Détail!$E:$E,Détail!$D:$D,"CHICKEN ET COMP",Détail!$A:$A,"&gt;="&amp;DATE(2026,5,1),Détail!$A:$A,"&lt;"&amp;EDATE(DATE(2026,5,1),1))</f>
        <v>0</v>
      </c>
    </row>
    <row r="63" customFormat="false" ht="15" hidden="false" customHeight="true" outlineLevel="0" collapsed="false">
      <c r="A63" s="8" t="s">
        <v>61</v>
      </c>
      <c r="B63" s="30" t="n">
        <f aca="false">SUMIFS(Détail!$E:$E,Détail!$D:$D,"CHICKEN ET COMP",Détail!$A:$A,"&gt;="&amp;DATE(2026,6,1),Détail!$A:$A,"&lt;"&amp;EDATE(DATE(2026,6,1),1))</f>
        <v>0</v>
      </c>
    </row>
    <row r="66" customFormat="false" ht="15" hidden="false" customHeight="true" outlineLevel="0" collapsed="false">
      <c r="A66" s="28" t="s">
        <v>243</v>
      </c>
      <c r="B66" s="28"/>
      <c r="C66" s="29" t="n">
        <f aca="false">SUMIF(Détail!$D:$D,"G LA DALLE CHAM",Détail!$E:$E)</f>
        <v>-16.3</v>
      </c>
    </row>
    <row r="67" customFormat="false" ht="15" hidden="false" customHeight="true" outlineLevel="0" collapsed="false">
      <c r="A67" s="23" t="s">
        <v>54</v>
      </c>
      <c r="B67" s="23" t="s">
        <v>55</v>
      </c>
    </row>
    <row r="68" customFormat="false" ht="15" hidden="false" customHeight="true" outlineLevel="0" collapsed="false">
      <c r="A68" s="8" t="s">
        <v>56</v>
      </c>
      <c r="B68" s="30" t="n">
        <f aca="false">SUMIFS(Détail!$E:$E,Détail!$D:$D,"G LA DALLE CHAM",Détail!$A:$A,"&gt;="&amp;DATE(2026,1,1),Détail!$A:$A,"&lt;"&amp;EDATE(DATE(2026,1,1),1))</f>
        <v>0</v>
      </c>
    </row>
    <row r="69" customFormat="false" ht="15" hidden="false" customHeight="true" outlineLevel="0" collapsed="false">
      <c r="A69" s="8" t="s">
        <v>58</v>
      </c>
      <c r="B69" s="30" t="n">
        <f aca="false">SUMIFS(Détail!$E:$E,Détail!$D:$D,"G LA DALLE CHAM",Détail!$A:$A,"&gt;="&amp;DATE(2026,3,1),Détail!$A:$A,"&lt;"&amp;EDATE(DATE(2026,3,1),1))</f>
        <v>0</v>
      </c>
    </row>
    <row r="70" customFormat="false" ht="15" hidden="false" customHeight="true" outlineLevel="0" collapsed="false">
      <c r="A70" s="8" t="s">
        <v>59</v>
      </c>
      <c r="B70" s="30" t="n">
        <f aca="false">SUMIFS(Détail!$E:$E,Détail!$D:$D,"G LA DALLE CHAM",Détail!$A:$A,"&gt;="&amp;DATE(2026,4,1),Détail!$A:$A,"&lt;"&amp;EDATE(DATE(2026,4,1),1))</f>
        <v>0</v>
      </c>
    </row>
    <row r="71" customFormat="false" ht="15" hidden="false" customHeight="true" outlineLevel="0" collapsed="false">
      <c r="A71" s="8" t="s">
        <v>60</v>
      </c>
      <c r="B71" s="30" t="n">
        <f aca="false">SUMIFS(Détail!$E:$E,Détail!$D:$D,"G LA DALLE CHAM",Détail!$A:$A,"&gt;="&amp;DATE(2026,5,1),Détail!$A:$A,"&lt;"&amp;EDATE(DATE(2026,5,1),1))</f>
        <v>-16.3</v>
      </c>
    </row>
    <row r="72" customFormat="false" ht="15" hidden="false" customHeight="true" outlineLevel="0" collapsed="false">
      <c r="A72" s="8" t="s">
        <v>61</v>
      </c>
      <c r="B72" s="30" t="n">
        <f aca="false">SUMIFS(Détail!$E:$E,Détail!$D:$D,"G LA DALLE CHAM",Détail!$A:$A,"&gt;="&amp;DATE(2026,6,1),Détail!$A:$A,"&lt;"&amp;EDATE(DATE(2026,6,1),1))</f>
        <v>0</v>
      </c>
    </row>
    <row r="75" customFormat="false" ht="15" hidden="false" customHeight="true" outlineLevel="0" collapsed="false">
      <c r="A75" s="28" t="s">
        <v>244</v>
      </c>
      <c r="B75" s="28"/>
      <c r="C75" s="29" t="n">
        <f aca="false">SUMIF(Détail!$D:$D,"ALICE PIZZA NEG",Détail!$E:$E)</f>
        <v>-13.7</v>
      </c>
    </row>
    <row r="76" customFormat="false" ht="15" hidden="false" customHeight="true" outlineLevel="0" collapsed="false">
      <c r="A76" s="23" t="s">
        <v>54</v>
      </c>
      <c r="B76" s="23" t="s">
        <v>55</v>
      </c>
    </row>
    <row r="77" customFormat="false" ht="15" hidden="false" customHeight="true" outlineLevel="0" collapsed="false">
      <c r="A77" s="8" t="s">
        <v>56</v>
      </c>
      <c r="B77" s="30" t="n">
        <f aca="false">SUMIFS(Détail!$E:$E,Détail!$D:$D,"ALICE PIZZA NEG",Détail!$A:$A,"&gt;="&amp;DATE(2026,1,1),Détail!$A:$A,"&lt;"&amp;EDATE(DATE(2026,1,1),1))</f>
        <v>0</v>
      </c>
    </row>
    <row r="78" customFormat="false" ht="15" hidden="false" customHeight="true" outlineLevel="0" collapsed="false">
      <c r="A78" s="8" t="s">
        <v>58</v>
      </c>
      <c r="B78" s="30" t="n">
        <f aca="false">SUMIFS(Détail!$E:$E,Détail!$D:$D,"ALICE PIZZA NEG",Détail!$A:$A,"&gt;="&amp;DATE(2026,3,1),Détail!$A:$A,"&lt;"&amp;EDATE(DATE(2026,3,1),1))</f>
        <v>0</v>
      </c>
    </row>
    <row r="79" customFormat="false" ht="15" hidden="false" customHeight="true" outlineLevel="0" collapsed="false">
      <c r="A79" s="8" t="s">
        <v>59</v>
      </c>
      <c r="B79" s="30" t="n">
        <f aca="false">SUMIFS(Détail!$E:$E,Détail!$D:$D,"ALICE PIZZA NEG",Détail!$A:$A,"&gt;="&amp;DATE(2026,4,1),Détail!$A:$A,"&lt;"&amp;EDATE(DATE(2026,4,1),1))</f>
        <v>0</v>
      </c>
    </row>
    <row r="80" customFormat="false" ht="15" hidden="false" customHeight="true" outlineLevel="0" collapsed="false">
      <c r="A80" s="8" t="s">
        <v>60</v>
      </c>
      <c r="B80" s="30" t="n">
        <f aca="false">SUMIFS(Détail!$E:$E,Détail!$D:$D,"ALICE PIZZA NEG",Détail!$A:$A,"&gt;="&amp;DATE(2026,5,1),Détail!$A:$A,"&lt;"&amp;EDATE(DATE(2026,5,1),1))</f>
        <v>0</v>
      </c>
    </row>
    <row r="81" customFormat="false" ht="15" hidden="false" customHeight="true" outlineLevel="0" collapsed="false">
      <c r="A81" s="8" t="s">
        <v>61</v>
      </c>
      <c r="B81" s="30" t="n">
        <f aca="false">SUMIFS(Détail!$E:$E,Détail!$D:$D,"ALICE PIZZA NEG",Détail!$A:$A,"&gt;="&amp;DATE(2026,6,1),Détail!$A:$A,"&lt;"&amp;EDATE(DATE(2026,6,1),1))</f>
        <v>-13.7</v>
      </c>
    </row>
    <row r="84" customFormat="false" ht="15" hidden="false" customHeight="true" outlineLevel="0" collapsed="false">
      <c r="A84" s="28" t="s">
        <v>245</v>
      </c>
      <c r="B84" s="28"/>
      <c r="C84" s="29" t="n">
        <f aca="false">SUMIF(Détail!$D:$D,"MAISON PRADIER",Détail!$E:$E)</f>
        <v>-5.9</v>
      </c>
    </row>
    <row r="85" customFormat="false" ht="15" hidden="false" customHeight="true" outlineLevel="0" collapsed="false">
      <c r="A85" s="23" t="s">
        <v>54</v>
      </c>
      <c r="B85" s="23" t="s">
        <v>55</v>
      </c>
    </row>
    <row r="86" customFormat="false" ht="15" hidden="false" customHeight="true" outlineLevel="0" collapsed="false">
      <c r="A86" s="8" t="s">
        <v>56</v>
      </c>
      <c r="B86" s="30" t="n">
        <f aca="false">SUMIFS(Détail!$E:$E,Détail!$D:$D,"MAISON PRADIER",Détail!$A:$A,"&gt;="&amp;DATE(2026,1,1),Détail!$A:$A,"&lt;"&amp;EDATE(DATE(2026,1,1),1))</f>
        <v>0</v>
      </c>
    </row>
    <row r="87" customFormat="false" ht="15" hidden="false" customHeight="true" outlineLevel="0" collapsed="false">
      <c r="A87" s="8" t="s">
        <v>58</v>
      </c>
      <c r="B87" s="30" t="n">
        <f aca="false">SUMIFS(Détail!$E:$E,Détail!$D:$D,"MAISON PRADIER",Détail!$A:$A,"&gt;="&amp;DATE(2026,3,1),Détail!$A:$A,"&lt;"&amp;EDATE(DATE(2026,3,1),1))</f>
        <v>0</v>
      </c>
    </row>
    <row r="88" customFormat="false" ht="15" hidden="false" customHeight="true" outlineLevel="0" collapsed="false">
      <c r="A88" s="8" t="s">
        <v>59</v>
      </c>
      <c r="B88" s="30" t="n">
        <f aca="false">SUMIFS(Détail!$E:$E,Détail!$D:$D,"MAISON PRADIER",Détail!$A:$A,"&gt;="&amp;DATE(2026,4,1),Détail!$A:$A,"&lt;"&amp;EDATE(DATE(2026,4,1),1))</f>
        <v>0</v>
      </c>
    </row>
    <row r="89" customFormat="false" ht="15" hidden="false" customHeight="true" outlineLevel="0" collapsed="false">
      <c r="A89" s="8" t="s">
        <v>60</v>
      </c>
      <c r="B89" s="30" t="n">
        <f aca="false">SUMIFS(Détail!$E:$E,Détail!$D:$D,"MAISON PRADIER",Détail!$A:$A,"&gt;="&amp;DATE(2026,5,1),Détail!$A:$A,"&lt;"&amp;EDATE(DATE(2026,5,1),1))</f>
        <v>0</v>
      </c>
    </row>
    <row r="90" customFormat="false" ht="15" hidden="false" customHeight="true" outlineLevel="0" collapsed="false">
      <c r="A90" s="8" t="s">
        <v>61</v>
      </c>
      <c r="B90" s="30" t="n">
        <f aca="false">SUMIFS(Détail!$E:$E,Détail!$D:$D,"MAISON PRADIER",Détail!$A:$A,"&gt;="&amp;DATE(2026,6,1),Détail!$A:$A,"&lt;"&amp;EDATE(DATE(2026,6,1),1))</f>
        <v>-5.9</v>
      </c>
    </row>
    <row r="93" customFormat="false" ht="15" hidden="false" customHeight="true" outlineLevel="0" collapsed="false">
      <c r="A93" s="28" t="s">
        <v>246</v>
      </c>
      <c r="B93" s="28"/>
      <c r="C93" s="29" t="n">
        <f aca="false">SUMIF(Détail!$D:$D,"AU SOURIRE DE P",Détail!$E:$E)</f>
        <v>-3</v>
      </c>
    </row>
    <row r="94" customFormat="false" ht="15" hidden="false" customHeight="true" outlineLevel="0" collapsed="false">
      <c r="A94" s="23" t="s">
        <v>54</v>
      </c>
      <c r="B94" s="23" t="s">
        <v>55</v>
      </c>
    </row>
    <row r="95" customFormat="false" ht="15" hidden="false" customHeight="true" outlineLevel="0" collapsed="false">
      <c r="A95" s="8" t="s">
        <v>56</v>
      </c>
      <c r="B95" s="30" t="n">
        <f aca="false">SUMIFS(Détail!$E:$E,Détail!$D:$D,"AU SOURIRE DE P",Détail!$A:$A,"&gt;="&amp;DATE(2026,1,1),Détail!$A:$A,"&lt;"&amp;EDATE(DATE(2026,1,1),1))</f>
        <v>0</v>
      </c>
    </row>
    <row r="96" customFormat="false" ht="15" hidden="false" customHeight="true" outlineLevel="0" collapsed="false">
      <c r="A96" s="8" t="s">
        <v>58</v>
      </c>
      <c r="B96" s="30" t="n">
        <f aca="false">SUMIFS(Détail!$E:$E,Détail!$D:$D,"AU SOURIRE DE P",Détail!$A:$A,"&gt;="&amp;DATE(2026,3,1),Détail!$A:$A,"&lt;"&amp;EDATE(DATE(2026,3,1),1))</f>
        <v>0</v>
      </c>
    </row>
    <row r="97" customFormat="false" ht="15" hidden="false" customHeight="true" outlineLevel="0" collapsed="false">
      <c r="A97" s="8" t="s">
        <v>59</v>
      </c>
      <c r="B97" s="30" t="n">
        <f aca="false">SUMIFS(Détail!$E:$E,Détail!$D:$D,"AU SOURIRE DE P",Détail!$A:$A,"&gt;="&amp;DATE(2026,4,1),Détail!$A:$A,"&lt;"&amp;EDATE(DATE(2026,4,1),1))</f>
        <v>0</v>
      </c>
    </row>
    <row r="98" customFormat="false" ht="15" hidden="false" customHeight="true" outlineLevel="0" collapsed="false">
      <c r="A98" s="8" t="s">
        <v>60</v>
      </c>
      <c r="B98" s="30" t="n">
        <f aca="false">SUMIFS(Détail!$E:$E,Détail!$D:$D,"AU SOURIRE DE P",Détail!$A:$A,"&gt;="&amp;DATE(2026,5,1),Détail!$A:$A,"&lt;"&amp;EDATE(DATE(2026,5,1),1))</f>
        <v>0</v>
      </c>
    </row>
    <row r="99" customFormat="false" ht="15" hidden="false" customHeight="true" outlineLevel="0" collapsed="false">
      <c r="A99" s="8" t="s">
        <v>61</v>
      </c>
      <c r="B99" s="30" t="n">
        <f aca="false">SUMIFS(Détail!$E:$E,Détail!$D:$D,"AU SOURIRE DE P",Détail!$A:$A,"&gt;="&amp;DATE(2026,6,1),Détail!$A:$A,"&lt;"&amp;EDATE(DATE(2026,6,1),1))</f>
        <v>-3</v>
      </c>
    </row>
  </sheetData>
  <mergeCells count="11">
    <mergeCell ref="A3:B3"/>
    <mergeCell ref="A12:B12"/>
    <mergeCell ref="A21:B21"/>
    <mergeCell ref="A30:B30"/>
    <mergeCell ref="A39:B39"/>
    <mergeCell ref="A48:B48"/>
    <mergeCell ref="A57:B57"/>
    <mergeCell ref="A66:B66"/>
    <mergeCell ref="A75:B75"/>
    <mergeCell ref="A84:B84"/>
    <mergeCell ref="A93:B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44"/>
  </cols>
  <sheetData>
    <row r="1" customFormat="false" ht="15" hidden="false" customHeight="true" outlineLevel="0" collapsed="false">
      <c r="A1" s="7" t="s">
        <v>247</v>
      </c>
      <c r="B1" s="7" t="s">
        <v>248</v>
      </c>
      <c r="C1" s="7" t="s">
        <v>249</v>
      </c>
      <c r="D1" s="7" t="s">
        <v>250</v>
      </c>
      <c r="E1" s="7" t="s">
        <v>251</v>
      </c>
      <c r="F1" s="7" t="s">
        <v>6</v>
      </c>
    </row>
    <row r="2" customFormat="false" ht="15" hidden="false" customHeight="true" outlineLevel="0" collapsed="false">
      <c r="A2" s="32" t="n">
        <v>46024</v>
      </c>
      <c r="B2" s="8" t="s">
        <v>252</v>
      </c>
      <c r="C2" s="8" t="s">
        <v>253</v>
      </c>
      <c r="D2" s="8" t="s">
        <v>254</v>
      </c>
      <c r="E2" s="9" t="n">
        <v>-145.8</v>
      </c>
      <c r="F2" s="8" t="s">
        <v>20</v>
      </c>
    </row>
    <row r="3" customFormat="false" ht="15" hidden="false" customHeight="true" outlineLevel="0" collapsed="false">
      <c r="A3" s="32" t="n">
        <v>46024</v>
      </c>
      <c r="B3" s="8" t="s">
        <v>255</v>
      </c>
      <c r="C3" s="8" t="s">
        <v>256</v>
      </c>
      <c r="D3" s="8" t="s">
        <v>257</v>
      </c>
      <c r="E3" s="9" t="n">
        <v>-872.67</v>
      </c>
      <c r="F3" s="8" t="s">
        <v>17</v>
      </c>
    </row>
    <row r="4" customFormat="false" ht="15" hidden="false" customHeight="true" outlineLevel="0" collapsed="false">
      <c r="A4" s="32" t="n">
        <v>46024</v>
      </c>
      <c r="B4" s="8" t="s">
        <v>258</v>
      </c>
      <c r="C4" s="8" t="s">
        <v>259</v>
      </c>
      <c r="D4" s="8" t="s">
        <v>260</v>
      </c>
      <c r="E4" s="9" t="n">
        <v>154.97</v>
      </c>
      <c r="F4" s="8" t="s">
        <v>261</v>
      </c>
    </row>
    <row r="5" customFormat="false" ht="15" hidden="false" customHeight="true" outlineLevel="0" collapsed="false">
      <c r="A5" s="32" t="n">
        <v>46024</v>
      </c>
      <c r="B5" s="8" t="s">
        <v>262</v>
      </c>
      <c r="C5" s="8" t="s">
        <v>253</v>
      </c>
      <c r="D5" s="8" t="s">
        <v>32</v>
      </c>
      <c r="E5" s="9" t="n">
        <v>-60.96</v>
      </c>
      <c r="F5" s="8" t="s">
        <v>17</v>
      </c>
    </row>
    <row r="6" customFormat="false" ht="15" hidden="false" customHeight="true" outlineLevel="0" collapsed="false">
      <c r="A6" s="32" t="n">
        <v>46027</v>
      </c>
      <c r="B6" s="8" t="s">
        <v>263</v>
      </c>
      <c r="C6" s="8" t="s">
        <v>256</v>
      </c>
      <c r="D6" s="8" t="s">
        <v>264</v>
      </c>
      <c r="E6" s="9" t="n">
        <v>-79</v>
      </c>
      <c r="F6" s="8" t="s">
        <v>26</v>
      </c>
    </row>
    <row r="7" customFormat="false" ht="15" hidden="false" customHeight="true" outlineLevel="0" collapsed="false">
      <c r="A7" s="32" t="n">
        <v>46027</v>
      </c>
      <c r="B7" s="8" t="s">
        <v>265</v>
      </c>
      <c r="C7" s="8" t="s">
        <v>266</v>
      </c>
      <c r="D7" s="8" t="s">
        <v>267</v>
      </c>
      <c r="E7" s="9" t="n">
        <v>1382.36</v>
      </c>
      <c r="F7" s="8" t="s">
        <v>261</v>
      </c>
    </row>
    <row r="8" customFormat="false" ht="15" hidden="false" customHeight="true" outlineLevel="0" collapsed="false">
      <c r="A8" s="32" t="n">
        <v>46027</v>
      </c>
      <c r="B8" s="8" t="s">
        <v>268</v>
      </c>
      <c r="C8" s="8" t="s">
        <v>269</v>
      </c>
      <c r="D8" s="8" t="s">
        <v>270</v>
      </c>
      <c r="E8" s="9" t="n">
        <v>-3000</v>
      </c>
      <c r="F8" s="8" t="s">
        <v>16</v>
      </c>
    </row>
    <row r="9" customFormat="false" ht="15" hidden="false" customHeight="true" outlineLevel="0" collapsed="false">
      <c r="A9" s="32" t="n">
        <v>46027</v>
      </c>
      <c r="B9" s="8" t="s">
        <v>271</v>
      </c>
      <c r="C9" s="8" t="s">
        <v>256</v>
      </c>
      <c r="D9" s="8" t="s">
        <v>272</v>
      </c>
      <c r="E9" s="9" t="n">
        <v>-174.83</v>
      </c>
      <c r="F9" s="8" t="s">
        <v>21</v>
      </c>
    </row>
    <row r="10" customFormat="false" ht="15" hidden="false" customHeight="true" outlineLevel="0" collapsed="false">
      <c r="A10" s="32" t="n">
        <v>46027</v>
      </c>
      <c r="B10" s="8" t="s">
        <v>273</v>
      </c>
      <c r="C10" s="8" t="s">
        <v>256</v>
      </c>
      <c r="D10" s="8" t="s">
        <v>274</v>
      </c>
      <c r="E10" s="9" t="n">
        <v>-0.36</v>
      </c>
      <c r="F10" s="8" t="s">
        <v>20</v>
      </c>
    </row>
    <row r="11" customFormat="false" ht="15" hidden="false" customHeight="true" outlineLevel="0" collapsed="false">
      <c r="A11" s="32" t="n">
        <v>46028</v>
      </c>
      <c r="B11" s="8" t="s">
        <v>275</v>
      </c>
      <c r="C11" s="8" t="s">
        <v>253</v>
      </c>
      <c r="D11" s="8" t="s">
        <v>276</v>
      </c>
      <c r="E11" s="9" t="n">
        <v>-28</v>
      </c>
      <c r="F11" s="8" t="s">
        <v>18</v>
      </c>
    </row>
    <row r="12" customFormat="false" ht="15" hidden="false" customHeight="true" outlineLevel="0" collapsed="false">
      <c r="A12" s="32" t="n">
        <v>46028</v>
      </c>
      <c r="B12" s="8" t="s">
        <v>277</v>
      </c>
      <c r="C12" s="8" t="s">
        <v>253</v>
      </c>
      <c r="D12" s="8" t="s">
        <v>276</v>
      </c>
      <c r="E12" s="9" t="n">
        <v>-43</v>
      </c>
      <c r="F12" s="8" t="s">
        <v>18</v>
      </c>
    </row>
    <row r="13" customFormat="false" ht="15" hidden="false" customHeight="true" outlineLevel="0" collapsed="false">
      <c r="A13" s="32" t="n">
        <v>46028</v>
      </c>
      <c r="B13" s="8" t="s">
        <v>278</v>
      </c>
      <c r="C13" s="8" t="s">
        <v>259</v>
      </c>
      <c r="D13" s="8" t="s">
        <v>260</v>
      </c>
      <c r="E13" s="9" t="n">
        <v>115.84</v>
      </c>
      <c r="F13" s="8" t="s">
        <v>261</v>
      </c>
    </row>
    <row r="14" customFormat="false" ht="15" hidden="false" customHeight="true" outlineLevel="0" collapsed="false">
      <c r="A14" s="32" t="n">
        <v>46028</v>
      </c>
      <c r="B14" s="8" t="s">
        <v>279</v>
      </c>
      <c r="C14" s="8" t="s">
        <v>280</v>
      </c>
      <c r="D14" s="8" t="s">
        <v>270</v>
      </c>
      <c r="E14" s="9" t="n">
        <v>-1700</v>
      </c>
      <c r="F14" s="8" t="s">
        <v>16</v>
      </c>
    </row>
    <row r="15" customFormat="false" ht="15" hidden="false" customHeight="true" outlineLevel="0" collapsed="false">
      <c r="A15" s="32" t="n">
        <v>46028</v>
      </c>
      <c r="B15" s="8" t="s">
        <v>281</v>
      </c>
      <c r="C15" s="8" t="s">
        <v>253</v>
      </c>
      <c r="D15" s="8" t="s">
        <v>282</v>
      </c>
      <c r="E15" s="9" t="n">
        <v>-40.19</v>
      </c>
      <c r="F15" s="8" t="s">
        <v>13</v>
      </c>
    </row>
    <row r="16" customFormat="false" ht="15" hidden="false" customHeight="true" outlineLevel="0" collapsed="false">
      <c r="A16" s="32" t="n">
        <v>46029</v>
      </c>
      <c r="B16" s="8" t="s">
        <v>283</v>
      </c>
      <c r="C16" s="8" t="s">
        <v>253</v>
      </c>
      <c r="D16" s="8" t="s">
        <v>284</v>
      </c>
      <c r="E16" s="9" t="n">
        <v>-3.99</v>
      </c>
      <c r="F16" s="8" t="s">
        <v>20</v>
      </c>
    </row>
    <row r="17" customFormat="false" ht="15" hidden="false" customHeight="true" outlineLevel="0" collapsed="false">
      <c r="A17" s="32" t="n">
        <v>46031</v>
      </c>
      <c r="B17" s="8" t="s">
        <v>285</v>
      </c>
      <c r="C17" s="8" t="s">
        <v>253</v>
      </c>
      <c r="D17" s="8" t="s">
        <v>282</v>
      </c>
      <c r="E17" s="9" t="n">
        <v>-53.99</v>
      </c>
      <c r="F17" s="8" t="s">
        <v>13</v>
      </c>
    </row>
    <row r="18" customFormat="false" ht="15" hidden="false" customHeight="true" outlineLevel="0" collapsed="false">
      <c r="A18" s="32" t="n">
        <v>46031</v>
      </c>
      <c r="B18" s="8" t="s">
        <v>286</v>
      </c>
      <c r="C18" s="8" t="s">
        <v>287</v>
      </c>
      <c r="D18" s="8" t="s">
        <v>288</v>
      </c>
      <c r="E18" s="9" t="n">
        <v>-0.5</v>
      </c>
      <c r="F18" s="8" t="s">
        <v>25</v>
      </c>
    </row>
    <row r="19" customFormat="false" ht="15" hidden="false" customHeight="true" outlineLevel="0" collapsed="false">
      <c r="A19" s="32" t="n">
        <v>46031</v>
      </c>
      <c r="B19" s="8" t="s">
        <v>286</v>
      </c>
      <c r="C19" s="8" t="s">
        <v>253</v>
      </c>
      <c r="D19" s="8" t="s">
        <v>288</v>
      </c>
      <c r="E19" s="9" t="n">
        <v>-33.42</v>
      </c>
      <c r="F19" s="8" t="s">
        <v>20</v>
      </c>
    </row>
    <row r="20" customFormat="false" ht="15" hidden="false" customHeight="true" outlineLevel="0" collapsed="false">
      <c r="A20" s="32" t="n">
        <v>46034</v>
      </c>
      <c r="B20" s="8" t="s">
        <v>289</v>
      </c>
      <c r="C20" s="8" t="s">
        <v>253</v>
      </c>
      <c r="D20" s="8" t="s">
        <v>290</v>
      </c>
      <c r="E20" s="9" t="n">
        <v>-60</v>
      </c>
      <c r="F20" s="8" t="s">
        <v>17</v>
      </c>
    </row>
    <row r="21" customFormat="false" ht="15" hidden="false" customHeight="true" outlineLevel="0" collapsed="false">
      <c r="A21" s="32" t="n">
        <v>46034</v>
      </c>
      <c r="B21" s="8" t="s">
        <v>291</v>
      </c>
      <c r="C21" s="8" t="s">
        <v>256</v>
      </c>
      <c r="D21" s="8" t="s">
        <v>292</v>
      </c>
      <c r="E21" s="9" t="n">
        <v>-130.67</v>
      </c>
      <c r="F21" s="8" t="s">
        <v>26</v>
      </c>
    </row>
    <row r="22" customFormat="false" ht="15" hidden="false" customHeight="true" outlineLevel="0" collapsed="false">
      <c r="A22" s="32" t="n">
        <v>46034</v>
      </c>
      <c r="B22" s="8" t="s">
        <v>293</v>
      </c>
      <c r="C22" s="8" t="s">
        <v>253</v>
      </c>
      <c r="D22" s="8" t="s">
        <v>32</v>
      </c>
      <c r="E22" s="9" t="n">
        <v>-61.53</v>
      </c>
      <c r="F22" s="8" t="s">
        <v>17</v>
      </c>
    </row>
    <row r="23" customFormat="false" ht="15" hidden="false" customHeight="true" outlineLevel="0" collapsed="false">
      <c r="A23" s="32" t="n">
        <v>46034</v>
      </c>
      <c r="B23" s="8" t="s">
        <v>294</v>
      </c>
      <c r="C23" s="8" t="s">
        <v>266</v>
      </c>
      <c r="D23" s="8" t="s">
        <v>295</v>
      </c>
      <c r="E23" s="9" t="n">
        <v>10707.68</v>
      </c>
      <c r="F23" s="8" t="s">
        <v>261</v>
      </c>
    </row>
    <row r="24" customFormat="false" ht="15" hidden="false" customHeight="true" outlineLevel="0" collapsed="false">
      <c r="A24" s="32" t="n">
        <v>46034</v>
      </c>
      <c r="B24" s="8" t="s">
        <v>296</v>
      </c>
      <c r="C24" s="8" t="s">
        <v>266</v>
      </c>
      <c r="D24" s="8" t="s">
        <v>297</v>
      </c>
      <c r="E24" s="9" t="n">
        <v>21555.14</v>
      </c>
      <c r="F24" s="8" t="s">
        <v>261</v>
      </c>
    </row>
    <row r="25" customFormat="false" ht="15" hidden="false" customHeight="true" outlineLevel="0" collapsed="false">
      <c r="A25" s="32" t="n">
        <v>46034</v>
      </c>
      <c r="B25" s="8" t="s">
        <v>298</v>
      </c>
      <c r="C25" s="8" t="s">
        <v>299</v>
      </c>
      <c r="D25" s="8"/>
      <c r="E25" s="9" t="n">
        <v>-519.86</v>
      </c>
      <c r="F25" s="8" t="s">
        <v>25</v>
      </c>
    </row>
    <row r="26" customFormat="false" ht="15" hidden="false" customHeight="true" outlineLevel="0" collapsed="false">
      <c r="A26" s="32" t="n">
        <v>46034</v>
      </c>
      <c r="B26" s="8" t="s">
        <v>296</v>
      </c>
      <c r="C26" s="8" t="s">
        <v>300</v>
      </c>
      <c r="D26" s="8" t="s">
        <v>301</v>
      </c>
      <c r="E26" s="9" t="n">
        <v>-1.2</v>
      </c>
      <c r="F26" s="8" t="s">
        <v>25</v>
      </c>
    </row>
    <row r="27" customFormat="false" ht="15" hidden="false" customHeight="true" outlineLevel="0" collapsed="false">
      <c r="A27" s="32" t="n">
        <v>46034</v>
      </c>
      <c r="B27" s="8" t="s">
        <v>302</v>
      </c>
      <c r="C27" s="8" t="s">
        <v>256</v>
      </c>
      <c r="D27" s="8" t="s">
        <v>264</v>
      </c>
      <c r="E27" s="9" t="n">
        <v>-132.17</v>
      </c>
      <c r="F27" s="8" t="s">
        <v>26</v>
      </c>
    </row>
    <row r="28" customFormat="false" ht="15" hidden="false" customHeight="true" outlineLevel="0" collapsed="false">
      <c r="A28" s="32" t="n">
        <v>46034</v>
      </c>
      <c r="B28" s="8" t="s">
        <v>303</v>
      </c>
      <c r="C28" s="8" t="s">
        <v>266</v>
      </c>
      <c r="D28" s="8" t="s">
        <v>295</v>
      </c>
      <c r="E28" s="9" t="n">
        <v>35100</v>
      </c>
      <c r="F28" s="8" t="s">
        <v>261</v>
      </c>
    </row>
    <row r="29" customFormat="false" ht="15" hidden="false" customHeight="true" outlineLevel="0" collapsed="false">
      <c r="A29" s="32" t="n">
        <v>46034</v>
      </c>
      <c r="B29" s="8" t="s">
        <v>304</v>
      </c>
      <c r="C29" s="8" t="s">
        <v>253</v>
      </c>
      <c r="D29" s="8" t="s">
        <v>290</v>
      </c>
      <c r="E29" s="9" t="n">
        <v>-38.43</v>
      </c>
      <c r="F29" s="8" t="s">
        <v>17</v>
      </c>
    </row>
    <row r="30" customFormat="false" ht="15" hidden="false" customHeight="true" outlineLevel="0" collapsed="false">
      <c r="A30" s="32" t="n">
        <v>46034</v>
      </c>
      <c r="B30" s="8" t="s">
        <v>294</v>
      </c>
      <c r="C30" s="8" t="s">
        <v>300</v>
      </c>
      <c r="D30" s="8" t="s">
        <v>301</v>
      </c>
      <c r="E30" s="9" t="n">
        <v>-1.2</v>
      </c>
      <c r="F30" s="8" t="s">
        <v>25</v>
      </c>
    </row>
    <row r="31" customFormat="false" ht="15" hidden="false" customHeight="true" outlineLevel="0" collapsed="false">
      <c r="A31" s="32" t="n">
        <v>46034</v>
      </c>
      <c r="B31" s="8" t="s">
        <v>305</v>
      </c>
      <c r="C31" s="8" t="s">
        <v>256</v>
      </c>
      <c r="D31" s="8" t="s">
        <v>306</v>
      </c>
      <c r="E31" s="9" t="n">
        <v>-78.46</v>
      </c>
      <c r="F31" s="8" t="s">
        <v>30</v>
      </c>
    </row>
    <row r="32" customFormat="false" ht="15" hidden="false" customHeight="true" outlineLevel="0" collapsed="false">
      <c r="A32" s="32" t="n">
        <v>46034</v>
      </c>
      <c r="B32" s="8" t="s">
        <v>303</v>
      </c>
      <c r="C32" s="8" t="s">
        <v>300</v>
      </c>
      <c r="D32" s="8" t="s">
        <v>301</v>
      </c>
      <c r="E32" s="9" t="n">
        <v>-1.2</v>
      </c>
      <c r="F32" s="8" t="s">
        <v>25</v>
      </c>
    </row>
    <row r="33" customFormat="false" ht="15" hidden="false" customHeight="true" outlineLevel="0" collapsed="false">
      <c r="A33" s="32" t="n">
        <v>46035</v>
      </c>
      <c r="B33" s="8" t="s">
        <v>307</v>
      </c>
      <c r="C33" s="8" t="s">
        <v>308</v>
      </c>
      <c r="D33" s="8" t="s">
        <v>309</v>
      </c>
      <c r="E33" s="9" t="n">
        <v>-15.6</v>
      </c>
      <c r="F33" s="8" t="s">
        <v>25</v>
      </c>
    </row>
    <row r="34" customFormat="false" ht="15" hidden="false" customHeight="true" outlineLevel="0" collapsed="false">
      <c r="A34" s="32" t="n">
        <v>46035</v>
      </c>
      <c r="B34" s="8" t="s">
        <v>310</v>
      </c>
      <c r="C34" s="8" t="s">
        <v>253</v>
      </c>
      <c r="D34" s="8" t="s">
        <v>311</v>
      </c>
      <c r="E34" s="9" t="n">
        <v>-1.7</v>
      </c>
      <c r="F34" s="8" t="s">
        <v>17</v>
      </c>
    </row>
    <row r="35" customFormat="false" ht="15" hidden="false" customHeight="true" outlineLevel="0" collapsed="false">
      <c r="A35" s="32" t="n">
        <v>46035</v>
      </c>
      <c r="B35" s="8" t="s">
        <v>312</v>
      </c>
      <c r="C35" s="8" t="s">
        <v>269</v>
      </c>
      <c r="D35" s="8" t="s">
        <v>313</v>
      </c>
      <c r="E35" s="9" t="n">
        <v>-757.2</v>
      </c>
      <c r="F35" s="8" t="s">
        <v>18</v>
      </c>
    </row>
    <row r="36" customFormat="false" ht="15" hidden="false" customHeight="true" outlineLevel="0" collapsed="false">
      <c r="A36" s="32" t="n">
        <v>46035</v>
      </c>
      <c r="B36" s="8" t="s">
        <v>314</v>
      </c>
      <c r="C36" s="8" t="s">
        <v>269</v>
      </c>
      <c r="D36" s="8" t="s">
        <v>315</v>
      </c>
      <c r="E36" s="9" t="n">
        <v>-9350.99</v>
      </c>
      <c r="F36" s="8" t="s">
        <v>11</v>
      </c>
    </row>
    <row r="37" customFormat="false" ht="15" hidden="false" customHeight="true" outlineLevel="0" collapsed="false">
      <c r="A37" s="32" t="n">
        <v>46035</v>
      </c>
      <c r="B37" s="8" t="s">
        <v>307</v>
      </c>
      <c r="C37" s="8" t="s">
        <v>300</v>
      </c>
      <c r="D37" s="8" t="s">
        <v>301</v>
      </c>
      <c r="E37" s="9" t="n">
        <v>-1.2</v>
      </c>
      <c r="F37" s="8" t="s">
        <v>25</v>
      </c>
    </row>
    <row r="38" customFormat="false" ht="15" hidden="false" customHeight="true" outlineLevel="0" collapsed="false">
      <c r="A38" s="32" t="n">
        <v>46035</v>
      </c>
      <c r="B38" s="8" t="s">
        <v>316</v>
      </c>
      <c r="C38" s="8" t="s">
        <v>269</v>
      </c>
      <c r="D38" s="8" t="s">
        <v>317</v>
      </c>
      <c r="E38" s="9" t="n">
        <v>-5222</v>
      </c>
      <c r="F38" s="8" t="s">
        <v>10</v>
      </c>
    </row>
    <row r="39" customFormat="false" ht="15" hidden="false" customHeight="true" outlineLevel="0" collapsed="false">
      <c r="A39" s="32" t="n">
        <v>46035</v>
      </c>
      <c r="B39" s="8" t="s">
        <v>318</v>
      </c>
      <c r="C39" s="8" t="s">
        <v>269</v>
      </c>
      <c r="D39" s="8" t="s">
        <v>319</v>
      </c>
      <c r="E39" s="9" t="n">
        <v>-245.86</v>
      </c>
      <c r="F39" s="8" t="s">
        <v>18</v>
      </c>
    </row>
    <row r="40" customFormat="false" ht="15" hidden="false" customHeight="true" outlineLevel="0" collapsed="false">
      <c r="A40" s="32" t="n">
        <v>46035</v>
      </c>
      <c r="B40" s="8" t="s">
        <v>320</v>
      </c>
      <c r="C40" s="8" t="s">
        <v>269</v>
      </c>
      <c r="D40" s="8" t="s">
        <v>321</v>
      </c>
      <c r="E40" s="9" t="n">
        <v>-7707.85</v>
      </c>
      <c r="F40" s="8" t="s">
        <v>10</v>
      </c>
    </row>
    <row r="41" customFormat="false" ht="15" hidden="false" customHeight="true" outlineLevel="0" collapsed="false">
      <c r="A41" s="32" t="n">
        <v>46035</v>
      </c>
      <c r="B41" s="8" t="s">
        <v>322</v>
      </c>
      <c r="C41" s="8" t="s">
        <v>269</v>
      </c>
      <c r="D41" s="8" t="s">
        <v>323</v>
      </c>
      <c r="E41" s="9" t="n">
        <v>-2987.1</v>
      </c>
      <c r="F41" s="8" t="s">
        <v>13</v>
      </c>
    </row>
    <row r="42" customFormat="false" ht="15" hidden="false" customHeight="true" outlineLevel="0" collapsed="false">
      <c r="A42" s="32" t="n">
        <v>46035</v>
      </c>
      <c r="B42" s="8" t="s">
        <v>307</v>
      </c>
      <c r="C42" s="8" t="s">
        <v>324</v>
      </c>
      <c r="D42" s="8" t="s">
        <v>325</v>
      </c>
      <c r="E42" s="9" t="n">
        <v>-6224.84</v>
      </c>
      <c r="F42" s="8" t="s">
        <v>12</v>
      </c>
    </row>
    <row r="43" customFormat="false" ht="15" hidden="false" customHeight="true" outlineLevel="0" collapsed="false">
      <c r="A43" s="32" t="n">
        <v>46035</v>
      </c>
      <c r="B43" s="8" t="s">
        <v>307</v>
      </c>
      <c r="C43" s="8" t="s">
        <v>326</v>
      </c>
      <c r="D43" s="8" t="s">
        <v>327</v>
      </c>
      <c r="E43" s="9" t="n">
        <v>-28.8</v>
      </c>
      <c r="F43" s="8" t="s">
        <v>25</v>
      </c>
    </row>
    <row r="44" customFormat="false" ht="15" hidden="false" customHeight="true" outlineLevel="0" collapsed="false">
      <c r="A44" s="32" t="n">
        <v>46035</v>
      </c>
      <c r="B44" s="8" t="s">
        <v>328</v>
      </c>
      <c r="C44" s="8" t="s">
        <v>269</v>
      </c>
      <c r="D44" s="8" t="s">
        <v>329</v>
      </c>
      <c r="E44" s="9" t="n">
        <v>-1828.8</v>
      </c>
      <c r="F44" s="8" t="s">
        <v>10</v>
      </c>
    </row>
    <row r="45" customFormat="false" ht="15" hidden="false" customHeight="true" outlineLevel="0" collapsed="false">
      <c r="A45" s="32" t="n">
        <v>46035</v>
      </c>
      <c r="B45" s="8" t="s">
        <v>307</v>
      </c>
      <c r="C45" s="8" t="s">
        <v>330</v>
      </c>
      <c r="D45" s="8"/>
      <c r="E45" s="9" t="n">
        <v>-17</v>
      </c>
      <c r="F45" s="8" t="s">
        <v>25</v>
      </c>
    </row>
    <row r="46" customFormat="false" ht="15" hidden="false" customHeight="true" outlineLevel="0" collapsed="false">
      <c r="A46" s="32" t="n">
        <v>46035</v>
      </c>
      <c r="B46" s="8" t="s">
        <v>331</v>
      </c>
      <c r="C46" s="8" t="s">
        <v>253</v>
      </c>
      <c r="D46" s="8" t="s">
        <v>311</v>
      </c>
      <c r="E46" s="9" t="n">
        <v>-1.7</v>
      </c>
      <c r="F46" s="8" t="s">
        <v>17</v>
      </c>
    </row>
    <row r="47" customFormat="false" ht="15" hidden="false" customHeight="true" outlineLevel="0" collapsed="false">
      <c r="A47" s="32" t="n">
        <v>46035</v>
      </c>
      <c r="B47" s="8" t="s">
        <v>332</v>
      </c>
      <c r="C47" s="8" t="s">
        <v>269</v>
      </c>
      <c r="D47" s="8" t="s">
        <v>333</v>
      </c>
      <c r="E47" s="9" t="n">
        <v>-827.87</v>
      </c>
      <c r="F47" s="8" t="s">
        <v>18</v>
      </c>
    </row>
    <row r="48" customFormat="false" ht="15" hidden="false" customHeight="true" outlineLevel="0" collapsed="false">
      <c r="A48" s="32" t="n">
        <v>46036</v>
      </c>
      <c r="B48" s="8" t="s">
        <v>334</v>
      </c>
      <c r="C48" s="8" t="s">
        <v>253</v>
      </c>
      <c r="D48" s="8" t="s">
        <v>335</v>
      </c>
      <c r="E48" s="9" t="n">
        <v>-10</v>
      </c>
      <c r="F48" s="8" t="s">
        <v>19</v>
      </c>
    </row>
    <row r="49" customFormat="false" ht="15" hidden="false" customHeight="true" outlineLevel="0" collapsed="false">
      <c r="A49" s="32" t="n">
        <v>46036</v>
      </c>
      <c r="B49" s="8" t="s">
        <v>336</v>
      </c>
      <c r="C49" s="8" t="s">
        <v>253</v>
      </c>
      <c r="D49" s="8" t="s">
        <v>32</v>
      </c>
      <c r="E49" s="9" t="n">
        <v>-81.08</v>
      </c>
      <c r="F49" s="8" t="s">
        <v>17</v>
      </c>
    </row>
    <row r="50" customFormat="false" ht="15" hidden="false" customHeight="true" outlineLevel="0" collapsed="false">
      <c r="A50" s="32" t="n">
        <v>46036</v>
      </c>
      <c r="B50" s="8" t="s">
        <v>337</v>
      </c>
      <c r="C50" s="8" t="s">
        <v>253</v>
      </c>
      <c r="D50" s="8" t="s">
        <v>338</v>
      </c>
      <c r="E50" s="9" t="n">
        <v>-14.6</v>
      </c>
      <c r="F50" s="8" t="s">
        <v>31</v>
      </c>
    </row>
    <row r="51" customFormat="false" ht="15" hidden="false" customHeight="true" outlineLevel="0" collapsed="false">
      <c r="A51" s="32" t="n">
        <v>46036</v>
      </c>
      <c r="B51" s="8" t="s">
        <v>339</v>
      </c>
      <c r="C51" s="8" t="s">
        <v>253</v>
      </c>
      <c r="D51" s="8" t="s">
        <v>340</v>
      </c>
      <c r="E51" s="9" t="n">
        <v>-8.8</v>
      </c>
      <c r="F51" s="8" t="s">
        <v>17</v>
      </c>
    </row>
    <row r="52" customFormat="false" ht="15" hidden="false" customHeight="true" outlineLevel="0" collapsed="false">
      <c r="A52" s="32" t="n">
        <v>46036</v>
      </c>
      <c r="B52" s="8" t="s">
        <v>341</v>
      </c>
      <c r="C52" s="8" t="s">
        <v>259</v>
      </c>
      <c r="D52" s="8" t="s">
        <v>342</v>
      </c>
      <c r="E52" s="9" t="n">
        <v>6230</v>
      </c>
      <c r="F52" s="8" t="s">
        <v>261</v>
      </c>
    </row>
    <row r="53" customFormat="false" ht="15" hidden="false" customHeight="true" outlineLevel="0" collapsed="false">
      <c r="A53" s="32" t="n">
        <v>46036</v>
      </c>
      <c r="B53" s="8" t="s">
        <v>343</v>
      </c>
      <c r="C53" s="8" t="s">
        <v>344</v>
      </c>
      <c r="D53" s="8" t="s">
        <v>345</v>
      </c>
      <c r="E53" s="9" t="n">
        <v>-49.35</v>
      </c>
      <c r="F53" s="8" t="s">
        <v>25</v>
      </c>
    </row>
    <row r="54" customFormat="false" ht="15" hidden="false" customHeight="true" outlineLevel="0" collapsed="false">
      <c r="A54" s="32" t="n">
        <v>46036</v>
      </c>
      <c r="B54" s="8" t="s">
        <v>346</v>
      </c>
      <c r="C54" s="8" t="s">
        <v>256</v>
      </c>
      <c r="D54" s="8" t="s">
        <v>347</v>
      </c>
      <c r="E54" s="9" t="n">
        <v>-504</v>
      </c>
      <c r="F54" s="8" t="s">
        <v>23</v>
      </c>
    </row>
    <row r="55" customFormat="false" ht="15" hidden="false" customHeight="true" outlineLevel="0" collapsed="false">
      <c r="A55" s="32" t="n">
        <v>46036</v>
      </c>
      <c r="B55" s="8" t="s">
        <v>348</v>
      </c>
      <c r="C55" s="8" t="s">
        <v>253</v>
      </c>
      <c r="D55" s="8" t="s">
        <v>284</v>
      </c>
      <c r="E55" s="9" t="n">
        <v>-3.99</v>
      </c>
      <c r="F55" s="8" t="s">
        <v>20</v>
      </c>
    </row>
    <row r="56" customFormat="false" ht="15" hidden="false" customHeight="true" outlineLevel="0" collapsed="false">
      <c r="A56" s="32" t="n">
        <v>46037</v>
      </c>
      <c r="B56" s="8" t="s">
        <v>349</v>
      </c>
      <c r="C56" s="8" t="s">
        <v>256</v>
      </c>
      <c r="D56" s="8" t="s">
        <v>350</v>
      </c>
      <c r="E56" s="9" t="n">
        <v>-248.34</v>
      </c>
      <c r="F56" s="8" t="s">
        <v>20</v>
      </c>
    </row>
    <row r="57" customFormat="false" ht="15" hidden="false" customHeight="true" outlineLevel="0" collapsed="false">
      <c r="A57" s="32" t="n">
        <v>46037</v>
      </c>
      <c r="B57" s="8" t="s">
        <v>351</v>
      </c>
      <c r="C57" s="8" t="s">
        <v>253</v>
      </c>
      <c r="D57" s="8" t="s">
        <v>338</v>
      </c>
      <c r="E57" s="9" t="n">
        <v>-12.89</v>
      </c>
      <c r="F57" s="8" t="s">
        <v>31</v>
      </c>
    </row>
    <row r="58" customFormat="false" ht="15" hidden="false" customHeight="true" outlineLevel="0" collapsed="false">
      <c r="A58" s="32" t="n">
        <v>46037</v>
      </c>
      <c r="B58" s="8" t="s">
        <v>352</v>
      </c>
      <c r="C58" s="8" t="s">
        <v>253</v>
      </c>
      <c r="D58" s="8" t="s">
        <v>32</v>
      </c>
      <c r="E58" s="9" t="n">
        <v>-76.23</v>
      </c>
      <c r="F58" s="8" t="s">
        <v>17</v>
      </c>
    </row>
    <row r="59" customFormat="false" ht="15" hidden="false" customHeight="true" outlineLevel="0" collapsed="false">
      <c r="A59" s="32" t="n">
        <v>46037</v>
      </c>
      <c r="B59" s="8" t="s">
        <v>298</v>
      </c>
      <c r="C59" s="8" t="s">
        <v>353</v>
      </c>
      <c r="D59" s="8"/>
      <c r="E59" s="9" t="n">
        <v>-7.69</v>
      </c>
      <c r="F59" s="8" t="s">
        <v>25</v>
      </c>
    </row>
    <row r="60" customFormat="false" ht="15" hidden="false" customHeight="true" outlineLevel="0" collapsed="false">
      <c r="A60" s="32" t="n">
        <v>46038</v>
      </c>
      <c r="B60" s="8" t="s">
        <v>354</v>
      </c>
      <c r="C60" s="8" t="s">
        <v>259</v>
      </c>
      <c r="D60" s="8" t="s">
        <v>260</v>
      </c>
      <c r="E60" s="9" t="n">
        <v>19.44</v>
      </c>
      <c r="F60" s="8" t="s">
        <v>261</v>
      </c>
    </row>
    <row r="61" customFormat="false" ht="15" hidden="false" customHeight="true" outlineLevel="0" collapsed="false">
      <c r="A61" s="32" t="n">
        <v>46038</v>
      </c>
      <c r="B61" s="8" t="s">
        <v>355</v>
      </c>
      <c r="C61" s="8" t="s">
        <v>269</v>
      </c>
      <c r="D61" s="8" t="s">
        <v>315</v>
      </c>
      <c r="E61" s="9" t="n">
        <v>-13243.6</v>
      </c>
      <c r="F61" s="8" t="s">
        <v>11</v>
      </c>
    </row>
    <row r="62" customFormat="false" ht="15" hidden="false" customHeight="true" outlineLevel="0" collapsed="false">
      <c r="A62" s="32" t="n">
        <v>46038</v>
      </c>
      <c r="B62" s="8" t="s">
        <v>356</v>
      </c>
      <c r="C62" s="8" t="s">
        <v>259</v>
      </c>
      <c r="D62" s="8" t="s">
        <v>357</v>
      </c>
      <c r="E62" s="9" t="n">
        <v>6186</v>
      </c>
      <c r="F62" s="8" t="s">
        <v>261</v>
      </c>
    </row>
    <row r="63" customFormat="false" ht="15" hidden="false" customHeight="true" outlineLevel="0" collapsed="false">
      <c r="A63" s="32" t="n">
        <v>46038</v>
      </c>
      <c r="B63" s="8" t="s">
        <v>358</v>
      </c>
      <c r="C63" s="8" t="s">
        <v>253</v>
      </c>
      <c r="D63" s="8" t="s">
        <v>359</v>
      </c>
      <c r="E63" s="9" t="n">
        <v>-18</v>
      </c>
      <c r="F63" s="8" t="s">
        <v>31</v>
      </c>
    </row>
    <row r="64" customFormat="false" ht="15" hidden="false" customHeight="true" outlineLevel="0" collapsed="false">
      <c r="A64" s="32" t="n">
        <v>46038</v>
      </c>
      <c r="B64" s="8" t="s">
        <v>360</v>
      </c>
      <c r="C64" s="8" t="s">
        <v>253</v>
      </c>
      <c r="D64" s="8" t="s">
        <v>284</v>
      </c>
      <c r="E64" s="9" t="n">
        <v>-22.99</v>
      </c>
      <c r="F64" s="8" t="s">
        <v>20</v>
      </c>
    </row>
    <row r="65" customFormat="false" ht="15" hidden="false" customHeight="true" outlineLevel="0" collapsed="false">
      <c r="A65" s="32" t="n">
        <v>46038</v>
      </c>
      <c r="B65" s="8" t="s">
        <v>361</v>
      </c>
      <c r="C65" s="8" t="s">
        <v>253</v>
      </c>
      <c r="D65" s="8" t="s">
        <v>362</v>
      </c>
      <c r="E65" s="9" t="n">
        <v>-10.7</v>
      </c>
      <c r="F65" s="8" t="s">
        <v>17</v>
      </c>
    </row>
    <row r="66" customFormat="false" ht="15" hidden="false" customHeight="true" outlineLevel="0" collapsed="false">
      <c r="A66" s="32" t="n">
        <v>46038</v>
      </c>
      <c r="B66" s="8" t="s">
        <v>363</v>
      </c>
      <c r="C66" s="8" t="s">
        <v>256</v>
      </c>
      <c r="D66" s="8" t="s">
        <v>364</v>
      </c>
      <c r="E66" s="9" t="n">
        <v>-4947</v>
      </c>
      <c r="F66" s="8" t="s">
        <v>15</v>
      </c>
    </row>
    <row r="67" customFormat="false" ht="15" hidden="false" customHeight="true" outlineLevel="0" collapsed="false">
      <c r="A67" s="32" t="n">
        <v>46038</v>
      </c>
      <c r="B67" s="8" t="s">
        <v>365</v>
      </c>
      <c r="C67" s="8" t="s">
        <v>366</v>
      </c>
      <c r="D67" s="8" t="s">
        <v>284</v>
      </c>
      <c r="E67" s="9" t="n">
        <v>7.99</v>
      </c>
      <c r="F67" s="8" t="s">
        <v>20</v>
      </c>
    </row>
    <row r="68" customFormat="false" ht="15" hidden="false" customHeight="true" outlineLevel="0" collapsed="false">
      <c r="A68" s="32" t="n">
        <v>46038</v>
      </c>
      <c r="B68" s="8" t="s">
        <v>367</v>
      </c>
      <c r="C68" s="8" t="s">
        <v>253</v>
      </c>
      <c r="D68" s="8" t="s">
        <v>362</v>
      </c>
      <c r="E68" s="9" t="n">
        <v>-10.7</v>
      </c>
      <c r="F68" s="8" t="s">
        <v>17</v>
      </c>
    </row>
    <row r="69" customFormat="false" ht="15" hidden="false" customHeight="true" outlineLevel="0" collapsed="false">
      <c r="A69" s="32" t="n">
        <v>46038</v>
      </c>
      <c r="B69" s="8" t="s">
        <v>360</v>
      </c>
      <c r="C69" s="8" t="s">
        <v>253</v>
      </c>
      <c r="D69" s="8" t="s">
        <v>284</v>
      </c>
      <c r="E69" s="9" t="n">
        <v>-7.99</v>
      </c>
      <c r="F69" s="8" t="s">
        <v>20</v>
      </c>
    </row>
    <row r="70" customFormat="false" ht="15" hidden="false" customHeight="true" outlineLevel="0" collapsed="false">
      <c r="A70" s="32" t="n">
        <v>46041</v>
      </c>
      <c r="B70" s="8" t="s">
        <v>368</v>
      </c>
      <c r="C70" s="8" t="s">
        <v>253</v>
      </c>
      <c r="D70" s="8" t="s">
        <v>311</v>
      </c>
      <c r="E70" s="9" t="n">
        <v>-19</v>
      </c>
      <c r="F70" s="8" t="s">
        <v>17</v>
      </c>
    </row>
    <row r="71" customFormat="false" ht="15" hidden="false" customHeight="true" outlineLevel="0" collapsed="false">
      <c r="A71" s="32" t="n">
        <v>46041</v>
      </c>
      <c r="B71" s="8" t="s">
        <v>369</v>
      </c>
      <c r="C71" s="8" t="s">
        <v>253</v>
      </c>
      <c r="D71" s="8" t="s">
        <v>340</v>
      </c>
      <c r="E71" s="9" t="n">
        <v>-4.4</v>
      </c>
      <c r="F71" s="8" t="s">
        <v>17</v>
      </c>
    </row>
    <row r="72" customFormat="false" ht="15" hidden="false" customHeight="true" outlineLevel="0" collapsed="false">
      <c r="A72" s="32" t="n">
        <v>46041</v>
      </c>
      <c r="B72" s="8" t="s">
        <v>370</v>
      </c>
      <c r="C72" s="8" t="s">
        <v>253</v>
      </c>
      <c r="D72" s="8" t="s">
        <v>32</v>
      </c>
      <c r="E72" s="9" t="n">
        <v>-62.72</v>
      </c>
      <c r="F72" s="8" t="s">
        <v>17</v>
      </c>
    </row>
    <row r="73" customFormat="false" ht="15" hidden="false" customHeight="true" outlineLevel="0" collapsed="false">
      <c r="A73" s="32" t="n">
        <v>46041</v>
      </c>
      <c r="B73" s="8" t="s">
        <v>371</v>
      </c>
      <c r="C73" s="8" t="s">
        <v>253</v>
      </c>
      <c r="D73" s="8" t="s">
        <v>340</v>
      </c>
      <c r="E73" s="9" t="n">
        <v>-9.9</v>
      </c>
      <c r="F73" s="8" t="s">
        <v>17</v>
      </c>
    </row>
    <row r="74" customFormat="false" ht="15" hidden="false" customHeight="true" outlineLevel="0" collapsed="false">
      <c r="A74" s="32" t="n">
        <v>46041</v>
      </c>
      <c r="B74" s="8" t="s">
        <v>369</v>
      </c>
      <c r="C74" s="8" t="s">
        <v>253</v>
      </c>
      <c r="D74" s="8" t="s">
        <v>340</v>
      </c>
      <c r="E74" s="9" t="n">
        <v>-11</v>
      </c>
      <c r="F74" s="8" t="s">
        <v>17</v>
      </c>
    </row>
    <row r="75" customFormat="false" ht="15" hidden="false" customHeight="true" outlineLevel="0" collapsed="false">
      <c r="A75" s="32" t="n">
        <v>46041</v>
      </c>
      <c r="B75" s="8" t="s">
        <v>372</v>
      </c>
      <c r="C75" s="8" t="s">
        <v>266</v>
      </c>
      <c r="D75" s="8" t="s">
        <v>267</v>
      </c>
      <c r="E75" s="9" t="n">
        <v>3902</v>
      </c>
      <c r="F75" s="8" t="s">
        <v>261</v>
      </c>
    </row>
    <row r="76" customFormat="false" ht="15" hidden="false" customHeight="true" outlineLevel="0" collapsed="false">
      <c r="A76" s="32" t="n">
        <v>46041</v>
      </c>
      <c r="B76" s="8" t="s">
        <v>373</v>
      </c>
      <c r="C76" s="8" t="s">
        <v>253</v>
      </c>
      <c r="D76" s="8" t="s">
        <v>311</v>
      </c>
      <c r="E76" s="9" t="n">
        <v>-19</v>
      </c>
      <c r="F76" s="8" t="s">
        <v>17</v>
      </c>
    </row>
    <row r="77" customFormat="false" ht="15" hidden="false" customHeight="true" outlineLevel="0" collapsed="false">
      <c r="A77" s="32" t="n">
        <v>46042</v>
      </c>
      <c r="B77" s="8" t="s">
        <v>374</v>
      </c>
      <c r="C77" s="8" t="s">
        <v>259</v>
      </c>
      <c r="D77" s="8" t="s">
        <v>260</v>
      </c>
      <c r="E77" s="9" t="n">
        <v>38.43</v>
      </c>
      <c r="F77" s="8" t="s">
        <v>261</v>
      </c>
    </row>
    <row r="78" customFormat="false" ht="15" hidden="false" customHeight="true" outlineLevel="0" collapsed="false">
      <c r="A78" s="32" t="n">
        <v>46042</v>
      </c>
      <c r="B78" s="8" t="s">
        <v>375</v>
      </c>
      <c r="C78" s="8" t="s">
        <v>253</v>
      </c>
      <c r="D78" s="8" t="s">
        <v>340</v>
      </c>
      <c r="E78" s="9" t="n">
        <v>-5.5</v>
      </c>
      <c r="F78" s="8" t="s">
        <v>17</v>
      </c>
    </row>
    <row r="79" customFormat="false" ht="15" hidden="false" customHeight="true" outlineLevel="0" collapsed="false">
      <c r="A79" s="32" t="n">
        <v>46042</v>
      </c>
      <c r="B79" s="8" t="s">
        <v>376</v>
      </c>
      <c r="C79" s="8" t="s">
        <v>253</v>
      </c>
      <c r="D79" s="8" t="s">
        <v>290</v>
      </c>
      <c r="E79" s="9" t="n">
        <v>-67.35</v>
      </c>
      <c r="F79" s="8" t="s">
        <v>17</v>
      </c>
    </row>
    <row r="80" customFormat="false" ht="15" hidden="false" customHeight="true" outlineLevel="0" collapsed="false">
      <c r="A80" s="32" t="n">
        <v>46042</v>
      </c>
      <c r="B80" s="8" t="s">
        <v>377</v>
      </c>
      <c r="C80" s="8" t="s">
        <v>253</v>
      </c>
      <c r="D80" s="8" t="s">
        <v>378</v>
      </c>
      <c r="E80" s="9" t="n">
        <v>-11.08</v>
      </c>
      <c r="F80" s="8" t="s">
        <v>29</v>
      </c>
    </row>
    <row r="81" customFormat="false" ht="15" hidden="false" customHeight="true" outlineLevel="0" collapsed="false">
      <c r="A81" s="32" t="n">
        <v>46042</v>
      </c>
      <c r="B81" s="8" t="s">
        <v>379</v>
      </c>
      <c r="C81" s="8" t="s">
        <v>253</v>
      </c>
      <c r="D81" s="8" t="s">
        <v>380</v>
      </c>
      <c r="E81" s="9" t="n">
        <v>-9.36</v>
      </c>
      <c r="F81" s="8" t="s">
        <v>19</v>
      </c>
    </row>
    <row r="82" customFormat="false" ht="15" hidden="false" customHeight="true" outlineLevel="0" collapsed="false">
      <c r="A82" s="32" t="n">
        <v>46042</v>
      </c>
      <c r="B82" s="8" t="s">
        <v>381</v>
      </c>
      <c r="C82" s="8" t="s">
        <v>253</v>
      </c>
      <c r="D82" s="8" t="s">
        <v>382</v>
      </c>
      <c r="E82" s="9" t="n">
        <v>-1.5</v>
      </c>
      <c r="F82" s="8" t="s">
        <v>20</v>
      </c>
    </row>
    <row r="83" customFormat="false" ht="15" hidden="false" customHeight="true" outlineLevel="0" collapsed="false">
      <c r="A83" s="32" t="n">
        <v>46042</v>
      </c>
      <c r="B83" s="8" t="s">
        <v>383</v>
      </c>
      <c r="C83" s="8" t="s">
        <v>253</v>
      </c>
      <c r="D83" s="8" t="s">
        <v>382</v>
      </c>
      <c r="E83" s="9" t="n">
        <v>-1.5</v>
      </c>
      <c r="F83" s="8" t="s">
        <v>20</v>
      </c>
    </row>
    <row r="84" customFormat="false" ht="15" hidden="false" customHeight="true" outlineLevel="0" collapsed="false">
      <c r="A84" s="32" t="n">
        <v>46043</v>
      </c>
      <c r="B84" s="8" t="s">
        <v>384</v>
      </c>
      <c r="C84" s="8" t="s">
        <v>253</v>
      </c>
      <c r="D84" s="8" t="s">
        <v>385</v>
      </c>
      <c r="E84" s="9" t="n">
        <v>-147</v>
      </c>
      <c r="F84" s="8" t="s">
        <v>22</v>
      </c>
    </row>
    <row r="85" customFormat="false" ht="15" hidden="false" customHeight="true" outlineLevel="0" collapsed="false">
      <c r="A85" s="32" t="n">
        <v>46043</v>
      </c>
      <c r="B85" s="8" t="s">
        <v>386</v>
      </c>
      <c r="C85" s="8" t="s">
        <v>253</v>
      </c>
      <c r="D85" s="8" t="s">
        <v>387</v>
      </c>
      <c r="E85" s="9" t="n">
        <v>-61.83</v>
      </c>
      <c r="F85" s="8" t="s">
        <v>17</v>
      </c>
    </row>
    <row r="86" customFormat="false" ht="15" hidden="false" customHeight="true" outlineLevel="0" collapsed="false">
      <c r="A86" s="32" t="n">
        <v>46043</v>
      </c>
      <c r="B86" s="8" t="s">
        <v>388</v>
      </c>
      <c r="C86" s="8" t="s">
        <v>269</v>
      </c>
      <c r="D86" s="8" t="s">
        <v>389</v>
      </c>
      <c r="E86" s="9" t="n">
        <v>-3990</v>
      </c>
      <c r="F86" s="8" t="s">
        <v>18</v>
      </c>
    </row>
    <row r="87" customFormat="false" ht="15" hidden="false" customHeight="true" outlineLevel="0" collapsed="false">
      <c r="A87" s="32" t="n">
        <v>46043</v>
      </c>
      <c r="B87" s="8" t="s">
        <v>390</v>
      </c>
      <c r="C87" s="8" t="s">
        <v>253</v>
      </c>
      <c r="D87" s="8" t="s">
        <v>391</v>
      </c>
      <c r="E87" s="9" t="n">
        <v>-10</v>
      </c>
      <c r="F87" s="8" t="s">
        <v>18</v>
      </c>
    </row>
    <row r="88" customFormat="false" ht="15" hidden="false" customHeight="true" outlineLevel="0" collapsed="false">
      <c r="A88" s="32" t="n">
        <v>46043</v>
      </c>
      <c r="B88" s="8" t="s">
        <v>392</v>
      </c>
      <c r="C88" s="8" t="s">
        <v>269</v>
      </c>
      <c r="D88" s="8" t="s">
        <v>393</v>
      </c>
      <c r="E88" s="9" t="n">
        <v>-13893</v>
      </c>
      <c r="F88" s="8" t="s">
        <v>10</v>
      </c>
    </row>
    <row r="89" customFormat="false" ht="15" hidden="false" customHeight="true" outlineLevel="0" collapsed="false">
      <c r="A89" s="32" t="n">
        <v>46043</v>
      </c>
      <c r="B89" s="8" t="s">
        <v>394</v>
      </c>
      <c r="C89" s="8" t="s">
        <v>253</v>
      </c>
      <c r="D89" s="8" t="s">
        <v>395</v>
      </c>
      <c r="E89" s="9" t="n">
        <v>-11.9</v>
      </c>
      <c r="F89" s="8" t="s">
        <v>17</v>
      </c>
    </row>
    <row r="90" customFormat="false" ht="15" hidden="false" customHeight="true" outlineLevel="0" collapsed="false">
      <c r="A90" s="32" t="n">
        <v>46043</v>
      </c>
      <c r="B90" s="8" t="s">
        <v>396</v>
      </c>
      <c r="C90" s="8" t="s">
        <v>253</v>
      </c>
      <c r="D90" s="8" t="s">
        <v>32</v>
      </c>
      <c r="E90" s="9" t="n">
        <v>-67.98</v>
      </c>
      <c r="F90" s="8" t="s">
        <v>17</v>
      </c>
    </row>
    <row r="91" customFormat="false" ht="15" hidden="false" customHeight="true" outlineLevel="0" collapsed="false">
      <c r="A91" s="32" t="n">
        <v>46043</v>
      </c>
      <c r="B91" s="8" t="s">
        <v>397</v>
      </c>
      <c r="C91" s="8" t="s">
        <v>269</v>
      </c>
      <c r="D91" s="8" t="s">
        <v>323</v>
      </c>
      <c r="E91" s="9" t="n">
        <v>-3356</v>
      </c>
      <c r="F91" s="8" t="s">
        <v>13</v>
      </c>
    </row>
    <row r="92" customFormat="false" ht="15" hidden="false" customHeight="true" outlineLevel="0" collapsed="false">
      <c r="A92" s="32" t="n">
        <v>46043</v>
      </c>
      <c r="B92" s="8" t="s">
        <v>398</v>
      </c>
      <c r="C92" s="8" t="s">
        <v>253</v>
      </c>
      <c r="D92" s="8" t="s">
        <v>284</v>
      </c>
      <c r="E92" s="9" t="n">
        <v>-3.99</v>
      </c>
      <c r="F92" s="8" t="s">
        <v>20</v>
      </c>
    </row>
    <row r="93" customFormat="false" ht="15" hidden="false" customHeight="true" outlineLevel="0" collapsed="false">
      <c r="A93" s="32" t="n">
        <v>46043</v>
      </c>
      <c r="B93" s="8" t="s">
        <v>399</v>
      </c>
      <c r="C93" s="8" t="s">
        <v>256</v>
      </c>
      <c r="D93" s="8" t="s">
        <v>400</v>
      </c>
      <c r="E93" s="9" t="n">
        <v>-144.38</v>
      </c>
      <c r="F93" s="8" t="s">
        <v>26</v>
      </c>
    </row>
    <row r="94" customFormat="false" ht="15" hidden="false" customHeight="true" outlineLevel="0" collapsed="false">
      <c r="A94" s="32" t="n">
        <v>46043</v>
      </c>
      <c r="B94" s="8" t="s">
        <v>401</v>
      </c>
      <c r="C94" s="8" t="s">
        <v>402</v>
      </c>
      <c r="D94" s="8" t="s">
        <v>403</v>
      </c>
      <c r="E94" s="9" t="n">
        <v>-237</v>
      </c>
      <c r="F94" s="8" t="s">
        <v>15</v>
      </c>
    </row>
    <row r="95" customFormat="false" ht="15" hidden="false" customHeight="true" outlineLevel="0" collapsed="false">
      <c r="A95" s="32" t="n">
        <v>46043</v>
      </c>
      <c r="B95" s="8" t="s">
        <v>404</v>
      </c>
      <c r="C95" s="8" t="s">
        <v>269</v>
      </c>
      <c r="D95" s="8" t="s">
        <v>405</v>
      </c>
      <c r="E95" s="9" t="n">
        <v>-1188</v>
      </c>
      <c r="F95" s="8" t="s">
        <v>10</v>
      </c>
    </row>
    <row r="96" customFormat="false" ht="15" hidden="false" customHeight="true" outlineLevel="0" collapsed="false">
      <c r="A96" s="32" t="n">
        <v>46043</v>
      </c>
      <c r="B96" s="8" t="s">
        <v>386</v>
      </c>
      <c r="C96" s="8" t="s">
        <v>253</v>
      </c>
      <c r="D96" s="8" t="s">
        <v>406</v>
      </c>
      <c r="E96" s="9" t="n">
        <v>-3.69</v>
      </c>
      <c r="F96" s="8" t="s">
        <v>17</v>
      </c>
    </row>
    <row r="97" customFormat="false" ht="15" hidden="false" customHeight="true" outlineLevel="0" collapsed="false">
      <c r="A97" s="32" t="n">
        <v>46043</v>
      </c>
      <c r="B97" s="8" t="s">
        <v>407</v>
      </c>
      <c r="C97" s="8" t="s">
        <v>269</v>
      </c>
      <c r="D97" s="8" t="s">
        <v>408</v>
      </c>
      <c r="E97" s="9" t="n">
        <v>-137</v>
      </c>
      <c r="F97" s="8" t="s">
        <v>18</v>
      </c>
    </row>
    <row r="98" customFormat="false" ht="15" hidden="false" customHeight="true" outlineLevel="0" collapsed="false">
      <c r="A98" s="32" t="n">
        <v>46043</v>
      </c>
      <c r="B98" s="8" t="s">
        <v>409</v>
      </c>
      <c r="C98" s="8" t="s">
        <v>253</v>
      </c>
      <c r="D98" s="8" t="s">
        <v>340</v>
      </c>
      <c r="E98" s="9" t="n">
        <v>-12.1</v>
      </c>
      <c r="F98" s="8" t="s">
        <v>17</v>
      </c>
    </row>
    <row r="99" customFormat="false" ht="15" hidden="false" customHeight="true" outlineLevel="0" collapsed="false">
      <c r="A99" s="32" t="n">
        <v>46043</v>
      </c>
      <c r="B99" s="8" t="s">
        <v>410</v>
      </c>
      <c r="C99" s="8" t="s">
        <v>269</v>
      </c>
      <c r="D99" s="8" t="s">
        <v>315</v>
      </c>
      <c r="E99" s="9" t="n">
        <v>-1403.22</v>
      </c>
      <c r="F99" s="8" t="s">
        <v>11</v>
      </c>
    </row>
    <row r="100" customFormat="false" ht="15" hidden="false" customHeight="true" outlineLevel="0" collapsed="false">
      <c r="A100" s="32" t="n">
        <v>46044</v>
      </c>
      <c r="B100" s="8" t="s">
        <v>411</v>
      </c>
      <c r="C100" s="8" t="s">
        <v>253</v>
      </c>
      <c r="D100" s="8" t="s">
        <v>412</v>
      </c>
      <c r="E100" s="9" t="n">
        <v>-3.2</v>
      </c>
      <c r="F100" s="8" t="s">
        <v>18</v>
      </c>
    </row>
    <row r="101" customFormat="false" ht="15" hidden="false" customHeight="true" outlineLevel="0" collapsed="false">
      <c r="A101" s="32" t="n">
        <v>46044</v>
      </c>
      <c r="B101" s="8" t="s">
        <v>413</v>
      </c>
      <c r="C101" s="8" t="s">
        <v>253</v>
      </c>
      <c r="D101" s="8" t="s">
        <v>414</v>
      </c>
      <c r="E101" s="9" t="n">
        <v>-10.7</v>
      </c>
      <c r="F101" s="8" t="s">
        <v>17</v>
      </c>
    </row>
    <row r="102" customFormat="false" ht="15" hidden="false" customHeight="true" outlineLevel="0" collapsed="false">
      <c r="A102" s="32" t="n">
        <v>46044</v>
      </c>
      <c r="B102" s="8" t="s">
        <v>413</v>
      </c>
      <c r="C102" s="8" t="s">
        <v>253</v>
      </c>
      <c r="D102" s="8" t="s">
        <v>414</v>
      </c>
      <c r="E102" s="9" t="n">
        <v>-1.7</v>
      </c>
      <c r="F102" s="8" t="s">
        <v>17</v>
      </c>
    </row>
    <row r="103" customFormat="false" ht="15" hidden="false" customHeight="true" outlineLevel="0" collapsed="false">
      <c r="A103" s="32" t="n">
        <v>46044</v>
      </c>
      <c r="B103" s="8" t="s">
        <v>415</v>
      </c>
      <c r="C103" s="8" t="s">
        <v>253</v>
      </c>
      <c r="D103" s="8" t="s">
        <v>414</v>
      </c>
      <c r="E103" s="9" t="n">
        <v>-10.7</v>
      </c>
      <c r="F103" s="8" t="s">
        <v>17</v>
      </c>
    </row>
    <row r="104" customFormat="false" ht="15" hidden="false" customHeight="true" outlineLevel="0" collapsed="false">
      <c r="A104" s="32" t="n">
        <v>46045</v>
      </c>
      <c r="B104" s="8" t="s">
        <v>416</v>
      </c>
      <c r="C104" s="8" t="s">
        <v>253</v>
      </c>
      <c r="D104" s="8" t="s">
        <v>32</v>
      </c>
      <c r="E104" s="9" t="n">
        <v>-56.94</v>
      </c>
      <c r="F104" s="8" t="s">
        <v>17</v>
      </c>
    </row>
    <row r="105" customFormat="false" ht="15" hidden="false" customHeight="true" outlineLevel="0" collapsed="false">
      <c r="A105" s="32" t="n">
        <v>46045</v>
      </c>
      <c r="B105" s="8" t="s">
        <v>417</v>
      </c>
      <c r="C105" s="8" t="s">
        <v>256</v>
      </c>
      <c r="D105" s="8" t="s">
        <v>364</v>
      </c>
      <c r="E105" s="9" t="n">
        <v>-93</v>
      </c>
      <c r="F105" s="8" t="s">
        <v>15</v>
      </c>
    </row>
    <row r="106" customFormat="false" ht="15" hidden="false" customHeight="true" outlineLevel="0" collapsed="false">
      <c r="A106" s="32" t="n">
        <v>46045</v>
      </c>
      <c r="B106" s="8" t="s">
        <v>418</v>
      </c>
      <c r="C106" s="8" t="s">
        <v>253</v>
      </c>
      <c r="D106" s="8" t="s">
        <v>419</v>
      </c>
      <c r="E106" s="9" t="n">
        <v>-998.93</v>
      </c>
      <c r="F106" s="8" t="s">
        <v>19</v>
      </c>
    </row>
    <row r="107" customFormat="false" ht="15" hidden="false" customHeight="true" outlineLevel="0" collapsed="false">
      <c r="A107" s="32" t="n">
        <v>46048</v>
      </c>
      <c r="B107" s="8" t="s">
        <v>420</v>
      </c>
      <c r="C107" s="8" t="s">
        <v>256</v>
      </c>
      <c r="D107" s="8" t="s">
        <v>350</v>
      </c>
      <c r="E107" s="9" t="n">
        <v>-422.54</v>
      </c>
      <c r="F107" s="8" t="s">
        <v>20</v>
      </c>
    </row>
    <row r="108" customFormat="false" ht="15" hidden="false" customHeight="true" outlineLevel="0" collapsed="false">
      <c r="A108" s="32" t="n">
        <v>46048</v>
      </c>
      <c r="B108" s="8" t="s">
        <v>421</v>
      </c>
      <c r="C108" s="8" t="s">
        <v>253</v>
      </c>
      <c r="D108" s="8" t="s">
        <v>395</v>
      </c>
      <c r="E108" s="9" t="n">
        <v>-11.9</v>
      </c>
      <c r="F108" s="8" t="s">
        <v>17</v>
      </c>
    </row>
    <row r="109" customFormat="false" ht="15" hidden="false" customHeight="true" outlineLevel="0" collapsed="false">
      <c r="A109" s="32" t="n">
        <v>46048</v>
      </c>
      <c r="B109" s="8" t="s">
        <v>422</v>
      </c>
      <c r="C109" s="8" t="s">
        <v>253</v>
      </c>
      <c r="D109" s="8" t="s">
        <v>423</v>
      </c>
      <c r="E109" s="9" t="n">
        <v>-61.59</v>
      </c>
      <c r="F109" s="8" t="s">
        <v>17</v>
      </c>
    </row>
    <row r="110" customFormat="false" ht="15" hidden="false" customHeight="true" outlineLevel="0" collapsed="false">
      <c r="A110" s="32" t="n">
        <v>46048</v>
      </c>
      <c r="B110" s="8" t="s">
        <v>424</v>
      </c>
      <c r="C110" s="8" t="s">
        <v>253</v>
      </c>
      <c r="D110" s="8" t="s">
        <v>378</v>
      </c>
      <c r="E110" s="9" t="n">
        <v>-4.45</v>
      </c>
      <c r="F110" s="8" t="s">
        <v>29</v>
      </c>
    </row>
    <row r="111" customFormat="false" ht="15" hidden="false" customHeight="true" outlineLevel="0" collapsed="false">
      <c r="A111" s="32" t="n">
        <v>46048</v>
      </c>
      <c r="B111" s="8" t="s">
        <v>425</v>
      </c>
      <c r="C111" s="8" t="s">
        <v>253</v>
      </c>
      <c r="D111" s="8" t="s">
        <v>382</v>
      </c>
      <c r="E111" s="9" t="n">
        <v>-1.5</v>
      </c>
      <c r="F111" s="8" t="s">
        <v>20</v>
      </c>
    </row>
    <row r="112" customFormat="false" ht="15" hidden="false" customHeight="true" outlineLevel="0" collapsed="false">
      <c r="A112" s="32" t="n">
        <v>46048</v>
      </c>
      <c r="B112" s="8" t="s">
        <v>426</v>
      </c>
      <c r="C112" s="8" t="s">
        <v>253</v>
      </c>
      <c r="D112" s="8" t="s">
        <v>382</v>
      </c>
      <c r="E112" s="9" t="n">
        <v>-1.5</v>
      </c>
      <c r="F112" s="8" t="s">
        <v>20</v>
      </c>
    </row>
    <row r="113" customFormat="false" ht="15" hidden="false" customHeight="true" outlineLevel="0" collapsed="false">
      <c r="A113" s="32" t="n">
        <v>46048</v>
      </c>
      <c r="B113" s="8" t="s">
        <v>427</v>
      </c>
      <c r="C113" s="8" t="s">
        <v>256</v>
      </c>
      <c r="D113" s="8" t="s">
        <v>428</v>
      </c>
      <c r="E113" s="9" t="n">
        <v>-1107.3</v>
      </c>
      <c r="F113" s="8" t="s">
        <v>15</v>
      </c>
    </row>
    <row r="114" customFormat="false" ht="15" hidden="false" customHeight="true" outlineLevel="0" collapsed="false">
      <c r="A114" s="32" t="n">
        <v>46048</v>
      </c>
      <c r="B114" s="8" t="s">
        <v>429</v>
      </c>
      <c r="C114" s="8" t="s">
        <v>259</v>
      </c>
      <c r="D114" s="8" t="s">
        <v>260</v>
      </c>
      <c r="E114" s="9" t="n">
        <v>39.05</v>
      </c>
      <c r="F114" s="8" t="s">
        <v>261</v>
      </c>
    </row>
    <row r="115" customFormat="false" ht="15" hidden="false" customHeight="true" outlineLevel="0" collapsed="false">
      <c r="A115" s="32" t="n">
        <v>46048</v>
      </c>
      <c r="B115" s="8" t="s">
        <v>430</v>
      </c>
      <c r="C115" s="8" t="s">
        <v>253</v>
      </c>
      <c r="D115" s="8" t="s">
        <v>276</v>
      </c>
      <c r="E115" s="9" t="n">
        <v>-28</v>
      </c>
      <c r="F115" s="8" t="s">
        <v>18</v>
      </c>
    </row>
    <row r="116" customFormat="false" ht="15" hidden="false" customHeight="true" outlineLevel="0" collapsed="false">
      <c r="A116" s="32" t="n">
        <v>46049</v>
      </c>
      <c r="B116" s="8" t="s">
        <v>431</v>
      </c>
      <c r="C116" s="8" t="s">
        <v>256</v>
      </c>
      <c r="D116" s="8" t="s">
        <v>432</v>
      </c>
      <c r="E116" s="9" t="n">
        <v>-15.95</v>
      </c>
      <c r="F116" s="8" t="s">
        <v>17</v>
      </c>
    </row>
    <row r="117" customFormat="false" ht="15" hidden="false" customHeight="true" outlineLevel="0" collapsed="false">
      <c r="A117" s="32" t="n">
        <v>46050</v>
      </c>
      <c r="B117" s="8" t="s">
        <v>433</v>
      </c>
      <c r="C117" s="8" t="s">
        <v>253</v>
      </c>
      <c r="D117" s="8" t="s">
        <v>434</v>
      </c>
      <c r="E117" s="9" t="n">
        <v>-13</v>
      </c>
      <c r="F117" s="8" t="s">
        <v>20</v>
      </c>
    </row>
    <row r="118" customFormat="false" ht="15" hidden="false" customHeight="true" outlineLevel="0" collapsed="false">
      <c r="A118" s="32" t="n">
        <v>46050</v>
      </c>
      <c r="B118" s="8" t="s">
        <v>435</v>
      </c>
      <c r="C118" s="8" t="s">
        <v>253</v>
      </c>
      <c r="D118" s="8" t="s">
        <v>436</v>
      </c>
      <c r="E118" s="9" t="n">
        <v>-4.5</v>
      </c>
      <c r="F118" s="8" t="s">
        <v>17</v>
      </c>
    </row>
    <row r="119" customFormat="false" ht="15" hidden="false" customHeight="true" outlineLevel="0" collapsed="false">
      <c r="A119" s="32" t="n">
        <v>46050</v>
      </c>
      <c r="B119" s="8" t="s">
        <v>437</v>
      </c>
      <c r="C119" s="8" t="s">
        <v>253</v>
      </c>
      <c r="D119" s="8" t="s">
        <v>438</v>
      </c>
      <c r="E119" s="9" t="n">
        <v>-4.5</v>
      </c>
      <c r="F119" s="8" t="s">
        <v>17</v>
      </c>
    </row>
    <row r="120" customFormat="false" ht="15" hidden="false" customHeight="true" outlineLevel="0" collapsed="false">
      <c r="A120" s="32" t="n">
        <v>46050</v>
      </c>
      <c r="B120" s="8" t="s">
        <v>439</v>
      </c>
      <c r="C120" s="8" t="s">
        <v>253</v>
      </c>
      <c r="D120" s="8" t="s">
        <v>32</v>
      </c>
      <c r="E120" s="9" t="n">
        <v>-70.68</v>
      </c>
      <c r="F120" s="8" t="s">
        <v>17</v>
      </c>
    </row>
    <row r="121" customFormat="false" ht="15" hidden="false" customHeight="true" outlineLevel="0" collapsed="false">
      <c r="A121" s="32" t="n">
        <v>46050</v>
      </c>
      <c r="B121" s="8" t="s">
        <v>440</v>
      </c>
      <c r="C121" s="8" t="s">
        <v>253</v>
      </c>
      <c r="D121" s="8" t="s">
        <v>284</v>
      </c>
      <c r="E121" s="9" t="n">
        <v>-3.99</v>
      </c>
      <c r="F121" s="8" t="s">
        <v>20</v>
      </c>
    </row>
    <row r="122" customFormat="false" ht="15" hidden="false" customHeight="true" outlineLevel="0" collapsed="false">
      <c r="A122" s="32" t="n">
        <v>46050</v>
      </c>
      <c r="B122" s="8" t="s">
        <v>441</v>
      </c>
      <c r="C122" s="8" t="s">
        <v>253</v>
      </c>
      <c r="D122" s="8" t="s">
        <v>282</v>
      </c>
      <c r="E122" s="9" t="n">
        <v>-15.18</v>
      </c>
      <c r="F122" s="8" t="s">
        <v>13</v>
      </c>
    </row>
    <row r="123" customFormat="false" ht="15" hidden="false" customHeight="true" outlineLevel="0" collapsed="false">
      <c r="A123" s="32" t="n">
        <v>46051</v>
      </c>
      <c r="B123" s="8" t="s">
        <v>442</v>
      </c>
      <c r="C123" s="8" t="s">
        <v>259</v>
      </c>
      <c r="D123" s="8" t="s">
        <v>260</v>
      </c>
      <c r="E123" s="9" t="n">
        <v>19.44</v>
      </c>
      <c r="F123" s="8" t="s">
        <v>261</v>
      </c>
    </row>
    <row r="124" customFormat="false" ht="15" hidden="false" customHeight="true" outlineLevel="0" collapsed="false">
      <c r="A124" s="32" t="n">
        <v>46051</v>
      </c>
      <c r="B124" s="8" t="s">
        <v>443</v>
      </c>
      <c r="C124" s="8" t="s">
        <v>253</v>
      </c>
      <c r="D124" s="8" t="s">
        <v>444</v>
      </c>
      <c r="E124" s="9" t="n">
        <v>-65.54</v>
      </c>
      <c r="F124" s="8" t="s">
        <v>20</v>
      </c>
    </row>
    <row r="125" customFormat="false" ht="15" hidden="false" customHeight="true" outlineLevel="0" collapsed="false">
      <c r="A125" s="32" t="n">
        <v>46052</v>
      </c>
      <c r="B125" s="8" t="s">
        <v>445</v>
      </c>
      <c r="C125" s="8" t="s">
        <v>300</v>
      </c>
      <c r="D125" s="8" t="s">
        <v>301</v>
      </c>
      <c r="E125" s="9" t="n">
        <v>-1.2</v>
      </c>
      <c r="F125" s="8" t="s">
        <v>25</v>
      </c>
    </row>
    <row r="126" customFormat="false" ht="15" hidden="false" customHeight="true" outlineLevel="0" collapsed="false">
      <c r="A126" s="32" t="n">
        <v>46052</v>
      </c>
      <c r="B126" s="8" t="s">
        <v>445</v>
      </c>
      <c r="C126" s="8" t="s">
        <v>324</v>
      </c>
      <c r="D126" s="8" t="s">
        <v>446</v>
      </c>
      <c r="E126" s="9" t="n">
        <v>-8573.6</v>
      </c>
      <c r="F126" s="8" t="s">
        <v>12</v>
      </c>
    </row>
    <row r="127" customFormat="false" ht="15" hidden="false" customHeight="true" outlineLevel="0" collapsed="false">
      <c r="A127" s="32" t="n">
        <v>46052</v>
      </c>
      <c r="B127" s="8" t="s">
        <v>447</v>
      </c>
      <c r="C127" s="8" t="s">
        <v>366</v>
      </c>
      <c r="D127" s="8" t="s">
        <v>419</v>
      </c>
      <c r="E127" s="9" t="n">
        <v>796.93</v>
      </c>
      <c r="F127" s="8" t="s">
        <v>19</v>
      </c>
    </row>
    <row r="128" customFormat="false" ht="15" hidden="false" customHeight="true" outlineLevel="0" collapsed="false">
      <c r="A128" s="32" t="n">
        <v>46052</v>
      </c>
      <c r="B128" s="8" t="s">
        <v>445</v>
      </c>
      <c r="C128" s="8" t="s">
        <v>330</v>
      </c>
      <c r="D128" s="8"/>
      <c r="E128" s="9" t="n">
        <v>-21.5</v>
      </c>
      <c r="F128" s="8" t="s">
        <v>25</v>
      </c>
    </row>
    <row r="129" customFormat="false" ht="15" hidden="false" customHeight="true" outlineLevel="0" collapsed="false">
      <c r="A129" s="32" t="n">
        <v>46052</v>
      </c>
      <c r="B129" s="8" t="s">
        <v>448</v>
      </c>
      <c r="C129" s="8" t="s">
        <v>269</v>
      </c>
      <c r="D129" s="8" t="s">
        <v>449</v>
      </c>
      <c r="E129" s="9" t="n">
        <v>-1233.82</v>
      </c>
      <c r="F129" s="8" t="s">
        <v>14</v>
      </c>
    </row>
    <row r="130" customFormat="false" ht="15" hidden="false" customHeight="true" outlineLevel="0" collapsed="false">
      <c r="A130" s="32" t="n">
        <v>46052</v>
      </c>
      <c r="B130" s="8" t="s">
        <v>450</v>
      </c>
      <c r="C130" s="8" t="s">
        <v>269</v>
      </c>
      <c r="D130" s="8" t="s">
        <v>451</v>
      </c>
      <c r="E130" s="9" t="n">
        <v>-1287.51</v>
      </c>
      <c r="F130" s="8" t="s">
        <v>14</v>
      </c>
    </row>
    <row r="131" customFormat="false" ht="15" hidden="false" customHeight="true" outlineLevel="0" collapsed="false">
      <c r="A131" s="32" t="n">
        <v>46052</v>
      </c>
      <c r="B131" s="8" t="s">
        <v>445</v>
      </c>
      <c r="C131" s="8" t="s">
        <v>326</v>
      </c>
      <c r="D131" s="8" t="s">
        <v>327</v>
      </c>
      <c r="E131" s="9" t="n">
        <v>-28.8</v>
      </c>
      <c r="F131" s="8" t="s">
        <v>25</v>
      </c>
    </row>
    <row r="132" customFormat="false" ht="15" hidden="false" customHeight="true" outlineLevel="0" collapsed="false">
      <c r="A132" s="32" t="n">
        <v>46052</v>
      </c>
      <c r="B132" s="8" t="s">
        <v>452</v>
      </c>
      <c r="C132" s="8" t="s">
        <v>253</v>
      </c>
      <c r="D132" s="8" t="s">
        <v>453</v>
      </c>
      <c r="E132" s="9" t="n">
        <v>-25.5</v>
      </c>
      <c r="F132" s="8" t="s">
        <v>18</v>
      </c>
    </row>
    <row r="133" customFormat="false" ht="15" hidden="false" customHeight="true" outlineLevel="0" collapsed="false">
      <c r="A133" s="32" t="n">
        <v>46052</v>
      </c>
      <c r="B133" s="8" t="s">
        <v>445</v>
      </c>
      <c r="C133" s="8" t="s">
        <v>308</v>
      </c>
      <c r="D133" s="8" t="s">
        <v>454</v>
      </c>
      <c r="E133" s="9" t="n">
        <v>-21.6</v>
      </c>
      <c r="F133" s="8" t="s">
        <v>25</v>
      </c>
    </row>
    <row r="134" customFormat="false" ht="15" hidden="false" customHeight="true" outlineLevel="0" collapsed="false">
      <c r="A134" s="32" t="n">
        <v>46052</v>
      </c>
      <c r="B134" s="8" t="s">
        <v>455</v>
      </c>
      <c r="C134" s="8" t="s">
        <v>269</v>
      </c>
      <c r="D134" s="8" t="s">
        <v>456</v>
      </c>
      <c r="E134" s="9" t="n">
        <v>-2465.38</v>
      </c>
      <c r="F134" s="8" t="s">
        <v>14</v>
      </c>
    </row>
    <row r="135" customFormat="false" ht="15" hidden="false" customHeight="true" outlineLevel="0" collapsed="false">
      <c r="A135" s="32" t="n">
        <v>46055</v>
      </c>
      <c r="B135" s="8" t="s">
        <v>457</v>
      </c>
      <c r="C135" s="8" t="s">
        <v>256</v>
      </c>
      <c r="D135" s="8" t="s">
        <v>272</v>
      </c>
      <c r="E135" s="9" t="n">
        <v>-1082.33</v>
      </c>
      <c r="F135" s="8" t="s">
        <v>21</v>
      </c>
    </row>
    <row r="136" customFormat="false" ht="15" hidden="false" customHeight="true" outlineLevel="0" collapsed="false">
      <c r="A136" s="32" t="n">
        <v>46055</v>
      </c>
      <c r="B136" s="8" t="s">
        <v>458</v>
      </c>
      <c r="C136" s="8" t="s">
        <v>256</v>
      </c>
      <c r="D136" s="8" t="s">
        <v>257</v>
      </c>
      <c r="E136" s="9" t="n">
        <v>-872.67</v>
      </c>
      <c r="F136" s="8" t="s">
        <v>17</v>
      </c>
    </row>
    <row r="137" customFormat="false" ht="15" hidden="false" customHeight="true" outlineLevel="0" collapsed="false">
      <c r="A137" s="32" t="n">
        <v>46055</v>
      </c>
      <c r="B137" s="8" t="s">
        <v>459</v>
      </c>
      <c r="C137" s="8" t="s">
        <v>253</v>
      </c>
      <c r="D137" s="8" t="s">
        <v>254</v>
      </c>
      <c r="E137" s="9" t="n">
        <v>-145.8</v>
      </c>
      <c r="F137" s="8" t="s">
        <v>20</v>
      </c>
    </row>
    <row r="138" customFormat="false" ht="15" hidden="false" customHeight="true" outlineLevel="0" collapsed="false">
      <c r="A138" s="32" t="n">
        <v>46056</v>
      </c>
      <c r="B138" s="8" t="s">
        <v>460</v>
      </c>
      <c r="C138" s="8" t="s">
        <v>253</v>
      </c>
      <c r="D138" s="8" t="s">
        <v>276</v>
      </c>
      <c r="E138" s="9" t="n">
        <v>-43</v>
      </c>
      <c r="F138" s="8" t="s">
        <v>18</v>
      </c>
    </row>
    <row r="139" customFormat="false" ht="15" hidden="false" customHeight="true" outlineLevel="0" collapsed="false">
      <c r="A139" s="32" t="n">
        <v>46056</v>
      </c>
      <c r="B139" s="8" t="s">
        <v>461</v>
      </c>
      <c r="C139" s="8" t="s">
        <v>253</v>
      </c>
      <c r="D139" s="8" t="s">
        <v>32</v>
      </c>
      <c r="E139" s="9" t="n">
        <v>-80</v>
      </c>
      <c r="F139" s="8" t="s">
        <v>17</v>
      </c>
    </row>
    <row r="140" customFormat="false" ht="15" hidden="false" customHeight="true" outlineLevel="0" collapsed="false">
      <c r="A140" s="32" t="n">
        <v>46056</v>
      </c>
      <c r="B140" s="8" t="s">
        <v>462</v>
      </c>
      <c r="C140" s="8" t="s">
        <v>253</v>
      </c>
      <c r="D140" s="8" t="s">
        <v>276</v>
      </c>
      <c r="E140" s="9" t="n">
        <v>-43</v>
      </c>
      <c r="F140" s="8" t="s">
        <v>18</v>
      </c>
    </row>
    <row r="141" customFormat="false" ht="15" hidden="false" customHeight="true" outlineLevel="0" collapsed="false">
      <c r="A141" s="32" t="n">
        <v>46057</v>
      </c>
      <c r="B141" s="8" t="s">
        <v>463</v>
      </c>
      <c r="C141" s="8" t="s">
        <v>300</v>
      </c>
      <c r="D141" s="8" t="s">
        <v>301</v>
      </c>
      <c r="E141" s="9" t="n">
        <v>-1.2</v>
      </c>
      <c r="F141" s="8" t="s">
        <v>25</v>
      </c>
    </row>
    <row r="142" customFormat="false" ht="15" hidden="false" customHeight="true" outlineLevel="0" collapsed="false">
      <c r="A142" s="32" t="n">
        <v>46057</v>
      </c>
      <c r="B142" s="8" t="s">
        <v>464</v>
      </c>
      <c r="C142" s="8" t="s">
        <v>256</v>
      </c>
      <c r="D142" s="8" t="s">
        <v>272</v>
      </c>
      <c r="E142" s="9" t="n">
        <v>-238.27</v>
      </c>
      <c r="F142" s="8" t="s">
        <v>21</v>
      </c>
    </row>
    <row r="143" customFormat="false" ht="15" hidden="false" customHeight="true" outlineLevel="0" collapsed="false">
      <c r="A143" s="32" t="n">
        <v>46057</v>
      </c>
      <c r="B143" s="8" t="s">
        <v>463</v>
      </c>
      <c r="C143" s="8" t="s">
        <v>266</v>
      </c>
      <c r="D143" s="8" t="s">
        <v>295</v>
      </c>
      <c r="E143" s="9" t="n">
        <v>19696.5</v>
      </c>
      <c r="F143" s="8" t="s">
        <v>261</v>
      </c>
    </row>
    <row r="144" customFormat="false" ht="15" hidden="false" customHeight="true" outlineLevel="0" collapsed="false">
      <c r="A144" s="32" t="n">
        <v>46057</v>
      </c>
      <c r="B144" s="8" t="s">
        <v>465</v>
      </c>
      <c r="C144" s="8" t="s">
        <v>253</v>
      </c>
      <c r="D144" s="8" t="s">
        <v>423</v>
      </c>
      <c r="E144" s="9" t="n">
        <v>-50.68</v>
      </c>
      <c r="F144" s="8" t="s">
        <v>17</v>
      </c>
    </row>
    <row r="145" customFormat="false" ht="15" hidden="false" customHeight="true" outlineLevel="0" collapsed="false">
      <c r="A145" s="32" t="n">
        <v>46057</v>
      </c>
      <c r="B145" s="8" t="s">
        <v>466</v>
      </c>
      <c r="C145" s="8" t="s">
        <v>253</v>
      </c>
      <c r="D145" s="8" t="s">
        <v>284</v>
      </c>
      <c r="E145" s="9" t="n">
        <v>-3.99</v>
      </c>
      <c r="F145" s="8" t="s">
        <v>20</v>
      </c>
    </row>
    <row r="146" customFormat="false" ht="15" hidden="false" customHeight="true" outlineLevel="0" collapsed="false">
      <c r="A146" s="32" t="n">
        <v>46057</v>
      </c>
      <c r="B146" s="8" t="s">
        <v>467</v>
      </c>
      <c r="C146" s="8" t="s">
        <v>253</v>
      </c>
      <c r="D146" s="8" t="s">
        <v>284</v>
      </c>
      <c r="E146" s="9" t="n">
        <v>-99</v>
      </c>
      <c r="F146" s="8" t="s">
        <v>20</v>
      </c>
    </row>
    <row r="147" customFormat="false" ht="15" hidden="false" customHeight="true" outlineLevel="0" collapsed="false">
      <c r="A147" s="32" t="n">
        <v>46057</v>
      </c>
      <c r="B147" s="8" t="s">
        <v>468</v>
      </c>
      <c r="C147" s="8" t="s">
        <v>253</v>
      </c>
      <c r="D147" s="8" t="s">
        <v>32</v>
      </c>
      <c r="E147" s="9" t="n">
        <v>-16.08</v>
      </c>
      <c r="F147" s="8" t="s">
        <v>17</v>
      </c>
    </row>
    <row r="148" customFormat="false" ht="15" hidden="false" customHeight="true" outlineLevel="0" collapsed="false">
      <c r="A148" s="32" t="n">
        <v>46057</v>
      </c>
      <c r="B148" s="8" t="s">
        <v>469</v>
      </c>
      <c r="C148" s="8" t="s">
        <v>259</v>
      </c>
      <c r="D148" s="8" t="s">
        <v>470</v>
      </c>
      <c r="E148" s="9" t="n">
        <v>2394</v>
      </c>
      <c r="F148" s="8" t="s">
        <v>261</v>
      </c>
    </row>
    <row r="149" customFormat="false" ht="15" hidden="false" customHeight="true" outlineLevel="0" collapsed="false">
      <c r="A149" s="32" t="n">
        <v>46058</v>
      </c>
      <c r="B149" s="8" t="s">
        <v>471</v>
      </c>
      <c r="C149" s="8" t="s">
        <v>253</v>
      </c>
      <c r="D149" s="8" t="s">
        <v>311</v>
      </c>
      <c r="E149" s="9" t="n">
        <v>-4</v>
      </c>
      <c r="F149" s="8" t="s">
        <v>17</v>
      </c>
    </row>
    <row r="150" customFormat="false" ht="15" hidden="false" customHeight="true" outlineLevel="0" collapsed="false">
      <c r="A150" s="32" t="n">
        <v>46058</v>
      </c>
      <c r="B150" s="8" t="s">
        <v>472</v>
      </c>
      <c r="C150" s="8" t="s">
        <v>259</v>
      </c>
      <c r="D150" s="8" t="s">
        <v>260</v>
      </c>
      <c r="E150" s="9" t="n">
        <v>117.94</v>
      </c>
      <c r="F150" s="8" t="s">
        <v>261</v>
      </c>
    </row>
    <row r="151" customFormat="false" ht="15" hidden="false" customHeight="true" outlineLevel="0" collapsed="false">
      <c r="A151" s="32" t="n">
        <v>46058</v>
      </c>
      <c r="B151" s="8" t="s">
        <v>473</v>
      </c>
      <c r="C151" s="8" t="s">
        <v>253</v>
      </c>
      <c r="D151" s="8" t="s">
        <v>362</v>
      </c>
      <c r="E151" s="9" t="n">
        <v>-10.7</v>
      </c>
      <c r="F151" s="8" t="s">
        <v>17</v>
      </c>
    </row>
    <row r="152" customFormat="false" ht="15" hidden="false" customHeight="true" outlineLevel="0" collapsed="false">
      <c r="A152" s="32" t="n">
        <v>46058</v>
      </c>
      <c r="B152" s="8" t="s">
        <v>474</v>
      </c>
      <c r="C152" s="8" t="s">
        <v>256</v>
      </c>
      <c r="D152" s="8" t="s">
        <v>475</v>
      </c>
      <c r="E152" s="9" t="n">
        <v>-83.33</v>
      </c>
      <c r="F152" s="8" t="s">
        <v>26</v>
      </c>
    </row>
    <row r="153" customFormat="false" ht="15" hidden="false" customHeight="true" outlineLevel="0" collapsed="false">
      <c r="A153" s="32" t="n">
        <v>46058</v>
      </c>
      <c r="B153" s="8" t="s">
        <v>476</v>
      </c>
      <c r="C153" s="8" t="s">
        <v>253</v>
      </c>
      <c r="D153" s="8" t="s">
        <v>311</v>
      </c>
      <c r="E153" s="9" t="n">
        <v>-1.7</v>
      </c>
      <c r="F153" s="8" t="s">
        <v>17</v>
      </c>
    </row>
    <row r="154" customFormat="false" ht="15" hidden="false" customHeight="true" outlineLevel="0" collapsed="false">
      <c r="A154" s="32" t="n">
        <v>46058</v>
      </c>
      <c r="B154" s="8" t="s">
        <v>477</v>
      </c>
      <c r="C154" s="8" t="s">
        <v>256</v>
      </c>
      <c r="D154" s="8" t="s">
        <v>274</v>
      </c>
      <c r="E154" s="9" t="n">
        <v>-0.36</v>
      </c>
      <c r="F154" s="8" t="s">
        <v>20</v>
      </c>
    </row>
    <row r="155" customFormat="false" ht="15" hidden="false" customHeight="true" outlineLevel="0" collapsed="false">
      <c r="A155" s="32" t="n">
        <v>46058</v>
      </c>
      <c r="B155" s="8" t="s">
        <v>478</v>
      </c>
      <c r="C155" s="8" t="s">
        <v>253</v>
      </c>
      <c r="D155" s="8" t="s">
        <v>378</v>
      </c>
      <c r="E155" s="9" t="n">
        <v>-77.16</v>
      </c>
      <c r="F155" s="8" t="s">
        <v>29</v>
      </c>
    </row>
    <row r="156" customFormat="false" ht="15" hidden="false" customHeight="true" outlineLevel="0" collapsed="false">
      <c r="A156" s="32" t="n">
        <v>46058</v>
      </c>
      <c r="B156" s="8" t="s">
        <v>479</v>
      </c>
      <c r="C156" s="8" t="s">
        <v>253</v>
      </c>
      <c r="D156" s="8" t="s">
        <v>362</v>
      </c>
      <c r="E156" s="9" t="n">
        <v>-10.7</v>
      </c>
      <c r="F156" s="8" t="s">
        <v>17</v>
      </c>
    </row>
    <row r="157" customFormat="false" ht="15" hidden="false" customHeight="true" outlineLevel="0" collapsed="false">
      <c r="A157" s="32" t="n">
        <v>46059</v>
      </c>
      <c r="B157" s="8" t="s">
        <v>480</v>
      </c>
      <c r="C157" s="8" t="s">
        <v>253</v>
      </c>
      <c r="D157" s="8" t="s">
        <v>481</v>
      </c>
      <c r="E157" s="9" t="n">
        <v>-12.4</v>
      </c>
      <c r="F157" s="8" t="s">
        <v>17</v>
      </c>
    </row>
    <row r="158" customFormat="false" ht="15" hidden="false" customHeight="true" outlineLevel="0" collapsed="false">
      <c r="A158" s="32" t="n">
        <v>46059</v>
      </c>
      <c r="B158" s="8" t="s">
        <v>482</v>
      </c>
      <c r="C158" s="8" t="s">
        <v>253</v>
      </c>
      <c r="D158" s="8" t="s">
        <v>290</v>
      </c>
      <c r="E158" s="9" t="n">
        <v>-76.02</v>
      </c>
      <c r="F158" s="8" t="s">
        <v>17</v>
      </c>
    </row>
    <row r="159" customFormat="false" ht="15" hidden="false" customHeight="true" outlineLevel="0" collapsed="false">
      <c r="A159" s="32" t="n">
        <v>46062</v>
      </c>
      <c r="B159" s="8" t="s">
        <v>483</v>
      </c>
      <c r="C159" s="8" t="s">
        <v>253</v>
      </c>
      <c r="D159" s="8" t="s">
        <v>288</v>
      </c>
      <c r="E159" s="9" t="n">
        <v>-33.15</v>
      </c>
      <c r="F159" s="8" t="s">
        <v>20</v>
      </c>
    </row>
    <row r="160" customFormat="false" ht="15" hidden="false" customHeight="true" outlineLevel="0" collapsed="false">
      <c r="A160" s="32" t="n">
        <v>46062</v>
      </c>
      <c r="B160" s="8" t="s">
        <v>484</v>
      </c>
      <c r="C160" s="8" t="s">
        <v>253</v>
      </c>
      <c r="D160" s="8" t="s">
        <v>485</v>
      </c>
      <c r="E160" s="9" t="n">
        <v>-8</v>
      </c>
      <c r="F160" s="8" t="s">
        <v>17</v>
      </c>
    </row>
    <row r="161" customFormat="false" ht="15" hidden="false" customHeight="true" outlineLevel="0" collapsed="false">
      <c r="A161" s="32" t="n">
        <v>46062</v>
      </c>
      <c r="B161" s="8" t="s">
        <v>483</v>
      </c>
      <c r="C161" s="8" t="s">
        <v>287</v>
      </c>
      <c r="D161" s="8" t="s">
        <v>288</v>
      </c>
      <c r="E161" s="9" t="n">
        <v>-0.49</v>
      </c>
      <c r="F161" s="8" t="s">
        <v>25</v>
      </c>
    </row>
    <row r="162" customFormat="false" ht="15" hidden="false" customHeight="true" outlineLevel="0" collapsed="false">
      <c r="A162" s="32" t="n">
        <v>46062</v>
      </c>
      <c r="B162" s="8" t="s">
        <v>486</v>
      </c>
      <c r="C162" s="8" t="s">
        <v>253</v>
      </c>
      <c r="D162" s="8" t="s">
        <v>282</v>
      </c>
      <c r="E162" s="9" t="n">
        <v>-36.27</v>
      </c>
      <c r="F162" s="8" t="s">
        <v>13</v>
      </c>
    </row>
    <row r="163" customFormat="false" ht="15" hidden="false" customHeight="true" outlineLevel="0" collapsed="false">
      <c r="A163" s="32" t="n">
        <v>46063</v>
      </c>
      <c r="B163" s="8" t="s">
        <v>487</v>
      </c>
      <c r="C163" s="8" t="s">
        <v>256</v>
      </c>
      <c r="D163" s="8" t="s">
        <v>306</v>
      </c>
      <c r="E163" s="9" t="n">
        <v>-78.46</v>
      </c>
      <c r="F163" s="8" t="s">
        <v>30</v>
      </c>
    </row>
    <row r="164" customFormat="false" ht="15" hidden="false" customHeight="true" outlineLevel="0" collapsed="false">
      <c r="A164" s="32" t="n">
        <v>46063</v>
      </c>
      <c r="B164" s="8" t="s">
        <v>488</v>
      </c>
      <c r="C164" s="8" t="s">
        <v>256</v>
      </c>
      <c r="D164" s="8" t="s">
        <v>475</v>
      </c>
      <c r="E164" s="9" t="n">
        <v>-132.17</v>
      </c>
      <c r="F164" s="8" t="s">
        <v>26</v>
      </c>
    </row>
    <row r="165" customFormat="false" ht="15" hidden="false" customHeight="true" outlineLevel="0" collapsed="false">
      <c r="A165" s="32" t="n">
        <v>46063</v>
      </c>
      <c r="B165" s="8" t="s">
        <v>489</v>
      </c>
      <c r="C165" s="8" t="s">
        <v>259</v>
      </c>
      <c r="D165" s="8" t="s">
        <v>260</v>
      </c>
      <c r="E165" s="9" t="n">
        <v>19.44</v>
      </c>
      <c r="F165" s="8" t="s">
        <v>261</v>
      </c>
    </row>
    <row r="166" customFormat="false" ht="15" hidden="false" customHeight="true" outlineLevel="0" collapsed="false">
      <c r="A166" s="32" t="n">
        <v>46063</v>
      </c>
      <c r="B166" s="8" t="s">
        <v>490</v>
      </c>
      <c r="C166" s="8" t="s">
        <v>256</v>
      </c>
      <c r="D166" s="8" t="s">
        <v>292</v>
      </c>
      <c r="E166" s="9" t="n">
        <v>-130.67</v>
      </c>
      <c r="F166" s="8" t="s">
        <v>26</v>
      </c>
    </row>
    <row r="167" customFormat="false" ht="15" hidden="false" customHeight="true" outlineLevel="0" collapsed="false">
      <c r="A167" s="32" t="n">
        <v>46063</v>
      </c>
      <c r="B167" s="8" t="s">
        <v>491</v>
      </c>
      <c r="C167" s="8" t="s">
        <v>256</v>
      </c>
      <c r="D167" s="8" t="s">
        <v>347</v>
      </c>
      <c r="E167" s="9" t="n">
        <v>-504</v>
      </c>
      <c r="F167" s="8" t="s">
        <v>23</v>
      </c>
    </row>
    <row r="168" customFormat="false" ht="15" hidden="false" customHeight="true" outlineLevel="0" collapsed="false">
      <c r="A168" s="32" t="n">
        <v>46064</v>
      </c>
      <c r="B168" s="8" t="s">
        <v>492</v>
      </c>
      <c r="C168" s="8" t="s">
        <v>253</v>
      </c>
      <c r="D168" s="8" t="s">
        <v>493</v>
      </c>
      <c r="E168" s="9" t="n">
        <v>-197.6</v>
      </c>
      <c r="F168" s="8" t="s">
        <v>18</v>
      </c>
    </row>
    <row r="169" customFormat="false" ht="15" hidden="false" customHeight="true" outlineLevel="0" collapsed="false">
      <c r="A169" s="32" t="n">
        <v>46064</v>
      </c>
      <c r="B169" s="8" t="s">
        <v>494</v>
      </c>
      <c r="C169" s="8" t="s">
        <v>253</v>
      </c>
      <c r="D169" s="8" t="s">
        <v>284</v>
      </c>
      <c r="E169" s="9" t="n">
        <v>-3.99</v>
      </c>
      <c r="F169" s="8" t="s">
        <v>20</v>
      </c>
    </row>
    <row r="170" customFormat="false" ht="15" hidden="false" customHeight="true" outlineLevel="0" collapsed="false">
      <c r="A170" s="32" t="n">
        <v>46065</v>
      </c>
      <c r="B170" s="8" t="s">
        <v>495</v>
      </c>
      <c r="C170" s="8" t="s">
        <v>253</v>
      </c>
      <c r="D170" s="8" t="s">
        <v>311</v>
      </c>
      <c r="E170" s="9" t="n">
        <v>-8</v>
      </c>
      <c r="F170" s="8" t="s">
        <v>17</v>
      </c>
    </row>
    <row r="171" customFormat="false" ht="15" hidden="false" customHeight="true" outlineLevel="0" collapsed="false">
      <c r="A171" s="32" t="n">
        <v>46065</v>
      </c>
      <c r="B171" s="8" t="s">
        <v>496</v>
      </c>
      <c r="C171" s="8" t="s">
        <v>253</v>
      </c>
      <c r="D171" s="8" t="s">
        <v>32</v>
      </c>
      <c r="E171" s="9" t="n">
        <v>-6</v>
      </c>
      <c r="F171" s="8" t="s">
        <v>17</v>
      </c>
    </row>
    <row r="172" customFormat="false" ht="15" hidden="false" customHeight="true" outlineLevel="0" collapsed="false">
      <c r="A172" s="32" t="n">
        <v>46065</v>
      </c>
      <c r="B172" s="8" t="s">
        <v>497</v>
      </c>
      <c r="C172" s="8" t="s">
        <v>253</v>
      </c>
      <c r="D172" s="8" t="s">
        <v>423</v>
      </c>
      <c r="E172" s="9" t="n">
        <v>-48.65</v>
      </c>
      <c r="F172" s="8" t="s">
        <v>17</v>
      </c>
    </row>
    <row r="173" customFormat="false" ht="15" hidden="false" customHeight="true" outlineLevel="0" collapsed="false">
      <c r="A173" s="32" t="n">
        <v>46065</v>
      </c>
      <c r="B173" s="8" t="s">
        <v>498</v>
      </c>
      <c r="C173" s="8" t="s">
        <v>256</v>
      </c>
      <c r="D173" s="8" t="s">
        <v>499</v>
      </c>
      <c r="E173" s="9" t="n">
        <v>-660</v>
      </c>
      <c r="F173" s="8" t="s">
        <v>23</v>
      </c>
    </row>
    <row r="174" customFormat="false" ht="15" hidden="false" customHeight="true" outlineLevel="0" collapsed="false">
      <c r="A174" s="32" t="n">
        <v>46065</v>
      </c>
      <c r="B174" s="8" t="s">
        <v>500</v>
      </c>
      <c r="C174" s="8" t="s">
        <v>253</v>
      </c>
      <c r="D174" s="8" t="s">
        <v>311</v>
      </c>
      <c r="E174" s="9" t="n">
        <v>-8</v>
      </c>
      <c r="F174" s="8" t="s">
        <v>17</v>
      </c>
    </row>
    <row r="175" customFormat="false" ht="15" hidden="false" customHeight="true" outlineLevel="0" collapsed="false">
      <c r="A175" s="32" t="n">
        <v>46066</v>
      </c>
      <c r="B175" s="8" t="s">
        <v>501</v>
      </c>
      <c r="C175" s="8" t="s">
        <v>326</v>
      </c>
      <c r="D175" s="8" t="s">
        <v>327</v>
      </c>
      <c r="E175" s="9" t="n">
        <v>-28.8</v>
      </c>
      <c r="F175" s="8" t="s">
        <v>25</v>
      </c>
    </row>
    <row r="176" customFormat="false" ht="15" hidden="false" customHeight="true" outlineLevel="0" collapsed="false">
      <c r="A176" s="32" t="n">
        <v>46066</v>
      </c>
      <c r="B176" s="8" t="s">
        <v>501</v>
      </c>
      <c r="C176" s="8" t="s">
        <v>308</v>
      </c>
      <c r="D176" s="8" t="s">
        <v>454</v>
      </c>
      <c r="E176" s="9" t="n">
        <v>-21.6</v>
      </c>
      <c r="F176" s="8" t="s">
        <v>25</v>
      </c>
    </row>
    <row r="177" customFormat="false" ht="15" hidden="false" customHeight="true" outlineLevel="0" collapsed="false">
      <c r="A177" s="32" t="n">
        <v>46066</v>
      </c>
      <c r="B177" s="8" t="s">
        <v>501</v>
      </c>
      <c r="C177" s="8" t="s">
        <v>300</v>
      </c>
      <c r="D177" s="8" t="s">
        <v>301</v>
      </c>
      <c r="E177" s="9" t="n">
        <v>-1.2</v>
      </c>
      <c r="F177" s="8" t="s">
        <v>25</v>
      </c>
    </row>
    <row r="178" customFormat="false" ht="15" hidden="false" customHeight="true" outlineLevel="0" collapsed="false">
      <c r="A178" s="32" t="n">
        <v>46066</v>
      </c>
      <c r="B178" s="8" t="s">
        <v>502</v>
      </c>
      <c r="C178" s="8" t="s">
        <v>324</v>
      </c>
      <c r="D178" s="8" t="s">
        <v>503</v>
      </c>
      <c r="E178" s="9" t="n">
        <v>-715.69</v>
      </c>
      <c r="F178" s="8" t="s">
        <v>12</v>
      </c>
    </row>
    <row r="179" customFormat="false" ht="15" hidden="false" customHeight="true" outlineLevel="0" collapsed="false">
      <c r="A179" s="32" t="n">
        <v>46066</v>
      </c>
      <c r="B179" s="8" t="s">
        <v>502</v>
      </c>
      <c r="C179" s="8" t="s">
        <v>326</v>
      </c>
      <c r="D179" s="8" t="s">
        <v>327</v>
      </c>
      <c r="E179" s="9" t="n">
        <v>-28.8</v>
      </c>
      <c r="F179" s="8" t="s">
        <v>25</v>
      </c>
    </row>
    <row r="180" customFormat="false" ht="15" hidden="false" customHeight="true" outlineLevel="0" collapsed="false">
      <c r="A180" s="32" t="n">
        <v>46066</v>
      </c>
      <c r="B180" s="8" t="s">
        <v>502</v>
      </c>
      <c r="C180" s="8" t="s">
        <v>300</v>
      </c>
      <c r="D180" s="8" t="s">
        <v>301</v>
      </c>
      <c r="E180" s="9" t="n">
        <v>-1.2</v>
      </c>
      <c r="F180" s="8" t="s">
        <v>25</v>
      </c>
    </row>
    <row r="181" customFormat="false" ht="15" hidden="false" customHeight="true" outlineLevel="0" collapsed="false">
      <c r="A181" s="32" t="n">
        <v>46066</v>
      </c>
      <c r="B181" s="8" t="s">
        <v>501</v>
      </c>
      <c r="C181" s="8" t="s">
        <v>330</v>
      </c>
      <c r="D181" s="8"/>
      <c r="E181" s="9" t="n">
        <v>-21.5</v>
      </c>
      <c r="F181" s="8" t="s">
        <v>25</v>
      </c>
    </row>
    <row r="182" customFormat="false" ht="15" hidden="false" customHeight="true" outlineLevel="0" collapsed="false">
      <c r="A182" s="32" t="n">
        <v>46066</v>
      </c>
      <c r="B182" s="8" t="s">
        <v>502</v>
      </c>
      <c r="C182" s="8" t="s">
        <v>330</v>
      </c>
      <c r="D182" s="8"/>
      <c r="E182" s="9" t="n">
        <v>-17</v>
      </c>
      <c r="F182" s="8" t="s">
        <v>25</v>
      </c>
    </row>
    <row r="183" customFormat="false" ht="15" hidden="false" customHeight="true" outlineLevel="0" collapsed="false">
      <c r="A183" s="32" t="n">
        <v>46066</v>
      </c>
      <c r="B183" s="8" t="s">
        <v>501</v>
      </c>
      <c r="C183" s="8" t="s">
        <v>324</v>
      </c>
      <c r="D183" s="8" t="s">
        <v>446</v>
      </c>
      <c r="E183" s="9" t="n">
        <v>-5039.62</v>
      </c>
      <c r="F183" s="8" t="s">
        <v>12</v>
      </c>
    </row>
    <row r="184" customFormat="false" ht="15" hidden="false" customHeight="true" outlineLevel="0" collapsed="false">
      <c r="A184" s="32" t="n">
        <v>46066</v>
      </c>
      <c r="B184" s="8" t="s">
        <v>502</v>
      </c>
      <c r="C184" s="8" t="s">
        <v>308</v>
      </c>
      <c r="D184" s="8" t="s">
        <v>309</v>
      </c>
      <c r="E184" s="9" t="n">
        <v>-15.6</v>
      </c>
      <c r="F184" s="8" t="s">
        <v>25</v>
      </c>
    </row>
    <row r="185" customFormat="false" ht="15" hidden="false" customHeight="true" outlineLevel="0" collapsed="false">
      <c r="A185" s="32" t="n">
        <v>46069</v>
      </c>
      <c r="B185" s="8" t="s">
        <v>504</v>
      </c>
      <c r="C185" s="8" t="s">
        <v>256</v>
      </c>
      <c r="D185" s="8" t="s">
        <v>350</v>
      </c>
      <c r="E185" s="9" t="n">
        <v>-162.54</v>
      </c>
      <c r="F185" s="8" t="s">
        <v>20</v>
      </c>
    </row>
    <row r="186" customFormat="false" ht="15" hidden="false" customHeight="true" outlineLevel="0" collapsed="false">
      <c r="A186" s="32" t="n">
        <v>46069</v>
      </c>
      <c r="B186" s="8" t="s">
        <v>505</v>
      </c>
      <c r="C186" s="8" t="s">
        <v>253</v>
      </c>
      <c r="D186" s="8" t="s">
        <v>284</v>
      </c>
      <c r="E186" s="9" t="n">
        <v>-22.99</v>
      </c>
      <c r="F186" s="8" t="s">
        <v>20</v>
      </c>
    </row>
    <row r="187" customFormat="false" ht="15" hidden="false" customHeight="true" outlineLevel="0" collapsed="false">
      <c r="A187" s="32" t="n">
        <v>46069</v>
      </c>
      <c r="B187" s="8" t="s">
        <v>506</v>
      </c>
      <c r="C187" s="8" t="s">
        <v>344</v>
      </c>
      <c r="D187" s="8" t="s">
        <v>345</v>
      </c>
      <c r="E187" s="9" t="n">
        <v>-49.35</v>
      </c>
      <c r="F187" s="8" t="s">
        <v>25</v>
      </c>
    </row>
    <row r="188" customFormat="false" ht="15" hidden="false" customHeight="true" outlineLevel="0" collapsed="false">
      <c r="A188" s="32" t="n">
        <v>46069</v>
      </c>
      <c r="B188" s="8" t="s">
        <v>298</v>
      </c>
      <c r="C188" s="8" t="s">
        <v>353</v>
      </c>
      <c r="D188" s="8"/>
      <c r="E188" s="9" t="n">
        <v>-7.69</v>
      </c>
      <c r="F188" s="8" t="s">
        <v>25</v>
      </c>
    </row>
    <row r="189" customFormat="false" ht="15" hidden="false" customHeight="true" outlineLevel="0" collapsed="false">
      <c r="A189" s="32" t="n">
        <v>46069</v>
      </c>
      <c r="B189" s="8" t="s">
        <v>507</v>
      </c>
      <c r="C189" s="8" t="s">
        <v>253</v>
      </c>
      <c r="D189" s="8" t="s">
        <v>508</v>
      </c>
      <c r="E189" s="9" t="n">
        <v>-3.2</v>
      </c>
      <c r="F189" s="8" t="s">
        <v>17</v>
      </c>
    </row>
    <row r="190" customFormat="false" ht="15" hidden="false" customHeight="true" outlineLevel="0" collapsed="false">
      <c r="A190" s="32" t="n">
        <v>46069</v>
      </c>
      <c r="B190" s="8" t="s">
        <v>507</v>
      </c>
      <c r="C190" s="8" t="s">
        <v>253</v>
      </c>
      <c r="D190" s="8" t="s">
        <v>508</v>
      </c>
      <c r="E190" s="9" t="n">
        <v>-75.09</v>
      </c>
      <c r="F190" s="8" t="s">
        <v>17</v>
      </c>
    </row>
    <row r="191" customFormat="false" ht="15" hidden="false" customHeight="true" outlineLevel="0" collapsed="false">
      <c r="A191" s="32" t="n">
        <v>46070</v>
      </c>
      <c r="B191" s="8" t="s">
        <v>509</v>
      </c>
      <c r="C191" s="8" t="s">
        <v>256</v>
      </c>
      <c r="D191" s="8" t="s">
        <v>364</v>
      </c>
      <c r="E191" s="9" t="n">
        <v>-2867</v>
      </c>
      <c r="F191" s="8" t="s">
        <v>15</v>
      </c>
    </row>
    <row r="192" customFormat="false" ht="15" hidden="false" customHeight="true" outlineLevel="0" collapsed="false">
      <c r="A192" s="32" t="n">
        <v>46070</v>
      </c>
      <c r="B192" s="8" t="s">
        <v>510</v>
      </c>
      <c r="C192" s="8" t="s">
        <v>253</v>
      </c>
      <c r="D192" s="8" t="s">
        <v>32</v>
      </c>
      <c r="E192" s="9" t="n">
        <v>-50</v>
      </c>
      <c r="F192" s="8" t="s">
        <v>17</v>
      </c>
    </row>
    <row r="193" customFormat="false" ht="15" hidden="false" customHeight="true" outlineLevel="0" collapsed="false">
      <c r="A193" s="32" t="n">
        <v>46071</v>
      </c>
      <c r="B193" s="8" t="s">
        <v>511</v>
      </c>
      <c r="C193" s="8" t="s">
        <v>253</v>
      </c>
      <c r="D193" s="8" t="s">
        <v>350</v>
      </c>
      <c r="E193" s="9" t="n">
        <v>-109</v>
      </c>
      <c r="F193" s="8" t="s">
        <v>20</v>
      </c>
    </row>
    <row r="194" customFormat="false" ht="15" hidden="false" customHeight="true" outlineLevel="0" collapsed="false">
      <c r="A194" s="32" t="n">
        <v>46071</v>
      </c>
      <c r="B194" s="8" t="s">
        <v>512</v>
      </c>
      <c r="C194" s="8" t="s">
        <v>253</v>
      </c>
      <c r="D194" s="8" t="s">
        <v>284</v>
      </c>
      <c r="E194" s="9" t="n">
        <v>-3.99</v>
      </c>
      <c r="F194" s="8" t="s">
        <v>20</v>
      </c>
    </row>
    <row r="195" customFormat="false" ht="15" hidden="false" customHeight="true" outlineLevel="0" collapsed="false">
      <c r="A195" s="32" t="n">
        <v>46071</v>
      </c>
      <c r="B195" s="8" t="s">
        <v>513</v>
      </c>
      <c r="C195" s="8" t="s">
        <v>253</v>
      </c>
      <c r="D195" s="8" t="s">
        <v>514</v>
      </c>
      <c r="E195" s="9" t="n">
        <v>-40.28</v>
      </c>
      <c r="F195" s="8" t="s">
        <v>24</v>
      </c>
    </row>
    <row r="196" customFormat="false" ht="15" hidden="false" customHeight="true" outlineLevel="0" collapsed="false">
      <c r="A196" s="32" t="n">
        <v>46072</v>
      </c>
      <c r="B196" s="8" t="s">
        <v>515</v>
      </c>
      <c r="C196" s="8" t="s">
        <v>253</v>
      </c>
      <c r="D196" s="8" t="s">
        <v>423</v>
      </c>
      <c r="E196" s="9" t="n">
        <v>-50.09</v>
      </c>
      <c r="F196" s="8" t="s">
        <v>17</v>
      </c>
    </row>
    <row r="197" customFormat="false" ht="15" hidden="false" customHeight="true" outlineLevel="0" collapsed="false">
      <c r="A197" s="32" t="n">
        <v>46076</v>
      </c>
      <c r="B197" s="8" t="s">
        <v>516</v>
      </c>
      <c r="C197" s="8" t="s">
        <v>253</v>
      </c>
      <c r="D197" s="8" t="s">
        <v>517</v>
      </c>
      <c r="E197" s="9" t="n">
        <v>-36.49</v>
      </c>
      <c r="F197" s="8" t="s">
        <v>24</v>
      </c>
    </row>
    <row r="198" customFormat="false" ht="15" hidden="false" customHeight="true" outlineLevel="0" collapsed="false">
      <c r="A198" s="32" t="n">
        <v>46077</v>
      </c>
      <c r="B198" s="8" t="s">
        <v>518</v>
      </c>
      <c r="C198" s="8" t="s">
        <v>253</v>
      </c>
      <c r="D198" s="8" t="s">
        <v>517</v>
      </c>
      <c r="E198" s="9" t="n">
        <v>-69.98</v>
      </c>
      <c r="F198" s="8" t="s">
        <v>24</v>
      </c>
    </row>
    <row r="199" customFormat="false" ht="15" hidden="false" customHeight="true" outlineLevel="0" collapsed="false">
      <c r="A199" s="32" t="n">
        <v>46077</v>
      </c>
      <c r="B199" s="8" t="s">
        <v>519</v>
      </c>
      <c r="C199" s="8" t="s">
        <v>256</v>
      </c>
      <c r="D199" s="8" t="s">
        <v>364</v>
      </c>
      <c r="E199" s="9" t="n">
        <v>-94</v>
      </c>
      <c r="F199" s="8" t="s">
        <v>15</v>
      </c>
    </row>
    <row r="200" customFormat="false" ht="15" hidden="false" customHeight="true" outlineLevel="0" collapsed="false">
      <c r="A200" s="32" t="n">
        <v>46077</v>
      </c>
      <c r="B200" s="8" t="s">
        <v>518</v>
      </c>
      <c r="C200" s="8" t="s">
        <v>253</v>
      </c>
      <c r="D200" s="8" t="s">
        <v>517</v>
      </c>
      <c r="E200" s="9" t="n">
        <v>-38</v>
      </c>
      <c r="F200" s="8" t="s">
        <v>24</v>
      </c>
    </row>
    <row r="201" customFormat="false" ht="15" hidden="false" customHeight="true" outlineLevel="0" collapsed="false">
      <c r="A201" s="32" t="n">
        <v>46077</v>
      </c>
      <c r="B201" s="8" t="s">
        <v>520</v>
      </c>
      <c r="C201" s="8" t="s">
        <v>402</v>
      </c>
      <c r="D201" s="8" t="s">
        <v>403</v>
      </c>
      <c r="E201" s="9" t="n">
        <v>-236</v>
      </c>
      <c r="F201" s="8" t="s">
        <v>15</v>
      </c>
    </row>
    <row r="202" customFormat="false" ht="15" hidden="false" customHeight="true" outlineLevel="0" collapsed="false">
      <c r="A202" s="32" t="n">
        <v>46078</v>
      </c>
      <c r="B202" s="8" t="s">
        <v>521</v>
      </c>
      <c r="C202" s="8" t="s">
        <v>253</v>
      </c>
      <c r="D202" s="8" t="s">
        <v>32</v>
      </c>
      <c r="E202" s="9" t="n">
        <v>-67.58</v>
      </c>
      <c r="F202" s="8" t="s">
        <v>17</v>
      </c>
    </row>
    <row r="203" customFormat="false" ht="15" hidden="false" customHeight="true" outlineLevel="0" collapsed="false">
      <c r="A203" s="32" t="n">
        <v>46078</v>
      </c>
      <c r="B203" s="8" t="s">
        <v>522</v>
      </c>
      <c r="C203" s="8" t="s">
        <v>256</v>
      </c>
      <c r="D203" s="8" t="s">
        <v>350</v>
      </c>
      <c r="E203" s="9" t="n">
        <v>-431.95</v>
      </c>
      <c r="F203" s="8" t="s">
        <v>20</v>
      </c>
    </row>
    <row r="204" customFormat="false" ht="15" hidden="false" customHeight="true" outlineLevel="0" collapsed="false">
      <c r="A204" s="32" t="n">
        <v>46078</v>
      </c>
      <c r="B204" s="8" t="s">
        <v>523</v>
      </c>
      <c r="C204" s="8" t="s">
        <v>269</v>
      </c>
      <c r="D204" s="8" t="s">
        <v>393</v>
      </c>
      <c r="E204" s="9" t="n">
        <v>-4860</v>
      </c>
      <c r="F204" s="8" t="s">
        <v>10</v>
      </c>
    </row>
    <row r="205" customFormat="false" ht="15" hidden="false" customHeight="true" outlineLevel="0" collapsed="false">
      <c r="A205" s="32" t="n">
        <v>46078</v>
      </c>
      <c r="B205" s="8" t="s">
        <v>524</v>
      </c>
      <c r="C205" s="8" t="s">
        <v>269</v>
      </c>
      <c r="D205" s="8" t="s">
        <v>323</v>
      </c>
      <c r="E205" s="9" t="n">
        <v>-190</v>
      </c>
      <c r="F205" s="8" t="s">
        <v>13</v>
      </c>
    </row>
    <row r="206" customFormat="false" ht="15" hidden="false" customHeight="true" outlineLevel="0" collapsed="false">
      <c r="A206" s="32" t="n">
        <v>46078</v>
      </c>
      <c r="B206" s="8" t="s">
        <v>525</v>
      </c>
      <c r="C206" s="8" t="s">
        <v>256</v>
      </c>
      <c r="D206" s="8" t="s">
        <v>428</v>
      </c>
      <c r="E206" s="9" t="n">
        <v>-552.44</v>
      </c>
      <c r="F206" s="8" t="s">
        <v>15</v>
      </c>
    </row>
    <row r="207" customFormat="false" ht="15" hidden="false" customHeight="true" outlineLevel="0" collapsed="false">
      <c r="A207" s="32" t="n">
        <v>46078</v>
      </c>
      <c r="B207" s="8" t="s">
        <v>526</v>
      </c>
      <c r="C207" s="8" t="s">
        <v>253</v>
      </c>
      <c r="D207" s="8" t="s">
        <v>32</v>
      </c>
      <c r="E207" s="9" t="n">
        <v>-72.01</v>
      </c>
      <c r="F207" s="8" t="s">
        <v>17</v>
      </c>
    </row>
    <row r="208" customFormat="false" ht="15" hidden="false" customHeight="true" outlineLevel="0" collapsed="false">
      <c r="A208" s="32" t="n">
        <v>46078</v>
      </c>
      <c r="B208" s="8" t="s">
        <v>527</v>
      </c>
      <c r="C208" s="8" t="s">
        <v>253</v>
      </c>
      <c r="D208" s="8" t="s">
        <v>284</v>
      </c>
      <c r="E208" s="9" t="n">
        <v>-3.99</v>
      </c>
      <c r="F208" s="8" t="s">
        <v>20</v>
      </c>
    </row>
    <row r="209" customFormat="false" ht="15" hidden="false" customHeight="true" outlineLevel="0" collapsed="false">
      <c r="A209" s="32" t="n">
        <v>46079</v>
      </c>
      <c r="B209" s="8" t="s">
        <v>528</v>
      </c>
      <c r="C209" s="8" t="s">
        <v>529</v>
      </c>
      <c r="D209" s="8" t="s">
        <v>530</v>
      </c>
      <c r="E209" s="9" t="n">
        <v>-14.64</v>
      </c>
      <c r="F209" s="8" t="s">
        <v>25</v>
      </c>
    </row>
    <row r="210" customFormat="false" ht="15" hidden="false" customHeight="true" outlineLevel="0" collapsed="false">
      <c r="A210" s="32" t="n">
        <v>46079</v>
      </c>
      <c r="B210" s="8" t="s">
        <v>528</v>
      </c>
      <c r="C210" s="8" t="s">
        <v>266</v>
      </c>
      <c r="D210" s="8" t="s">
        <v>295</v>
      </c>
      <c r="E210" s="9" t="n">
        <v>36272.2</v>
      </c>
      <c r="F210" s="8" t="s">
        <v>261</v>
      </c>
    </row>
    <row r="211" customFormat="false" ht="15" hidden="false" customHeight="true" outlineLevel="0" collapsed="false">
      <c r="A211" s="32" t="n">
        <v>46079</v>
      </c>
      <c r="B211" s="8" t="s">
        <v>531</v>
      </c>
      <c r="C211" s="8" t="s">
        <v>253</v>
      </c>
      <c r="D211" s="8" t="s">
        <v>414</v>
      </c>
      <c r="E211" s="9" t="n">
        <v>-10.7</v>
      </c>
      <c r="F211" s="8" t="s">
        <v>17</v>
      </c>
    </row>
    <row r="212" customFormat="false" ht="15" hidden="false" customHeight="true" outlineLevel="0" collapsed="false">
      <c r="A212" s="32" t="n">
        <v>46079</v>
      </c>
      <c r="B212" s="8" t="s">
        <v>528</v>
      </c>
      <c r="C212" s="8" t="s">
        <v>300</v>
      </c>
      <c r="D212" s="8" t="s">
        <v>301</v>
      </c>
      <c r="E212" s="9" t="n">
        <v>-1.2</v>
      </c>
      <c r="F212" s="8" t="s">
        <v>25</v>
      </c>
    </row>
    <row r="213" customFormat="false" ht="15" hidden="false" customHeight="true" outlineLevel="0" collapsed="false">
      <c r="A213" s="32" t="n">
        <v>46079</v>
      </c>
      <c r="B213" s="8" t="s">
        <v>532</v>
      </c>
      <c r="C213" s="8" t="s">
        <v>253</v>
      </c>
      <c r="D213" s="8" t="s">
        <v>362</v>
      </c>
      <c r="E213" s="9" t="n">
        <v>-10.7</v>
      </c>
      <c r="F213" s="8" t="s">
        <v>17</v>
      </c>
    </row>
    <row r="214" customFormat="false" ht="15" hidden="false" customHeight="true" outlineLevel="0" collapsed="false">
      <c r="A214" s="32" t="n">
        <v>46079</v>
      </c>
      <c r="B214" s="8" t="s">
        <v>533</v>
      </c>
      <c r="C214" s="8" t="s">
        <v>280</v>
      </c>
      <c r="D214" s="8" t="s">
        <v>534</v>
      </c>
      <c r="E214" s="9" t="n">
        <v>-415</v>
      </c>
      <c r="F214" s="8" t="s">
        <v>18</v>
      </c>
    </row>
    <row r="215" customFormat="false" ht="15" hidden="false" customHeight="true" outlineLevel="0" collapsed="false">
      <c r="A215" s="32" t="n">
        <v>46080</v>
      </c>
      <c r="B215" s="8" t="s">
        <v>535</v>
      </c>
      <c r="C215" s="8" t="s">
        <v>269</v>
      </c>
      <c r="D215" s="8" t="s">
        <v>317</v>
      </c>
      <c r="E215" s="9" t="n">
        <v>-13638</v>
      </c>
      <c r="F215" s="8" t="s">
        <v>10</v>
      </c>
    </row>
    <row r="216" customFormat="false" ht="15" hidden="false" customHeight="true" outlineLevel="0" collapsed="false">
      <c r="A216" s="32" t="n">
        <v>46080</v>
      </c>
      <c r="B216" s="8" t="s">
        <v>536</v>
      </c>
      <c r="C216" s="8" t="s">
        <v>280</v>
      </c>
      <c r="D216" s="8" t="s">
        <v>270</v>
      </c>
      <c r="E216" s="9" t="n">
        <v>-1000</v>
      </c>
      <c r="F216" s="8" t="s">
        <v>16</v>
      </c>
    </row>
    <row r="217" customFormat="false" ht="15" hidden="false" customHeight="true" outlineLevel="0" collapsed="false">
      <c r="A217" s="32" t="n">
        <v>46080</v>
      </c>
      <c r="B217" s="8" t="s">
        <v>537</v>
      </c>
      <c r="C217" s="8" t="s">
        <v>269</v>
      </c>
      <c r="D217" s="8" t="s">
        <v>456</v>
      </c>
      <c r="E217" s="9" t="n">
        <v>-2465.38</v>
      </c>
      <c r="F217" s="8" t="s">
        <v>14</v>
      </c>
    </row>
    <row r="218" customFormat="false" ht="15" hidden="false" customHeight="true" outlineLevel="0" collapsed="false">
      <c r="A218" s="32" t="n">
        <v>46080</v>
      </c>
      <c r="B218" s="8" t="s">
        <v>538</v>
      </c>
      <c r="C218" s="8" t="s">
        <v>269</v>
      </c>
      <c r="D218" s="8" t="s">
        <v>315</v>
      </c>
      <c r="E218" s="9" t="n">
        <v>-5639.86</v>
      </c>
      <c r="F218" s="8" t="s">
        <v>11</v>
      </c>
    </row>
    <row r="219" customFormat="false" ht="15" hidden="false" customHeight="true" outlineLevel="0" collapsed="false">
      <c r="A219" s="32" t="n">
        <v>46080</v>
      </c>
      <c r="B219" s="8" t="s">
        <v>539</v>
      </c>
      <c r="C219" s="8" t="s">
        <v>269</v>
      </c>
      <c r="D219" s="8" t="s">
        <v>451</v>
      </c>
      <c r="E219" s="9" t="n">
        <v>-1284.87</v>
      </c>
      <c r="F219" s="8" t="s">
        <v>14</v>
      </c>
    </row>
    <row r="220" customFormat="false" ht="15" hidden="false" customHeight="true" outlineLevel="0" collapsed="false">
      <c r="A220" s="32" t="n">
        <v>46080</v>
      </c>
      <c r="B220" s="8" t="s">
        <v>540</v>
      </c>
      <c r="C220" s="8" t="s">
        <v>269</v>
      </c>
      <c r="D220" s="8" t="s">
        <v>323</v>
      </c>
      <c r="E220" s="9" t="n">
        <v>-5761.2</v>
      </c>
      <c r="F220" s="8" t="s">
        <v>13</v>
      </c>
    </row>
    <row r="221" customFormat="false" ht="15" hidden="false" customHeight="true" outlineLevel="0" collapsed="false">
      <c r="A221" s="32" t="n">
        <v>46080</v>
      </c>
      <c r="B221" s="8" t="s">
        <v>541</v>
      </c>
      <c r="C221" s="8" t="s">
        <v>269</v>
      </c>
      <c r="D221" s="8" t="s">
        <v>542</v>
      </c>
      <c r="E221" s="9" t="n">
        <v>-190</v>
      </c>
      <c r="F221" s="8" t="s">
        <v>18</v>
      </c>
    </row>
    <row r="222" customFormat="false" ht="15" hidden="false" customHeight="true" outlineLevel="0" collapsed="false">
      <c r="A222" s="32" t="n">
        <v>46080</v>
      </c>
      <c r="B222" s="8" t="s">
        <v>543</v>
      </c>
      <c r="C222" s="8" t="s">
        <v>253</v>
      </c>
      <c r="D222" s="8" t="s">
        <v>544</v>
      </c>
      <c r="E222" s="9" t="n">
        <v>-6.99</v>
      </c>
      <c r="F222" s="8" t="s">
        <v>24</v>
      </c>
    </row>
    <row r="223" customFormat="false" ht="15" hidden="false" customHeight="true" outlineLevel="0" collapsed="false">
      <c r="A223" s="32" t="n">
        <v>46080</v>
      </c>
      <c r="B223" s="8" t="s">
        <v>545</v>
      </c>
      <c r="C223" s="8" t="s">
        <v>256</v>
      </c>
      <c r="D223" s="8" t="s">
        <v>432</v>
      </c>
      <c r="E223" s="9" t="n">
        <v>-15.95</v>
      </c>
      <c r="F223" s="8" t="s">
        <v>17</v>
      </c>
    </row>
    <row r="224" customFormat="false" ht="15" hidden="false" customHeight="true" outlineLevel="0" collapsed="false">
      <c r="A224" s="32" t="n">
        <v>46080</v>
      </c>
      <c r="B224" s="8" t="s">
        <v>546</v>
      </c>
      <c r="C224" s="8" t="s">
        <v>269</v>
      </c>
      <c r="D224" s="8" t="s">
        <v>449</v>
      </c>
      <c r="E224" s="9" t="n">
        <v>-1233.82</v>
      </c>
      <c r="F224" s="8" t="s">
        <v>14</v>
      </c>
    </row>
    <row r="225" customFormat="false" ht="15" hidden="false" customHeight="true" outlineLevel="0" collapsed="false">
      <c r="A225" s="32" t="n">
        <v>46080</v>
      </c>
      <c r="B225" s="8" t="s">
        <v>545</v>
      </c>
      <c r="C225" s="8" t="s">
        <v>256</v>
      </c>
      <c r="D225" s="8" t="s">
        <v>547</v>
      </c>
      <c r="E225" s="9" t="n">
        <v>-54.76</v>
      </c>
      <c r="F225" s="8" t="s">
        <v>13</v>
      </c>
    </row>
    <row r="226" customFormat="false" ht="15" hidden="false" customHeight="true" outlineLevel="0" collapsed="false">
      <c r="A226" s="32" t="n">
        <v>46080</v>
      </c>
      <c r="B226" s="8" t="s">
        <v>548</v>
      </c>
      <c r="C226" s="8" t="s">
        <v>269</v>
      </c>
      <c r="D226" s="8" t="s">
        <v>333</v>
      </c>
      <c r="E226" s="9" t="n">
        <v>-1119.9</v>
      </c>
      <c r="F226" s="8" t="s">
        <v>18</v>
      </c>
    </row>
    <row r="227" customFormat="false" ht="15" hidden="false" customHeight="true" outlineLevel="0" collapsed="false">
      <c r="A227" s="32" t="n">
        <v>46080</v>
      </c>
      <c r="B227" s="8" t="s">
        <v>549</v>
      </c>
      <c r="C227" s="8" t="s">
        <v>269</v>
      </c>
      <c r="D227" s="8" t="s">
        <v>270</v>
      </c>
      <c r="E227" s="9" t="n">
        <v>-2600</v>
      </c>
      <c r="F227" s="8" t="s">
        <v>16</v>
      </c>
    </row>
    <row r="228" customFormat="false" ht="15" hidden="false" customHeight="true" outlineLevel="0" collapsed="false">
      <c r="A228" s="32" t="n">
        <v>46083</v>
      </c>
      <c r="B228" s="8" t="s">
        <v>550</v>
      </c>
      <c r="C228" s="8" t="s">
        <v>256</v>
      </c>
      <c r="D228" s="8" t="s">
        <v>257</v>
      </c>
      <c r="E228" s="9" t="n">
        <v>-872.67</v>
      </c>
      <c r="F228" s="8" t="s">
        <v>17</v>
      </c>
    </row>
    <row r="229" customFormat="false" ht="15" hidden="false" customHeight="true" outlineLevel="0" collapsed="false">
      <c r="A229" s="32" t="n">
        <v>46083</v>
      </c>
      <c r="B229" s="8" t="s">
        <v>551</v>
      </c>
      <c r="C229" s="8" t="s">
        <v>253</v>
      </c>
      <c r="D229" s="8" t="s">
        <v>32</v>
      </c>
      <c r="E229" s="9" t="n">
        <v>-13.5</v>
      </c>
      <c r="F229" s="8" t="s">
        <v>17</v>
      </c>
    </row>
    <row r="230" customFormat="false" ht="15" hidden="false" customHeight="true" outlineLevel="0" collapsed="false">
      <c r="A230" s="32" t="n">
        <v>46083</v>
      </c>
      <c r="B230" s="8" t="s">
        <v>552</v>
      </c>
      <c r="C230" s="8" t="s">
        <v>253</v>
      </c>
      <c r="D230" s="8" t="s">
        <v>444</v>
      </c>
      <c r="E230" s="9" t="n">
        <v>-65.54</v>
      </c>
      <c r="F230" s="8" t="s">
        <v>20</v>
      </c>
    </row>
    <row r="231" customFormat="false" ht="15" hidden="false" customHeight="true" outlineLevel="0" collapsed="false">
      <c r="A231" s="32" t="n">
        <v>46083</v>
      </c>
      <c r="B231" s="8" t="s">
        <v>553</v>
      </c>
      <c r="C231" s="8" t="s">
        <v>253</v>
      </c>
      <c r="D231" s="8" t="s">
        <v>32</v>
      </c>
      <c r="E231" s="9" t="n">
        <v>-65.18</v>
      </c>
      <c r="F231" s="8" t="s">
        <v>17</v>
      </c>
    </row>
    <row r="232" customFormat="false" ht="15" hidden="false" customHeight="true" outlineLevel="0" collapsed="false">
      <c r="A232" s="32" t="n">
        <v>46083</v>
      </c>
      <c r="B232" s="8" t="s">
        <v>554</v>
      </c>
      <c r="C232" s="8" t="s">
        <v>253</v>
      </c>
      <c r="D232" s="8" t="s">
        <v>254</v>
      </c>
      <c r="E232" s="9" t="n">
        <v>-145.8</v>
      </c>
      <c r="F232" s="8" t="s">
        <v>20</v>
      </c>
    </row>
    <row r="233" customFormat="false" ht="15" hidden="false" customHeight="true" outlineLevel="0" collapsed="false">
      <c r="A233" s="32" t="n">
        <v>46083</v>
      </c>
      <c r="B233" s="8" t="s">
        <v>555</v>
      </c>
      <c r="C233" s="8" t="s">
        <v>253</v>
      </c>
      <c r="D233" s="8" t="s">
        <v>434</v>
      </c>
      <c r="E233" s="9" t="n">
        <v>-13</v>
      </c>
      <c r="F233" s="8" t="s">
        <v>20</v>
      </c>
    </row>
    <row r="234" customFormat="false" ht="15" hidden="false" customHeight="true" outlineLevel="0" collapsed="false">
      <c r="A234" s="32" t="n">
        <v>46084</v>
      </c>
      <c r="B234" s="8" t="s">
        <v>556</v>
      </c>
      <c r="C234" s="8" t="s">
        <v>253</v>
      </c>
      <c r="D234" s="8" t="s">
        <v>557</v>
      </c>
      <c r="E234" s="9" t="n">
        <v>-69.38</v>
      </c>
      <c r="F234" s="8" t="s">
        <v>17</v>
      </c>
    </row>
    <row r="235" customFormat="false" ht="15" hidden="false" customHeight="true" outlineLevel="0" collapsed="false">
      <c r="A235" s="32" t="n">
        <v>46084</v>
      </c>
      <c r="B235" s="8" t="s">
        <v>558</v>
      </c>
      <c r="C235" s="8" t="s">
        <v>256</v>
      </c>
      <c r="D235" s="8" t="s">
        <v>272</v>
      </c>
      <c r="E235" s="9" t="n">
        <v>-1059.72</v>
      </c>
      <c r="F235" s="8" t="s">
        <v>21</v>
      </c>
    </row>
    <row r="236" customFormat="false" ht="15" hidden="false" customHeight="true" outlineLevel="0" collapsed="false">
      <c r="A236" s="32" t="n">
        <v>46084</v>
      </c>
      <c r="B236" s="8" t="s">
        <v>559</v>
      </c>
      <c r="C236" s="8" t="s">
        <v>253</v>
      </c>
      <c r="D236" s="8" t="s">
        <v>414</v>
      </c>
      <c r="E236" s="9" t="n">
        <v>-10.7</v>
      </c>
      <c r="F236" s="8" t="s">
        <v>17</v>
      </c>
    </row>
    <row r="237" customFormat="false" ht="15" hidden="false" customHeight="true" outlineLevel="0" collapsed="false">
      <c r="A237" s="32" t="n">
        <v>46084</v>
      </c>
      <c r="B237" s="8" t="s">
        <v>560</v>
      </c>
      <c r="C237" s="8" t="s">
        <v>253</v>
      </c>
      <c r="D237" s="8" t="s">
        <v>311</v>
      </c>
      <c r="E237" s="9" t="n">
        <v>-8</v>
      </c>
      <c r="F237" s="8" t="s">
        <v>17</v>
      </c>
    </row>
    <row r="238" customFormat="false" ht="15" hidden="false" customHeight="true" outlineLevel="0" collapsed="false">
      <c r="A238" s="32" t="n">
        <v>46084</v>
      </c>
      <c r="B238" s="8" t="s">
        <v>561</v>
      </c>
      <c r="C238" s="8" t="s">
        <v>253</v>
      </c>
      <c r="D238" s="8" t="s">
        <v>414</v>
      </c>
      <c r="E238" s="9" t="n">
        <v>-10.7</v>
      </c>
      <c r="F238" s="8" t="s">
        <v>17</v>
      </c>
    </row>
    <row r="239" customFormat="false" ht="15" hidden="false" customHeight="true" outlineLevel="0" collapsed="false">
      <c r="A239" s="32" t="n">
        <v>46084</v>
      </c>
      <c r="B239" s="8" t="s">
        <v>562</v>
      </c>
      <c r="C239" s="8" t="s">
        <v>253</v>
      </c>
      <c r="D239" s="8" t="s">
        <v>311</v>
      </c>
      <c r="E239" s="9" t="n">
        <v>-8</v>
      </c>
      <c r="F239" s="8" t="s">
        <v>17</v>
      </c>
    </row>
    <row r="240" customFormat="false" ht="15" hidden="false" customHeight="true" outlineLevel="0" collapsed="false">
      <c r="A240" s="32" t="n">
        <v>46085</v>
      </c>
      <c r="B240" s="8" t="s">
        <v>563</v>
      </c>
      <c r="C240" s="8" t="s">
        <v>253</v>
      </c>
      <c r="D240" s="8" t="s">
        <v>284</v>
      </c>
      <c r="E240" s="9" t="n">
        <v>-3.99</v>
      </c>
      <c r="F240" s="8" t="s">
        <v>20</v>
      </c>
    </row>
    <row r="241" customFormat="false" ht="15" hidden="false" customHeight="true" outlineLevel="0" collapsed="false">
      <c r="A241" s="32" t="n">
        <v>46085</v>
      </c>
      <c r="B241" s="8" t="s">
        <v>564</v>
      </c>
      <c r="C241" s="8" t="s">
        <v>253</v>
      </c>
      <c r="D241" s="8" t="s">
        <v>276</v>
      </c>
      <c r="E241" s="9" t="n">
        <v>-103</v>
      </c>
      <c r="F241" s="8" t="s">
        <v>18</v>
      </c>
    </row>
    <row r="242" customFormat="false" ht="15" hidden="false" customHeight="true" outlineLevel="0" collapsed="false">
      <c r="A242" s="32" t="n">
        <v>46085</v>
      </c>
      <c r="B242" s="8" t="s">
        <v>565</v>
      </c>
      <c r="C242" s="8" t="s">
        <v>300</v>
      </c>
      <c r="D242" s="8" t="s">
        <v>301</v>
      </c>
      <c r="E242" s="9" t="n">
        <v>-1.2</v>
      </c>
      <c r="F242" s="8" t="s">
        <v>25</v>
      </c>
    </row>
    <row r="243" customFormat="false" ht="15" hidden="false" customHeight="true" outlineLevel="0" collapsed="false">
      <c r="A243" s="32" t="n">
        <v>46085</v>
      </c>
      <c r="B243" s="8" t="s">
        <v>566</v>
      </c>
      <c r="C243" s="8" t="s">
        <v>256</v>
      </c>
      <c r="D243" s="8" t="s">
        <v>274</v>
      </c>
      <c r="E243" s="9" t="n">
        <v>-0.36</v>
      </c>
      <c r="F243" s="8" t="s">
        <v>20</v>
      </c>
    </row>
    <row r="244" customFormat="false" ht="15" hidden="false" customHeight="true" outlineLevel="0" collapsed="false">
      <c r="A244" s="32" t="n">
        <v>46085</v>
      </c>
      <c r="B244" s="8" t="s">
        <v>567</v>
      </c>
      <c r="C244" s="8" t="s">
        <v>253</v>
      </c>
      <c r="D244" s="8" t="s">
        <v>282</v>
      </c>
      <c r="E244" s="9" t="n">
        <v>-59.58</v>
      </c>
      <c r="F244" s="8" t="s">
        <v>13</v>
      </c>
    </row>
    <row r="245" customFormat="false" ht="15" hidden="false" customHeight="true" outlineLevel="0" collapsed="false">
      <c r="A245" s="32" t="n">
        <v>46085</v>
      </c>
      <c r="B245" s="8" t="s">
        <v>565</v>
      </c>
      <c r="C245" s="8" t="s">
        <v>266</v>
      </c>
      <c r="D245" s="8" t="s">
        <v>295</v>
      </c>
      <c r="E245" s="9" t="n">
        <v>10000</v>
      </c>
      <c r="F245" s="8" t="s">
        <v>261</v>
      </c>
    </row>
    <row r="246" customFormat="false" ht="15" hidden="false" customHeight="true" outlineLevel="0" collapsed="false">
      <c r="A246" s="32" t="n">
        <v>46086</v>
      </c>
      <c r="B246" s="8" t="s">
        <v>568</v>
      </c>
      <c r="C246" s="8" t="s">
        <v>259</v>
      </c>
      <c r="D246" s="8" t="s">
        <v>260</v>
      </c>
      <c r="E246" s="9" t="n">
        <v>117.94</v>
      </c>
      <c r="F246" s="8" t="s">
        <v>261</v>
      </c>
    </row>
    <row r="247" customFormat="false" ht="15" hidden="false" customHeight="true" outlineLevel="0" collapsed="false">
      <c r="A247" s="32" t="n">
        <v>46086</v>
      </c>
      <c r="B247" s="8" t="s">
        <v>569</v>
      </c>
      <c r="C247" s="8" t="s">
        <v>256</v>
      </c>
      <c r="D247" s="8" t="s">
        <v>475</v>
      </c>
      <c r="E247" s="9" t="n">
        <v>-83.33</v>
      </c>
      <c r="F247" s="8" t="s">
        <v>26</v>
      </c>
    </row>
    <row r="248" customFormat="false" ht="15" hidden="false" customHeight="true" outlineLevel="0" collapsed="false">
      <c r="A248" s="32" t="n">
        <v>46087</v>
      </c>
      <c r="B248" s="8" t="s">
        <v>570</v>
      </c>
      <c r="C248" s="8" t="s">
        <v>253</v>
      </c>
      <c r="D248" s="8" t="s">
        <v>517</v>
      </c>
      <c r="E248" s="9" t="n">
        <v>-120.33</v>
      </c>
      <c r="F248" s="8" t="s">
        <v>24</v>
      </c>
    </row>
    <row r="249" customFormat="false" ht="15" hidden="false" customHeight="true" outlineLevel="0" collapsed="false">
      <c r="A249" s="32" t="n">
        <v>46087</v>
      </c>
      <c r="B249" s="8" t="s">
        <v>571</v>
      </c>
      <c r="C249" s="8" t="s">
        <v>259</v>
      </c>
      <c r="D249" s="8" t="s">
        <v>260</v>
      </c>
      <c r="E249" s="9" t="n">
        <v>39.05</v>
      </c>
      <c r="F249" s="8" t="s">
        <v>261</v>
      </c>
    </row>
    <row r="250" customFormat="false" ht="15" hidden="false" customHeight="true" outlineLevel="0" collapsed="false">
      <c r="A250" s="32" t="n">
        <v>46087</v>
      </c>
      <c r="B250" s="8" t="s">
        <v>572</v>
      </c>
      <c r="C250" s="8" t="s">
        <v>269</v>
      </c>
      <c r="D250" s="8" t="s">
        <v>573</v>
      </c>
      <c r="E250" s="9" t="n">
        <v>-3754.96</v>
      </c>
      <c r="F250" s="8" t="s">
        <v>22</v>
      </c>
    </row>
    <row r="251" customFormat="false" ht="15" hidden="false" customHeight="true" outlineLevel="0" collapsed="false">
      <c r="A251" s="32" t="n">
        <v>46087</v>
      </c>
      <c r="B251" s="8" t="s">
        <v>574</v>
      </c>
      <c r="C251" s="8" t="s">
        <v>253</v>
      </c>
      <c r="D251" s="8" t="s">
        <v>517</v>
      </c>
      <c r="E251" s="9" t="n">
        <v>-11.9</v>
      </c>
      <c r="F251" s="8" t="s">
        <v>24</v>
      </c>
    </row>
    <row r="252" customFormat="false" ht="15" hidden="false" customHeight="true" outlineLevel="0" collapsed="false">
      <c r="A252" s="32" t="n">
        <v>46087</v>
      </c>
      <c r="B252" s="8" t="s">
        <v>575</v>
      </c>
      <c r="C252" s="8" t="s">
        <v>324</v>
      </c>
      <c r="D252" s="8" t="s">
        <v>576</v>
      </c>
      <c r="E252" s="9" t="n">
        <v>-1326.34</v>
      </c>
      <c r="F252" s="8" t="s">
        <v>12</v>
      </c>
    </row>
    <row r="253" customFormat="false" ht="15" hidden="false" customHeight="true" outlineLevel="0" collapsed="false">
      <c r="A253" s="32" t="n">
        <v>46087</v>
      </c>
      <c r="B253" s="8" t="s">
        <v>575</v>
      </c>
      <c r="C253" s="8" t="s">
        <v>308</v>
      </c>
      <c r="D253" s="8" t="s">
        <v>309</v>
      </c>
      <c r="E253" s="9" t="n">
        <v>-15.6</v>
      </c>
      <c r="F253" s="8" t="s">
        <v>25</v>
      </c>
    </row>
    <row r="254" customFormat="false" ht="15" hidden="false" customHeight="true" outlineLevel="0" collapsed="false">
      <c r="A254" s="32" t="n">
        <v>46087</v>
      </c>
      <c r="B254" s="8" t="s">
        <v>575</v>
      </c>
      <c r="C254" s="8" t="s">
        <v>300</v>
      </c>
      <c r="D254" s="8" t="s">
        <v>301</v>
      </c>
      <c r="E254" s="9" t="n">
        <v>-1.2</v>
      </c>
      <c r="F254" s="8" t="s">
        <v>25</v>
      </c>
    </row>
    <row r="255" customFormat="false" ht="15" hidden="false" customHeight="true" outlineLevel="0" collapsed="false">
      <c r="A255" s="32" t="n">
        <v>46087</v>
      </c>
      <c r="B255" s="8" t="s">
        <v>575</v>
      </c>
      <c r="C255" s="8" t="s">
        <v>330</v>
      </c>
      <c r="D255" s="8"/>
      <c r="E255" s="9" t="n">
        <v>-17</v>
      </c>
      <c r="F255" s="8" t="s">
        <v>25</v>
      </c>
    </row>
    <row r="256" customFormat="false" ht="15" hidden="false" customHeight="true" outlineLevel="0" collapsed="false">
      <c r="A256" s="32" t="n">
        <v>46087</v>
      </c>
      <c r="B256" s="8" t="s">
        <v>575</v>
      </c>
      <c r="C256" s="8" t="s">
        <v>326</v>
      </c>
      <c r="D256" s="8" t="s">
        <v>327</v>
      </c>
      <c r="E256" s="9" t="n">
        <v>-28.8</v>
      </c>
      <c r="F256" s="8" t="s">
        <v>25</v>
      </c>
    </row>
    <row r="257" customFormat="false" ht="15" hidden="false" customHeight="true" outlineLevel="0" collapsed="false">
      <c r="A257" s="32" t="n">
        <v>46090</v>
      </c>
      <c r="B257" s="8" t="s">
        <v>577</v>
      </c>
      <c r="C257" s="8" t="s">
        <v>578</v>
      </c>
      <c r="D257" s="8" t="s">
        <v>579</v>
      </c>
      <c r="E257" s="9" t="n">
        <v>-187.74</v>
      </c>
      <c r="F257" s="8" t="s">
        <v>25</v>
      </c>
    </row>
    <row r="258" customFormat="false" ht="15" hidden="false" customHeight="true" outlineLevel="0" collapsed="false">
      <c r="A258" s="32" t="n">
        <v>46090</v>
      </c>
      <c r="B258" s="8" t="s">
        <v>577</v>
      </c>
      <c r="C258" s="8" t="s">
        <v>580</v>
      </c>
      <c r="D258" s="8"/>
      <c r="E258" s="9" t="n">
        <v>-375.49</v>
      </c>
      <c r="F258" s="8" t="s">
        <v>25</v>
      </c>
    </row>
    <row r="259" customFormat="false" ht="15" hidden="false" customHeight="true" outlineLevel="0" collapsed="false">
      <c r="A259" s="32" t="n">
        <v>46090</v>
      </c>
      <c r="B259" s="8" t="s">
        <v>577</v>
      </c>
      <c r="C259" s="8" t="s">
        <v>581</v>
      </c>
      <c r="D259" s="8"/>
      <c r="E259" s="9" t="n">
        <v>-30</v>
      </c>
      <c r="F259" s="8" t="s">
        <v>25</v>
      </c>
    </row>
    <row r="260" customFormat="false" ht="15" hidden="false" customHeight="true" outlineLevel="0" collapsed="false">
      <c r="A260" s="32" t="n">
        <v>46090</v>
      </c>
      <c r="B260" s="8" t="s">
        <v>582</v>
      </c>
      <c r="C260" s="8" t="s">
        <v>256</v>
      </c>
      <c r="D260" s="8" t="s">
        <v>272</v>
      </c>
      <c r="E260" s="9" t="n">
        <v>-189.77</v>
      </c>
      <c r="F260" s="8" t="s">
        <v>21</v>
      </c>
    </row>
    <row r="261" customFormat="false" ht="15" hidden="false" customHeight="true" outlineLevel="0" collapsed="false">
      <c r="A261" s="32" t="n">
        <v>46090</v>
      </c>
      <c r="B261" s="8" t="s">
        <v>577</v>
      </c>
      <c r="C261" s="8" t="s">
        <v>583</v>
      </c>
      <c r="D261" s="8"/>
      <c r="E261" s="9" t="n">
        <v>-187.74</v>
      </c>
      <c r="F261" s="8" t="s">
        <v>25</v>
      </c>
    </row>
    <row r="262" customFormat="false" ht="15" hidden="false" customHeight="true" outlineLevel="0" collapsed="false">
      <c r="A262" s="32" t="n">
        <v>46090</v>
      </c>
      <c r="B262" s="8" t="s">
        <v>584</v>
      </c>
      <c r="C262" s="8" t="s">
        <v>253</v>
      </c>
      <c r="D262" s="8" t="s">
        <v>517</v>
      </c>
      <c r="E262" s="9" t="n">
        <v>-19.98</v>
      </c>
      <c r="F262" s="8" t="s">
        <v>24</v>
      </c>
    </row>
    <row r="263" customFormat="false" ht="15" hidden="false" customHeight="true" outlineLevel="0" collapsed="false">
      <c r="A263" s="32" t="n">
        <v>46090</v>
      </c>
      <c r="B263" s="8" t="s">
        <v>585</v>
      </c>
      <c r="C263" s="8" t="s">
        <v>253</v>
      </c>
      <c r="D263" s="8" t="s">
        <v>282</v>
      </c>
      <c r="E263" s="9" t="n">
        <v>-19.39</v>
      </c>
      <c r="F263" s="8" t="s">
        <v>13</v>
      </c>
    </row>
    <row r="264" customFormat="false" ht="15" hidden="false" customHeight="true" outlineLevel="0" collapsed="false">
      <c r="A264" s="32" t="n">
        <v>46090</v>
      </c>
      <c r="B264" s="8" t="s">
        <v>586</v>
      </c>
      <c r="C264" s="8" t="s">
        <v>587</v>
      </c>
      <c r="D264" s="8" t="s">
        <v>588</v>
      </c>
      <c r="E264" s="9" t="n">
        <v>1048</v>
      </c>
      <c r="F264" s="8" t="s">
        <v>261</v>
      </c>
    </row>
    <row r="265" customFormat="false" ht="15" hidden="false" customHeight="true" outlineLevel="0" collapsed="false">
      <c r="A265" s="32" t="n">
        <v>46091</v>
      </c>
      <c r="B265" s="8" t="s">
        <v>589</v>
      </c>
      <c r="C265" s="8" t="s">
        <v>256</v>
      </c>
      <c r="D265" s="8" t="s">
        <v>475</v>
      </c>
      <c r="E265" s="9" t="n">
        <v>-132.17</v>
      </c>
      <c r="F265" s="8" t="s">
        <v>26</v>
      </c>
    </row>
    <row r="266" customFormat="false" ht="15" hidden="false" customHeight="true" outlineLevel="0" collapsed="false">
      <c r="A266" s="32" t="n">
        <v>46091</v>
      </c>
      <c r="B266" s="8" t="s">
        <v>590</v>
      </c>
      <c r="C266" s="8" t="s">
        <v>253</v>
      </c>
      <c r="D266" s="8" t="s">
        <v>517</v>
      </c>
      <c r="E266" s="9" t="n">
        <v>-19.99</v>
      </c>
      <c r="F266" s="8" t="s">
        <v>24</v>
      </c>
    </row>
    <row r="267" customFormat="false" ht="15" hidden="false" customHeight="true" outlineLevel="0" collapsed="false">
      <c r="A267" s="32" t="n">
        <v>46091</v>
      </c>
      <c r="B267" s="8" t="s">
        <v>591</v>
      </c>
      <c r="C267" s="8" t="s">
        <v>253</v>
      </c>
      <c r="D267" s="8" t="s">
        <v>288</v>
      </c>
      <c r="E267" s="9" t="n">
        <v>-33.78</v>
      </c>
      <c r="F267" s="8" t="s">
        <v>20</v>
      </c>
    </row>
    <row r="268" customFormat="false" ht="15" hidden="false" customHeight="true" outlineLevel="0" collapsed="false">
      <c r="A268" s="32" t="n">
        <v>46091</v>
      </c>
      <c r="B268" s="8" t="s">
        <v>592</v>
      </c>
      <c r="C268" s="8" t="s">
        <v>256</v>
      </c>
      <c r="D268" s="8" t="s">
        <v>347</v>
      </c>
      <c r="E268" s="9" t="n">
        <v>-504</v>
      </c>
      <c r="F268" s="8" t="s">
        <v>23</v>
      </c>
    </row>
    <row r="269" customFormat="false" ht="15" hidden="false" customHeight="true" outlineLevel="0" collapsed="false">
      <c r="A269" s="32" t="n">
        <v>46091</v>
      </c>
      <c r="B269" s="8" t="s">
        <v>593</v>
      </c>
      <c r="C269" s="8" t="s">
        <v>256</v>
      </c>
      <c r="D269" s="8" t="s">
        <v>292</v>
      </c>
      <c r="E269" s="9" t="n">
        <v>-130.67</v>
      </c>
      <c r="F269" s="8" t="s">
        <v>26</v>
      </c>
    </row>
    <row r="270" customFormat="false" ht="15" hidden="false" customHeight="true" outlineLevel="0" collapsed="false">
      <c r="A270" s="32" t="n">
        <v>46091</v>
      </c>
      <c r="B270" s="8" t="s">
        <v>591</v>
      </c>
      <c r="C270" s="8" t="s">
        <v>287</v>
      </c>
      <c r="D270" s="8" t="s">
        <v>288</v>
      </c>
      <c r="E270" s="9" t="n">
        <v>-0.5</v>
      </c>
      <c r="F270" s="8" t="s">
        <v>25</v>
      </c>
    </row>
    <row r="271" customFormat="false" ht="15" hidden="false" customHeight="true" outlineLevel="0" collapsed="false">
      <c r="A271" s="32" t="n">
        <v>46091</v>
      </c>
      <c r="B271" s="8" t="s">
        <v>594</v>
      </c>
      <c r="C271" s="8" t="s">
        <v>253</v>
      </c>
      <c r="D271" s="8" t="s">
        <v>595</v>
      </c>
      <c r="E271" s="9" t="n">
        <v>-75.4</v>
      </c>
      <c r="F271" s="8" t="s">
        <v>31</v>
      </c>
    </row>
    <row r="272" customFormat="false" ht="15" hidden="false" customHeight="true" outlineLevel="0" collapsed="false">
      <c r="A272" s="32" t="n">
        <v>46091</v>
      </c>
      <c r="B272" s="8" t="s">
        <v>596</v>
      </c>
      <c r="C272" s="8" t="s">
        <v>253</v>
      </c>
      <c r="D272" s="8" t="s">
        <v>423</v>
      </c>
      <c r="E272" s="9" t="n">
        <v>-65.71</v>
      </c>
      <c r="F272" s="8" t="s">
        <v>17</v>
      </c>
    </row>
    <row r="273" customFormat="false" ht="15" hidden="false" customHeight="true" outlineLevel="0" collapsed="false">
      <c r="A273" s="32" t="n">
        <v>46091</v>
      </c>
      <c r="B273" s="8" t="s">
        <v>597</v>
      </c>
      <c r="C273" s="8" t="s">
        <v>253</v>
      </c>
      <c r="D273" s="8" t="s">
        <v>282</v>
      </c>
      <c r="E273" s="9" t="n">
        <v>-22.19</v>
      </c>
      <c r="F273" s="8" t="s">
        <v>13</v>
      </c>
    </row>
    <row r="274" customFormat="false" ht="15" hidden="false" customHeight="true" outlineLevel="0" collapsed="false">
      <c r="A274" s="32" t="n">
        <v>46091</v>
      </c>
      <c r="B274" s="8" t="s">
        <v>598</v>
      </c>
      <c r="C274" s="8" t="s">
        <v>256</v>
      </c>
      <c r="D274" s="8" t="s">
        <v>306</v>
      </c>
      <c r="E274" s="9" t="n">
        <v>-78.46</v>
      </c>
      <c r="F274" s="8" t="s">
        <v>30</v>
      </c>
    </row>
    <row r="275" customFormat="false" ht="15" hidden="false" customHeight="true" outlineLevel="0" collapsed="false">
      <c r="A275" s="32" t="n">
        <v>46093</v>
      </c>
      <c r="B275" s="8" t="s">
        <v>599</v>
      </c>
      <c r="C275" s="8" t="s">
        <v>253</v>
      </c>
      <c r="D275" s="8" t="s">
        <v>284</v>
      </c>
      <c r="E275" s="9" t="n">
        <v>-3.99</v>
      </c>
      <c r="F275" s="8" t="s">
        <v>20</v>
      </c>
    </row>
    <row r="276" customFormat="false" ht="15" hidden="false" customHeight="true" outlineLevel="0" collapsed="false">
      <c r="A276" s="32" t="n">
        <v>46093</v>
      </c>
      <c r="B276" s="8" t="s">
        <v>600</v>
      </c>
      <c r="C276" s="8" t="s">
        <v>253</v>
      </c>
      <c r="D276" s="8" t="s">
        <v>362</v>
      </c>
      <c r="E276" s="9" t="n">
        <v>-2.2</v>
      </c>
      <c r="F276" s="8" t="s">
        <v>17</v>
      </c>
    </row>
    <row r="277" customFormat="false" ht="15" hidden="false" customHeight="true" outlineLevel="0" collapsed="false">
      <c r="A277" s="32" t="n">
        <v>46093</v>
      </c>
      <c r="B277" s="8" t="s">
        <v>601</v>
      </c>
      <c r="C277" s="8" t="s">
        <v>266</v>
      </c>
      <c r="D277" s="8" t="s">
        <v>295</v>
      </c>
      <c r="E277" s="9" t="n">
        <v>16000</v>
      </c>
      <c r="F277" s="8" t="s">
        <v>261</v>
      </c>
    </row>
    <row r="278" customFormat="false" ht="15" hidden="false" customHeight="true" outlineLevel="0" collapsed="false">
      <c r="A278" s="32" t="n">
        <v>46093</v>
      </c>
      <c r="B278" s="8" t="s">
        <v>602</v>
      </c>
      <c r="C278" s="8" t="s">
        <v>253</v>
      </c>
      <c r="D278" s="8" t="s">
        <v>32</v>
      </c>
      <c r="E278" s="9" t="n">
        <v>-82.92</v>
      </c>
      <c r="F278" s="8" t="s">
        <v>17</v>
      </c>
    </row>
    <row r="279" customFormat="false" ht="15" hidden="false" customHeight="true" outlineLevel="0" collapsed="false">
      <c r="A279" s="32" t="n">
        <v>46093</v>
      </c>
      <c r="B279" s="8" t="s">
        <v>601</v>
      </c>
      <c r="C279" s="8" t="s">
        <v>300</v>
      </c>
      <c r="D279" s="8" t="s">
        <v>301</v>
      </c>
      <c r="E279" s="9" t="n">
        <v>-1.2</v>
      </c>
      <c r="F279" s="8" t="s">
        <v>25</v>
      </c>
    </row>
    <row r="280" customFormat="false" ht="15" hidden="false" customHeight="true" outlineLevel="0" collapsed="false">
      <c r="A280" s="32" t="n">
        <v>46094</v>
      </c>
      <c r="B280" s="8" t="s">
        <v>603</v>
      </c>
      <c r="C280" s="8" t="s">
        <v>326</v>
      </c>
      <c r="D280" s="8" t="s">
        <v>327</v>
      </c>
      <c r="E280" s="9" t="n">
        <v>-28.8</v>
      </c>
      <c r="F280" s="8" t="s">
        <v>25</v>
      </c>
    </row>
    <row r="281" customFormat="false" ht="15" hidden="false" customHeight="true" outlineLevel="0" collapsed="false">
      <c r="A281" s="32" t="n">
        <v>46094</v>
      </c>
      <c r="B281" s="8" t="s">
        <v>603</v>
      </c>
      <c r="C281" s="8" t="s">
        <v>324</v>
      </c>
      <c r="D281" s="8" t="s">
        <v>503</v>
      </c>
      <c r="E281" s="9" t="n">
        <v>-264.43</v>
      </c>
      <c r="F281" s="8" t="s">
        <v>12</v>
      </c>
    </row>
    <row r="282" customFormat="false" ht="15" hidden="false" customHeight="true" outlineLevel="0" collapsed="false">
      <c r="A282" s="32" t="n">
        <v>46094</v>
      </c>
      <c r="B282" s="8" t="s">
        <v>604</v>
      </c>
      <c r="C282" s="8" t="s">
        <v>253</v>
      </c>
      <c r="D282" s="8" t="s">
        <v>414</v>
      </c>
      <c r="E282" s="9" t="n">
        <v>-10.7</v>
      </c>
      <c r="F282" s="8" t="s">
        <v>17</v>
      </c>
    </row>
    <row r="283" customFormat="false" ht="15" hidden="false" customHeight="true" outlineLevel="0" collapsed="false">
      <c r="A283" s="32" t="n">
        <v>46094</v>
      </c>
      <c r="B283" s="8" t="s">
        <v>603</v>
      </c>
      <c r="C283" s="8" t="s">
        <v>300</v>
      </c>
      <c r="D283" s="8" t="s">
        <v>301</v>
      </c>
      <c r="E283" s="9" t="n">
        <v>-1.2</v>
      </c>
      <c r="F283" s="8" t="s">
        <v>25</v>
      </c>
    </row>
    <row r="284" customFormat="false" ht="15" hidden="false" customHeight="true" outlineLevel="0" collapsed="false">
      <c r="A284" s="32" t="n">
        <v>46094</v>
      </c>
      <c r="B284" s="8" t="s">
        <v>603</v>
      </c>
      <c r="C284" s="8" t="s">
        <v>330</v>
      </c>
      <c r="D284" s="8"/>
      <c r="E284" s="9" t="n">
        <v>-17</v>
      </c>
      <c r="F284" s="8" t="s">
        <v>25</v>
      </c>
    </row>
    <row r="285" customFormat="false" ht="15" hidden="false" customHeight="true" outlineLevel="0" collapsed="false">
      <c r="A285" s="32" t="n">
        <v>46094</v>
      </c>
      <c r="B285" s="8" t="s">
        <v>603</v>
      </c>
      <c r="C285" s="8" t="s">
        <v>308</v>
      </c>
      <c r="D285" s="8" t="s">
        <v>309</v>
      </c>
      <c r="E285" s="9" t="n">
        <v>-15.6</v>
      </c>
      <c r="F285" s="8" t="s">
        <v>25</v>
      </c>
    </row>
    <row r="286" customFormat="false" ht="15" hidden="false" customHeight="true" outlineLevel="0" collapsed="false">
      <c r="A286" s="32" t="n">
        <v>46094</v>
      </c>
      <c r="B286" s="8" t="s">
        <v>605</v>
      </c>
      <c r="C286" s="8" t="s">
        <v>253</v>
      </c>
      <c r="D286" s="8" t="s">
        <v>362</v>
      </c>
      <c r="E286" s="9" t="n">
        <v>-10.7</v>
      </c>
      <c r="F286" s="8" t="s">
        <v>17</v>
      </c>
    </row>
    <row r="287" customFormat="false" ht="15" hidden="false" customHeight="true" outlineLevel="0" collapsed="false">
      <c r="A287" s="32" t="n">
        <v>46097</v>
      </c>
      <c r="B287" s="8" t="s">
        <v>606</v>
      </c>
      <c r="C287" s="8" t="s">
        <v>344</v>
      </c>
      <c r="D287" s="8" t="s">
        <v>345</v>
      </c>
      <c r="E287" s="9" t="n">
        <v>-49.35</v>
      </c>
      <c r="F287" s="8" t="s">
        <v>25</v>
      </c>
    </row>
    <row r="288" customFormat="false" ht="15" hidden="false" customHeight="true" outlineLevel="0" collapsed="false">
      <c r="A288" s="32" t="n">
        <v>46097</v>
      </c>
      <c r="B288" s="8" t="s">
        <v>607</v>
      </c>
      <c r="C288" s="8" t="s">
        <v>253</v>
      </c>
      <c r="D288" s="8" t="s">
        <v>378</v>
      </c>
      <c r="E288" s="9" t="n">
        <v>-68.46</v>
      </c>
      <c r="F288" s="8" t="s">
        <v>29</v>
      </c>
    </row>
    <row r="289" customFormat="false" ht="15" hidden="false" customHeight="true" outlineLevel="0" collapsed="false">
      <c r="A289" s="32" t="n">
        <v>46097</v>
      </c>
      <c r="B289" s="8" t="s">
        <v>608</v>
      </c>
      <c r="C289" s="8" t="s">
        <v>256</v>
      </c>
      <c r="D289" s="8" t="s">
        <v>350</v>
      </c>
      <c r="E289" s="9" t="n">
        <v>-94.15</v>
      </c>
      <c r="F289" s="8" t="s">
        <v>20</v>
      </c>
    </row>
    <row r="290" customFormat="false" ht="15" hidden="false" customHeight="true" outlineLevel="0" collapsed="false">
      <c r="A290" s="32" t="n">
        <v>46097</v>
      </c>
      <c r="B290" s="8" t="s">
        <v>609</v>
      </c>
      <c r="C290" s="8" t="s">
        <v>253</v>
      </c>
      <c r="D290" s="8" t="s">
        <v>284</v>
      </c>
      <c r="E290" s="9" t="n">
        <v>-22.99</v>
      </c>
      <c r="F290" s="8" t="s">
        <v>20</v>
      </c>
    </row>
    <row r="291" customFormat="false" ht="15" hidden="false" customHeight="true" outlineLevel="0" collapsed="false">
      <c r="A291" s="32" t="n">
        <v>46097</v>
      </c>
      <c r="B291" s="8" t="s">
        <v>610</v>
      </c>
      <c r="C291" s="8" t="s">
        <v>253</v>
      </c>
      <c r="D291" s="8" t="s">
        <v>32</v>
      </c>
      <c r="E291" s="9" t="n">
        <v>-69.77</v>
      </c>
      <c r="F291" s="8" t="s">
        <v>17</v>
      </c>
    </row>
    <row r="292" customFormat="false" ht="15" hidden="false" customHeight="true" outlineLevel="0" collapsed="false">
      <c r="A292" s="32" t="n">
        <v>46097</v>
      </c>
      <c r="B292" s="8" t="s">
        <v>611</v>
      </c>
      <c r="C292" s="8" t="s">
        <v>253</v>
      </c>
      <c r="D292" s="8" t="s">
        <v>276</v>
      </c>
      <c r="E292" s="9" t="n">
        <v>-43</v>
      </c>
      <c r="F292" s="8" t="s">
        <v>18</v>
      </c>
    </row>
    <row r="293" customFormat="false" ht="15" hidden="false" customHeight="true" outlineLevel="0" collapsed="false">
      <c r="A293" s="32" t="n">
        <v>46097</v>
      </c>
      <c r="B293" s="8" t="s">
        <v>298</v>
      </c>
      <c r="C293" s="8" t="s">
        <v>353</v>
      </c>
      <c r="D293" s="8"/>
      <c r="E293" s="9" t="n">
        <v>-7.69</v>
      </c>
      <c r="F293" s="8" t="s">
        <v>25</v>
      </c>
    </row>
    <row r="294" customFormat="false" ht="15" hidden="false" customHeight="true" outlineLevel="0" collapsed="false">
      <c r="A294" s="32" t="n">
        <v>46097</v>
      </c>
      <c r="B294" s="8" t="s">
        <v>612</v>
      </c>
      <c r="C294" s="8" t="s">
        <v>253</v>
      </c>
      <c r="D294" s="8" t="s">
        <v>517</v>
      </c>
      <c r="E294" s="9" t="n">
        <v>-551.72</v>
      </c>
      <c r="F294" s="8" t="s">
        <v>24</v>
      </c>
    </row>
    <row r="295" customFormat="false" ht="15" hidden="false" customHeight="true" outlineLevel="0" collapsed="false">
      <c r="A295" s="32" t="n">
        <v>46097</v>
      </c>
      <c r="B295" s="8" t="s">
        <v>613</v>
      </c>
      <c r="C295" s="8" t="s">
        <v>253</v>
      </c>
      <c r="D295" s="8" t="s">
        <v>547</v>
      </c>
      <c r="E295" s="9" t="n">
        <v>-58</v>
      </c>
      <c r="F295" s="8" t="s">
        <v>13</v>
      </c>
    </row>
    <row r="296" customFormat="false" ht="15" hidden="false" customHeight="true" outlineLevel="0" collapsed="false">
      <c r="A296" s="32" t="n">
        <v>46098</v>
      </c>
      <c r="B296" s="8" t="s">
        <v>614</v>
      </c>
      <c r="C296" s="8" t="s">
        <v>330</v>
      </c>
      <c r="D296" s="8"/>
      <c r="E296" s="9" t="n">
        <v>-17</v>
      </c>
      <c r="F296" s="8" t="s">
        <v>25</v>
      </c>
    </row>
    <row r="297" customFormat="false" ht="15" hidden="false" customHeight="true" outlineLevel="0" collapsed="false">
      <c r="A297" s="32" t="n">
        <v>46098</v>
      </c>
      <c r="B297" s="8" t="s">
        <v>615</v>
      </c>
      <c r="C297" s="8" t="s">
        <v>253</v>
      </c>
      <c r="D297" s="8" t="s">
        <v>32</v>
      </c>
      <c r="E297" s="9" t="n">
        <v>-80</v>
      </c>
      <c r="F297" s="8" t="s">
        <v>17</v>
      </c>
    </row>
    <row r="298" customFormat="false" ht="15" hidden="false" customHeight="true" outlineLevel="0" collapsed="false">
      <c r="A298" s="32" t="n">
        <v>46098</v>
      </c>
      <c r="B298" s="8" t="s">
        <v>614</v>
      </c>
      <c r="C298" s="8" t="s">
        <v>324</v>
      </c>
      <c r="D298" s="8" t="s">
        <v>576</v>
      </c>
      <c r="E298" s="9" t="n">
        <v>-2162.94</v>
      </c>
      <c r="F298" s="8" t="s">
        <v>12</v>
      </c>
    </row>
    <row r="299" customFormat="false" ht="15" hidden="false" customHeight="true" outlineLevel="0" collapsed="false">
      <c r="A299" s="32" t="n">
        <v>46098</v>
      </c>
      <c r="B299" s="8" t="s">
        <v>614</v>
      </c>
      <c r="C299" s="8" t="s">
        <v>300</v>
      </c>
      <c r="D299" s="8" t="s">
        <v>301</v>
      </c>
      <c r="E299" s="9" t="n">
        <v>-1.2</v>
      </c>
      <c r="F299" s="8" t="s">
        <v>25</v>
      </c>
    </row>
    <row r="300" customFormat="false" ht="15" hidden="false" customHeight="true" outlineLevel="0" collapsed="false">
      <c r="A300" s="32" t="n">
        <v>46098</v>
      </c>
      <c r="B300" s="8" t="s">
        <v>614</v>
      </c>
      <c r="C300" s="8" t="s">
        <v>326</v>
      </c>
      <c r="D300" s="8" t="s">
        <v>327</v>
      </c>
      <c r="E300" s="9" t="n">
        <v>-28.8</v>
      </c>
      <c r="F300" s="8" t="s">
        <v>25</v>
      </c>
    </row>
    <row r="301" customFormat="false" ht="15" hidden="false" customHeight="true" outlineLevel="0" collapsed="false">
      <c r="A301" s="32" t="n">
        <v>46098</v>
      </c>
      <c r="B301" s="8" t="s">
        <v>614</v>
      </c>
      <c r="C301" s="8" t="s">
        <v>308</v>
      </c>
      <c r="D301" s="8" t="s">
        <v>309</v>
      </c>
      <c r="E301" s="9" t="n">
        <v>-15.6</v>
      </c>
      <c r="F301" s="8" t="s">
        <v>25</v>
      </c>
    </row>
    <row r="302" customFormat="false" ht="15" hidden="false" customHeight="true" outlineLevel="0" collapsed="false">
      <c r="A302" s="32" t="n">
        <v>46098</v>
      </c>
      <c r="B302" s="8" t="s">
        <v>616</v>
      </c>
      <c r="C302" s="8" t="s">
        <v>256</v>
      </c>
      <c r="D302" s="8" t="s">
        <v>364</v>
      </c>
      <c r="E302" s="9" t="n">
        <v>-2864</v>
      </c>
      <c r="F302" s="8" t="s">
        <v>15</v>
      </c>
    </row>
    <row r="303" customFormat="false" ht="15" hidden="false" customHeight="true" outlineLevel="0" collapsed="false">
      <c r="A303" s="32" t="n">
        <v>46099</v>
      </c>
      <c r="B303" s="8" t="s">
        <v>617</v>
      </c>
      <c r="C303" s="8" t="s">
        <v>253</v>
      </c>
      <c r="D303" s="8" t="s">
        <v>362</v>
      </c>
      <c r="E303" s="9" t="n">
        <v>-5.7</v>
      </c>
      <c r="F303" s="8" t="s">
        <v>17</v>
      </c>
    </row>
    <row r="304" customFormat="false" ht="15" hidden="false" customHeight="true" outlineLevel="0" collapsed="false">
      <c r="A304" s="32" t="n">
        <v>46099</v>
      </c>
      <c r="B304" s="8" t="s">
        <v>618</v>
      </c>
      <c r="C304" s="8" t="s">
        <v>253</v>
      </c>
      <c r="D304" s="8" t="s">
        <v>362</v>
      </c>
      <c r="E304" s="9" t="n">
        <v>-2.2</v>
      </c>
      <c r="F304" s="8" t="s">
        <v>17</v>
      </c>
    </row>
    <row r="305" customFormat="false" ht="15" hidden="false" customHeight="true" outlineLevel="0" collapsed="false">
      <c r="A305" s="32" t="n">
        <v>46099</v>
      </c>
      <c r="B305" s="8" t="s">
        <v>619</v>
      </c>
      <c r="C305" s="8" t="s">
        <v>253</v>
      </c>
      <c r="D305" s="8" t="s">
        <v>620</v>
      </c>
      <c r="E305" s="9" t="n">
        <v>-16.39</v>
      </c>
      <c r="F305" s="8" t="s">
        <v>17</v>
      </c>
    </row>
    <row r="306" customFormat="false" ht="15" hidden="false" customHeight="true" outlineLevel="0" collapsed="false">
      <c r="A306" s="32" t="n">
        <v>46099</v>
      </c>
      <c r="B306" s="8" t="s">
        <v>621</v>
      </c>
      <c r="C306" s="8" t="s">
        <v>253</v>
      </c>
      <c r="D306" s="8" t="s">
        <v>290</v>
      </c>
      <c r="E306" s="9" t="n">
        <v>-61.33</v>
      </c>
      <c r="F306" s="8" t="s">
        <v>17</v>
      </c>
    </row>
    <row r="307" customFormat="false" ht="15" hidden="false" customHeight="true" outlineLevel="0" collapsed="false">
      <c r="A307" s="32" t="n">
        <v>46099</v>
      </c>
      <c r="B307" s="8" t="s">
        <v>622</v>
      </c>
      <c r="C307" s="8" t="s">
        <v>253</v>
      </c>
      <c r="D307" s="8" t="s">
        <v>414</v>
      </c>
      <c r="E307" s="9" t="n">
        <v>-10.7</v>
      </c>
      <c r="F307" s="8" t="s">
        <v>17</v>
      </c>
    </row>
    <row r="308" customFormat="false" ht="15" hidden="false" customHeight="true" outlineLevel="0" collapsed="false">
      <c r="A308" s="32" t="n">
        <v>46099</v>
      </c>
      <c r="B308" s="8" t="s">
        <v>623</v>
      </c>
      <c r="C308" s="8" t="s">
        <v>253</v>
      </c>
      <c r="D308" s="8" t="s">
        <v>284</v>
      </c>
      <c r="E308" s="9" t="n">
        <v>-3.99</v>
      </c>
      <c r="F308" s="8" t="s">
        <v>20</v>
      </c>
    </row>
    <row r="309" customFormat="false" ht="15" hidden="false" customHeight="true" outlineLevel="0" collapsed="false">
      <c r="A309" s="32" t="n">
        <v>46099</v>
      </c>
      <c r="B309" s="8" t="s">
        <v>619</v>
      </c>
      <c r="C309" s="8" t="s">
        <v>253</v>
      </c>
      <c r="D309" s="8" t="s">
        <v>620</v>
      </c>
      <c r="E309" s="9" t="n">
        <v>-20.79</v>
      </c>
      <c r="F309" s="8" t="s">
        <v>17</v>
      </c>
    </row>
    <row r="310" customFormat="false" ht="15" hidden="false" customHeight="true" outlineLevel="0" collapsed="false">
      <c r="A310" s="32" t="n">
        <v>46100</v>
      </c>
      <c r="B310" s="8" t="s">
        <v>624</v>
      </c>
      <c r="C310" s="8" t="s">
        <v>259</v>
      </c>
      <c r="D310" s="8" t="s">
        <v>260</v>
      </c>
      <c r="E310" s="9" t="n">
        <v>19.44</v>
      </c>
      <c r="F310" s="8" t="s">
        <v>261</v>
      </c>
    </row>
    <row r="311" customFormat="false" ht="15" hidden="false" customHeight="true" outlineLevel="0" collapsed="false">
      <c r="A311" s="32" t="n">
        <v>46101</v>
      </c>
      <c r="B311" s="8" t="s">
        <v>625</v>
      </c>
      <c r="C311" s="8" t="s">
        <v>269</v>
      </c>
      <c r="D311" s="8" t="s">
        <v>451</v>
      </c>
      <c r="E311" s="9" t="n">
        <v>-500</v>
      </c>
      <c r="F311" s="8" t="s">
        <v>14</v>
      </c>
    </row>
    <row r="312" customFormat="false" ht="15" hidden="false" customHeight="true" outlineLevel="0" collapsed="false">
      <c r="A312" s="32" t="n">
        <v>46104</v>
      </c>
      <c r="B312" s="8" t="s">
        <v>626</v>
      </c>
      <c r="C312" s="8" t="s">
        <v>253</v>
      </c>
      <c r="D312" s="8" t="s">
        <v>32</v>
      </c>
      <c r="E312" s="9" t="n">
        <v>-71.56</v>
      </c>
      <c r="F312" s="8" t="s">
        <v>17</v>
      </c>
    </row>
    <row r="313" customFormat="false" ht="15" hidden="false" customHeight="true" outlineLevel="0" collapsed="false">
      <c r="A313" s="32" t="n">
        <v>46104</v>
      </c>
      <c r="B313" s="8" t="s">
        <v>627</v>
      </c>
      <c r="C313" s="8" t="s">
        <v>253</v>
      </c>
      <c r="D313" s="8" t="s">
        <v>32</v>
      </c>
      <c r="E313" s="9" t="n">
        <v>-50</v>
      </c>
      <c r="F313" s="8" t="s">
        <v>17</v>
      </c>
    </row>
    <row r="314" customFormat="false" ht="15" hidden="false" customHeight="true" outlineLevel="0" collapsed="false">
      <c r="A314" s="32" t="n">
        <v>46105</v>
      </c>
      <c r="B314" s="8" t="s">
        <v>628</v>
      </c>
      <c r="C314" s="8" t="s">
        <v>256</v>
      </c>
      <c r="D314" s="8" t="s">
        <v>364</v>
      </c>
      <c r="E314" s="9" t="n">
        <v>-94</v>
      </c>
      <c r="F314" s="8" t="s">
        <v>15</v>
      </c>
    </row>
    <row r="315" customFormat="false" ht="15" hidden="false" customHeight="true" outlineLevel="0" collapsed="false">
      <c r="A315" s="32" t="n">
        <v>46105</v>
      </c>
      <c r="B315" s="8" t="s">
        <v>629</v>
      </c>
      <c r="C315" s="8" t="s">
        <v>300</v>
      </c>
      <c r="D315" s="8" t="s">
        <v>301</v>
      </c>
      <c r="E315" s="9" t="n">
        <v>-1.2</v>
      </c>
      <c r="F315" s="8" t="s">
        <v>25</v>
      </c>
    </row>
    <row r="316" customFormat="false" ht="15" hidden="false" customHeight="true" outlineLevel="0" collapsed="false">
      <c r="A316" s="32" t="n">
        <v>46105</v>
      </c>
      <c r="B316" s="8" t="s">
        <v>630</v>
      </c>
      <c r="C316" s="8" t="s">
        <v>300</v>
      </c>
      <c r="D316" s="8" t="s">
        <v>301</v>
      </c>
      <c r="E316" s="9" t="n">
        <v>-1.2</v>
      </c>
      <c r="F316" s="8" t="s">
        <v>25</v>
      </c>
    </row>
    <row r="317" customFormat="false" ht="15" hidden="false" customHeight="true" outlineLevel="0" collapsed="false">
      <c r="A317" s="32" t="n">
        <v>46105</v>
      </c>
      <c r="B317" s="8" t="s">
        <v>630</v>
      </c>
      <c r="C317" s="8" t="s">
        <v>266</v>
      </c>
      <c r="D317" s="8" t="s">
        <v>295</v>
      </c>
      <c r="E317" s="9" t="n">
        <v>22000</v>
      </c>
      <c r="F317" s="8" t="s">
        <v>261</v>
      </c>
    </row>
    <row r="318" customFormat="false" ht="15" hidden="false" customHeight="true" outlineLevel="0" collapsed="false">
      <c r="A318" s="32" t="n">
        <v>46105</v>
      </c>
      <c r="B318" s="8" t="s">
        <v>629</v>
      </c>
      <c r="C318" s="8" t="s">
        <v>326</v>
      </c>
      <c r="D318" s="8" t="s">
        <v>327</v>
      </c>
      <c r="E318" s="9" t="n">
        <v>-28.8</v>
      </c>
      <c r="F318" s="8" t="s">
        <v>25</v>
      </c>
    </row>
    <row r="319" customFormat="false" ht="15" hidden="false" customHeight="true" outlineLevel="0" collapsed="false">
      <c r="A319" s="32" t="n">
        <v>46105</v>
      </c>
      <c r="B319" s="8" t="s">
        <v>629</v>
      </c>
      <c r="C319" s="8" t="s">
        <v>308</v>
      </c>
      <c r="D319" s="8" t="s">
        <v>309</v>
      </c>
      <c r="E319" s="9" t="n">
        <v>-15.6</v>
      </c>
      <c r="F319" s="8" t="s">
        <v>25</v>
      </c>
    </row>
    <row r="320" customFormat="false" ht="15" hidden="false" customHeight="true" outlineLevel="0" collapsed="false">
      <c r="A320" s="32" t="n">
        <v>46105</v>
      </c>
      <c r="B320" s="8" t="s">
        <v>629</v>
      </c>
      <c r="C320" s="8" t="s">
        <v>324</v>
      </c>
      <c r="D320" s="8" t="s">
        <v>631</v>
      </c>
      <c r="E320" s="9" t="n">
        <v>-3933.57</v>
      </c>
      <c r="F320" s="8" t="s">
        <v>12</v>
      </c>
    </row>
    <row r="321" customFormat="false" ht="15" hidden="false" customHeight="true" outlineLevel="0" collapsed="false">
      <c r="A321" s="32" t="n">
        <v>46105</v>
      </c>
      <c r="B321" s="8" t="s">
        <v>632</v>
      </c>
      <c r="C321" s="8" t="s">
        <v>402</v>
      </c>
      <c r="D321" s="8" t="s">
        <v>403</v>
      </c>
      <c r="E321" s="9" t="n">
        <v>-236</v>
      </c>
      <c r="F321" s="8" t="s">
        <v>15</v>
      </c>
    </row>
    <row r="322" customFormat="false" ht="15" hidden="false" customHeight="true" outlineLevel="0" collapsed="false">
      <c r="A322" s="32" t="n">
        <v>46105</v>
      </c>
      <c r="B322" s="8" t="s">
        <v>629</v>
      </c>
      <c r="C322" s="8" t="s">
        <v>330</v>
      </c>
      <c r="D322" s="8"/>
      <c r="E322" s="9" t="n">
        <v>-17</v>
      </c>
      <c r="F322" s="8" t="s">
        <v>25</v>
      </c>
    </row>
    <row r="323" customFormat="false" ht="15" hidden="false" customHeight="true" outlineLevel="0" collapsed="false">
      <c r="A323" s="32" t="n">
        <v>46106</v>
      </c>
      <c r="B323" s="8" t="s">
        <v>633</v>
      </c>
      <c r="C323" s="8" t="s">
        <v>253</v>
      </c>
      <c r="D323" s="8" t="s">
        <v>284</v>
      </c>
      <c r="E323" s="9" t="n">
        <v>-3.99</v>
      </c>
      <c r="F323" s="8" t="s">
        <v>20</v>
      </c>
    </row>
    <row r="324" customFormat="false" ht="15" hidden="false" customHeight="true" outlineLevel="0" collapsed="false">
      <c r="A324" s="32" t="n">
        <v>46106</v>
      </c>
      <c r="B324" s="8" t="s">
        <v>634</v>
      </c>
      <c r="C324" s="8" t="s">
        <v>253</v>
      </c>
      <c r="D324" s="8" t="s">
        <v>290</v>
      </c>
      <c r="E324" s="9" t="n">
        <v>-65.49</v>
      </c>
      <c r="F324" s="8" t="s">
        <v>17</v>
      </c>
    </row>
    <row r="325" customFormat="false" ht="15" hidden="false" customHeight="true" outlineLevel="0" collapsed="false">
      <c r="A325" s="32" t="n">
        <v>46106</v>
      </c>
      <c r="B325" s="8" t="s">
        <v>635</v>
      </c>
      <c r="C325" s="8" t="s">
        <v>256</v>
      </c>
      <c r="D325" s="8" t="s">
        <v>350</v>
      </c>
      <c r="E325" s="9" t="n">
        <v>-423.85</v>
      </c>
      <c r="F325" s="8" t="s">
        <v>20</v>
      </c>
    </row>
    <row r="326" customFormat="false" ht="15" hidden="false" customHeight="true" outlineLevel="0" collapsed="false">
      <c r="A326" s="32" t="n">
        <v>46106</v>
      </c>
      <c r="B326" s="8" t="s">
        <v>636</v>
      </c>
      <c r="C326" s="8" t="s">
        <v>256</v>
      </c>
      <c r="D326" s="8" t="s">
        <v>428</v>
      </c>
      <c r="E326" s="9" t="n">
        <v>-551.83</v>
      </c>
      <c r="F326" s="8" t="s">
        <v>15</v>
      </c>
    </row>
    <row r="327" customFormat="false" ht="15" hidden="false" customHeight="true" outlineLevel="0" collapsed="false">
      <c r="A327" s="32" t="n">
        <v>46107</v>
      </c>
      <c r="B327" s="8" t="s">
        <v>637</v>
      </c>
      <c r="C327" s="8" t="s">
        <v>300</v>
      </c>
      <c r="D327" s="8" t="s">
        <v>301</v>
      </c>
      <c r="E327" s="9" t="n">
        <v>-1.2</v>
      </c>
      <c r="F327" s="8" t="s">
        <v>25</v>
      </c>
    </row>
    <row r="328" customFormat="false" ht="15" hidden="false" customHeight="true" outlineLevel="0" collapsed="false">
      <c r="A328" s="32" t="n">
        <v>46107</v>
      </c>
      <c r="B328" s="8" t="s">
        <v>637</v>
      </c>
      <c r="C328" s="8" t="s">
        <v>308</v>
      </c>
      <c r="D328" s="8" t="s">
        <v>309</v>
      </c>
      <c r="E328" s="9" t="n">
        <v>-15.6</v>
      </c>
      <c r="F328" s="8" t="s">
        <v>25</v>
      </c>
    </row>
    <row r="329" customFormat="false" ht="15" hidden="false" customHeight="true" outlineLevel="0" collapsed="false">
      <c r="A329" s="32" t="n">
        <v>46107</v>
      </c>
      <c r="B329" s="8" t="s">
        <v>638</v>
      </c>
      <c r="C329" s="8" t="s">
        <v>253</v>
      </c>
      <c r="D329" s="8" t="s">
        <v>639</v>
      </c>
      <c r="E329" s="9" t="n">
        <v>-440.58</v>
      </c>
      <c r="F329" s="8" t="s">
        <v>19</v>
      </c>
    </row>
    <row r="330" customFormat="false" ht="15" hidden="false" customHeight="true" outlineLevel="0" collapsed="false">
      <c r="A330" s="32" t="n">
        <v>46107</v>
      </c>
      <c r="B330" s="8" t="s">
        <v>640</v>
      </c>
      <c r="C330" s="8" t="s">
        <v>253</v>
      </c>
      <c r="D330" s="8" t="s">
        <v>380</v>
      </c>
      <c r="E330" s="9" t="n">
        <v>-12.98</v>
      </c>
      <c r="F330" s="8" t="s">
        <v>19</v>
      </c>
    </row>
    <row r="331" customFormat="false" ht="15" hidden="false" customHeight="true" outlineLevel="0" collapsed="false">
      <c r="A331" s="32" t="n">
        <v>46107</v>
      </c>
      <c r="B331" s="8" t="s">
        <v>637</v>
      </c>
      <c r="C331" s="8" t="s">
        <v>330</v>
      </c>
      <c r="D331" s="8"/>
      <c r="E331" s="9" t="n">
        <v>-17</v>
      </c>
      <c r="F331" s="8" t="s">
        <v>25</v>
      </c>
    </row>
    <row r="332" customFormat="false" ht="15" hidden="false" customHeight="true" outlineLevel="0" collapsed="false">
      <c r="A332" s="32" t="n">
        <v>46107</v>
      </c>
      <c r="B332" s="8" t="s">
        <v>641</v>
      </c>
      <c r="C332" s="8" t="s">
        <v>253</v>
      </c>
      <c r="D332" s="8" t="s">
        <v>642</v>
      </c>
      <c r="E332" s="9" t="n">
        <v>-65</v>
      </c>
      <c r="F332" s="8" t="s">
        <v>18</v>
      </c>
    </row>
    <row r="333" customFormat="false" ht="15" hidden="false" customHeight="true" outlineLevel="0" collapsed="false">
      <c r="A333" s="32" t="n">
        <v>46107</v>
      </c>
      <c r="B333" s="8" t="s">
        <v>643</v>
      </c>
      <c r="C333" s="8" t="s">
        <v>253</v>
      </c>
      <c r="D333" s="8" t="s">
        <v>642</v>
      </c>
      <c r="E333" s="9" t="n">
        <v>-70</v>
      </c>
      <c r="F333" s="8" t="s">
        <v>18</v>
      </c>
    </row>
    <row r="334" customFormat="false" ht="15" hidden="false" customHeight="true" outlineLevel="0" collapsed="false">
      <c r="A334" s="32" t="n">
        <v>46107</v>
      </c>
      <c r="B334" s="8" t="s">
        <v>637</v>
      </c>
      <c r="C334" s="8" t="s">
        <v>324</v>
      </c>
      <c r="D334" s="8" t="s">
        <v>631</v>
      </c>
      <c r="E334" s="9" t="n">
        <v>-17093.38</v>
      </c>
      <c r="F334" s="8" t="s">
        <v>12</v>
      </c>
    </row>
    <row r="335" customFormat="false" ht="15" hidden="false" customHeight="true" outlineLevel="0" collapsed="false">
      <c r="A335" s="32" t="n">
        <v>46107</v>
      </c>
      <c r="B335" s="8" t="s">
        <v>637</v>
      </c>
      <c r="C335" s="8" t="s">
        <v>326</v>
      </c>
      <c r="D335" s="8" t="s">
        <v>327</v>
      </c>
      <c r="E335" s="9" t="n">
        <v>-28.8</v>
      </c>
      <c r="F335" s="8" t="s">
        <v>25</v>
      </c>
    </row>
    <row r="336" customFormat="false" ht="15" hidden="false" customHeight="true" outlineLevel="0" collapsed="false">
      <c r="A336" s="32" t="n">
        <v>46108</v>
      </c>
      <c r="B336" s="8" t="s">
        <v>644</v>
      </c>
      <c r="C336" s="8" t="s">
        <v>253</v>
      </c>
      <c r="D336" s="8" t="s">
        <v>32</v>
      </c>
      <c r="E336" s="9" t="n">
        <v>-76.92</v>
      </c>
      <c r="F336" s="8" t="s">
        <v>17</v>
      </c>
    </row>
    <row r="337" customFormat="false" ht="15" hidden="false" customHeight="true" outlineLevel="0" collapsed="false">
      <c r="A337" s="32" t="n">
        <v>46111</v>
      </c>
      <c r="B337" s="8" t="s">
        <v>645</v>
      </c>
      <c r="C337" s="8" t="s">
        <v>253</v>
      </c>
      <c r="D337" s="8" t="s">
        <v>434</v>
      </c>
      <c r="E337" s="9" t="n">
        <v>-13</v>
      </c>
      <c r="F337" s="8" t="s">
        <v>20</v>
      </c>
    </row>
    <row r="338" customFormat="false" ht="15" hidden="false" customHeight="true" outlineLevel="0" collapsed="false">
      <c r="A338" s="32" t="n">
        <v>46111</v>
      </c>
      <c r="B338" s="8" t="s">
        <v>646</v>
      </c>
      <c r="C338" s="8" t="s">
        <v>256</v>
      </c>
      <c r="D338" s="8" t="s">
        <v>432</v>
      </c>
      <c r="E338" s="9" t="n">
        <v>-15.95</v>
      </c>
      <c r="F338" s="8" t="s">
        <v>17</v>
      </c>
    </row>
    <row r="339" customFormat="false" ht="15" hidden="false" customHeight="true" outlineLevel="0" collapsed="false">
      <c r="A339" s="32" t="n">
        <v>46111</v>
      </c>
      <c r="B339" s="8" t="s">
        <v>647</v>
      </c>
      <c r="C339" s="8" t="s">
        <v>253</v>
      </c>
      <c r="D339" s="8" t="s">
        <v>414</v>
      </c>
      <c r="E339" s="9" t="n">
        <v>-10.7</v>
      </c>
      <c r="F339" s="8" t="s">
        <v>17</v>
      </c>
    </row>
    <row r="340" customFormat="false" ht="15" hidden="false" customHeight="true" outlineLevel="0" collapsed="false">
      <c r="A340" s="32" t="n">
        <v>46111</v>
      </c>
      <c r="B340" s="8" t="s">
        <v>648</v>
      </c>
      <c r="C340" s="8" t="s">
        <v>269</v>
      </c>
      <c r="D340" s="8" t="s">
        <v>451</v>
      </c>
      <c r="E340" s="9" t="n">
        <v>-782.23</v>
      </c>
      <c r="F340" s="8" t="s">
        <v>14</v>
      </c>
    </row>
    <row r="341" customFormat="false" ht="15" hidden="false" customHeight="true" outlineLevel="0" collapsed="false">
      <c r="A341" s="32" t="n">
        <v>46111</v>
      </c>
      <c r="B341" s="8" t="s">
        <v>649</v>
      </c>
      <c r="C341" s="8" t="s">
        <v>253</v>
      </c>
      <c r="D341" s="8" t="s">
        <v>290</v>
      </c>
      <c r="E341" s="9" t="n">
        <v>-60</v>
      </c>
      <c r="F341" s="8" t="s">
        <v>17</v>
      </c>
    </row>
    <row r="342" customFormat="false" ht="15" hidden="false" customHeight="true" outlineLevel="0" collapsed="false">
      <c r="A342" s="32" t="n">
        <v>46111</v>
      </c>
      <c r="B342" s="8" t="s">
        <v>647</v>
      </c>
      <c r="C342" s="8" t="s">
        <v>253</v>
      </c>
      <c r="D342" s="8" t="s">
        <v>414</v>
      </c>
      <c r="E342" s="9" t="n">
        <v>-10.7</v>
      </c>
      <c r="F342" s="8" t="s">
        <v>17</v>
      </c>
    </row>
    <row r="343" customFormat="false" ht="15" hidden="false" customHeight="true" outlineLevel="0" collapsed="false">
      <c r="A343" s="32" t="n">
        <v>46111</v>
      </c>
      <c r="B343" s="8" t="s">
        <v>650</v>
      </c>
      <c r="C343" s="8" t="s">
        <v>253</v>
      </c>
      <c r="D343" s="8" t="s">
        <v>338</v>
      </c>
      <c r="E343" s="9" t="n">
        <v>-36.45</v>
      </c>
      <c r="F343" s="8" t="s">
        <v>31</v>
      </c>
    </row>
    <row r="344" customFormat="false" ht="15" hidden="false" customHeight="true" outlineLevel="0" collapsed="false">
      <c r="A344" s="32" t="n">
        <v>46111</v>
      </c>
      <c r="B344" s="8" t="s">
        <v>651</v>
      </c>
      <c r="C344" s="8" t="s">
        <v>269</v>
      </c>
      <c r="D344" s="8" t="s">
        <v>449</v>
      </c>
      <c r="E344" s="9" t="n">
        <v>-1233.82</v>
      </c>
      <c r="F344" s="8" t="s">
        <v>14</v>
      </c>
    </row>
    <row r="345" customFormat="false" ht="15" hidden="false" customHeight="true" outlineLevel="0" collapsed="false">
      <c r="A345" s="32" t="n">
        <v>46111</v>
      </c>
      <c r="B345" s="8" t="s">
        <v>652</v>
      </c>
      <c r="C345" s="8" t="s">
        <v>253</v>
      </c>
      <c r="D345" s="8" t="s">
        <v>444</v>
      </c>
      <c r="E345" s="9" t="n">
        <v>-65.54</v>
      </c>
      <c r="F345" s="8" t="s">
        <v>20</v>
      </c>
    </row>
    <row r="346" customFormat="false" ht="15" hidden="false" customHeight="true" outlineLevel="0" collapsed="false">
      <c r="A346" s="32" t="n">
        <v>46111</v>
      </c>
      <c r="B346" s="8" t="s">
        <v>653</v>
      </c>
      <c r="C346" s="8" t="s">
        <v>269</v>
      </c>
      <c r="D346" s="8" t="s">
        <v>456</v>
      </c>
      <c r="E346" s="9" t="n">
        <v>-2465.38</v>
      </c>
      <c r="F346" s="8" t="s">
        <v>14</v>
      </c>
    </row>
    <row r="347" customFormat="false" ht="15" hidden="false" customHeight="true" outlineLevel="0" collapsed="false">
      <c r="A347" s="32" t="n">
        <v>46112</v>
      </c>
      <c r="B347" s="8" t="s">
        <v>654</v>
      </c>
      <c r="C347" s="8" t="s">
        <v>253</v>
      </c>
      <c r="D347" s="8" t="s">
        <v>655</v>
      </c>
      <c r="E347" s="9" t="n">
        <v>-50</v>
      </c>
      <c r="F347" s="8" t="s">
        <v>17</v>
      </c>
    </row>
    <row r="348" customFormat="false" ht="15" hidden="false" customHeight="true" outlineLevel="0" collapsed="false">
      <c r="A348" s="32" t="n">
        <v>46112</v>
      </c>
      <c r="B348" s="8" t="s">
        <v>298</v>
      </c>
      <c r="C348" s="8" t="s">
        <v>656</v>
      </c>
      <c r="D348" s="8" t="s">
        <v>657</v>
      </c>
      <c r="E348" s="9" t="n">
        <v>-74.4</v>
      </c>
      <c r="F348" s="8" t="s">
        <v>25</v>
      </c>
    </row>
    <row r="349" customFormat="false" ht="15" hidden="false" customHeight="true" outlineLevel="0" collapsed="false">
      <c r="A349" s="32" t="n">
        <v>46112</v>
      </c>
      <c r="B349" s="8" t="s">
        <v>658</v>
      </c>
      <c r="C349" s="8" t="s">
        <v>253</v>
      </c>
      <c r="D349" s="8" t="s">
        <v>485</v>
      </c>
      <c r="E349" s="9" t="n">
        <v>-6.2</v>
      </c>
      <c r="F349" s="8" t="s">
        <v>17</v>
      </c>
    </row>
    <row r="350" customFormat="false" ht="15" hidden="false" customHeight="true" outlineLevel="0" collapsed="false">
      <c r="A350" s="32" t="n">
        <v>46112</v>
      </c>
      <c r="B350" s="8" t="s">
        <v>659</v>
      </c>
      <c r="C350" s="8" t="s">
        <v>253</v>
      </c>
      <c r="D350" s="8" t="s">
        <v>276</v>
      </c>
      <c r="E350" s="9" t="n">
        <v>-88</v>
      </c>
      <c r="F350" s="8" t="s">
        <v>18</v>
      </c>
    </row>
    <row r="351" customFormat="false" ht="15" hidden="false" customHeight="true" outlineLevel="0" collapsed="false">
      <c r="A351" s="32" t="n">
        <v>46112</v>
      </c>
      <c r="B351" s="8" t="s">
        <v>660</v>
      </c>
      <c r="C351" s="8" t="s">
        <v>253</v>
      </c>
      <c r="D351" s="8" t="s">
        <v>282</v>
      </c>
      <c r="E351" s="9" t="n">
        <v>-41.97</v>
      </c>
      <c r="F351" s="8" t="s">
        <v>13</v>
      </c>
    </row>
    <row r="352" customFormat="false" ht="15" hidden="false" customHeight="true" outlineLevel="0" collapsed="false">
      <c r="A352" s="32" t="n">
        <v>46112</v>
      </c>
      <c r="B352" s="8" t="s">
        <v>661</v>
      </c>
      <c r="C352" s="8" t="s">
        <v>253</v>
      </c>
      <c r="D352" s="8" t="s">
        <v>662</v>
      </c>
      <c r="E352" s="9" t="n">
        <v>-63.47</v>
      </c>
      <c r="F352" s="8" t="s">
        <v>17</v>
      </c>
    </row>
    <row r="353" customFormat="false" ht="15" hidden="false" customHeight="true" outlineLevel="0" collapsed="false">
      <c r="A353" s="32" t="n">
        <v>46112</v>
      </c>
      <c r="B353" s="8" t="s">
        <v>663</v>
      </c>
      <c r="C353" s="8" t="s">
        <v>256</v>
      </c>
      <c r="D353" s="8" t="s">
        <v>547</v>
      </c>
      <c r="E353" s="9" t="n">
        <v>-290.76</v>
      </c>
      <c r="F353" s="8" t="s">
        <v>13</v>
      </c>
    </row>
    <row r="354" customFormat="false" ht="15" hidden="false" customHeight="true" outlineLevel="0" collapsed="false">
      <c r="A354" s="32" t="n">
        <v>46112</v>
      </c>
      <c r="B354" s="8" t="s">
        <v>664</v>
      </c>
      <c r="C354" s="8" t="s">
        <v>253</v>
      </c>
      <c r="D354" s="8" t="s">
        <v>665</v>
      </c>
      <c r="E354" s="9" t="n">
        <v>-172.8</v>
      </c>
      <c r="F354" s="8" t="s">
        <v>19</v>
      </c>
    </row>
    <row r="355" customFormat="false" ht="15" hidden="false" customHeight="true" outlineLevel="0" collapsed="false">
      <c r="A355" s="32" t="n">
        <v>46112</v>
      </c>
      <c r="B355" s="8" t="s">
        <v>666</v>
      </c>
      <c r="C355" s="8" t="s">
        <v>256</v>
      </c>
      <c r="D355" s="8" t="s">
        <v>272</v>
      </c>
      <c r="E355" s="9" t="n">
        <v>-759.91</v>
      </c>
      <c r="F355" s="8" t="s">
        <v>21</v>
      </c>
    </row>
    <row r="356" customFormat="false" ht="15" hidden="false" customHeight="true" outlineLevel="0" collapsed="false">
      <c r="A356" s="32" t="n">
        <v>46112</v>
      </c>
      <c r="B356" s="8" t="s">
        <v>664</v>
      </c>
      <c r="C356" s="8" t="s">
        <v>287</v>
      </c>
      <c r="D356" s="8" t="s">
        <v>665</v>
      </c>
      <c r="E356" s="9" t="n">
        <v>-5.01</v>
      </c>
      <c r="F356" s="8" t="s">
        <v>25</v>
      </c>
    </row>
    <row r="357" customFormat="false" ht="15" hidden="false" customHeight="true" outlineLevel="0" collapsed="false">
      <c r="A357" s="32" t="n">
        <v>46113</v>
      </c>
      <c r="B357" s="8" t="s">
        <v>667</v>
      </c>
      <c r="C357" s="8" t="s">
        <v>253</v>
      </c>
      <c r="D357" s="8" t="s">
        <v>276</v>
      </c>
      <c r="E357" s="9" t="n">
        <v>-28</v>
      </c>
      <c r="F357" s="8" t="s">
        <v>18</v>
      </c>
    </row>
    <row r="358" customFormat="false" ht="15" hidden="false" customHeight="true" outlineLevel="0" collapsed="false">
      <c r="A358" s="32" t="n">
        <v>46113</v>
      </c>
      <c r="B358" s="8" t="s">
        <v>668</v>
      </c>
      <c r="C358" s="8" t="s">
        <v>266</v>
      </c>
      <c r="D358" s="8" t="s">
        <v>669</v>
      </c>
      <c r="E358" s="9" t="n">
        <v>25223</v>
      </c>
      <c r="F358" s="8" t="s">
        <v>261</v>
      </c>
    </row>
    <row r="359" customFormat="false" ht="15" hidden="false" customHeight="true" outlineLevel="0" collapsed="false">
      <c r="A359" s="32" t="n">
        <v>46113</v>
      </c>
      <c r="B359" s="8" t="s">
        <v>670</v>
      </c>
      <c r="C359" s="8" t="s">
        <v>253</v>
      </c>
      <c r="D359" s="8" t="s">
        <v>671</v>
      </c>
      <c r="E359" s="9" t="n">
        <v>-60</v>
      </c>
      <c r="F359" s="8" t="s">
        <v>17</v>
      </c>
    </row>
    <row r="360" customFormat="false" ht="15" hidden="false" customHeight="true" outlineLevel="0" collapsed="false">
      <c r="A360" s="32" t="n">
        <v>46113</v>
      </c>
      <c r="B360" s="8" t="s">
        <v>672</v>
      </c>
      <c r="C360" s="8" t="s">
        <v>253</v>
      </c>
      <c r="D360" s="8" t="s">
        <v>284</v>
      </c>
      <c r="E360" s="9" t="n">
        <v>-3.99</v>
      </c>
      <c r="F360" s="8" t="s">
        <v>20</v>
      </c>
    </row>
    <row r="361" customFormat="false" ht="15" hidden="false" customHeight="true" outlineLevel="0" collapsed="false">
      <c r="A361" s="32" t="n">
        <v>46113</v>
      </c>
      <c r="B361" s="8" t="s">
        <v>673</v>
      </c>
      <c r="C361" s="8" t="s">
        <v>253</v>
      </c>
      <c r="D361" s="8" t="s">
        <v>32</v>
      </c>
      <c r="E361" s="9" t="n">
        <v>-60.25</v>
      </c>
      <c r="F361" s="8" t="s">
        <v>17</v>
      </c>
    </row>
    <row r="362" customFormat="false" ht="15" hidden="false" customHeight="true" outlineLevel="0" collapsed="false">
      <c r="A362" s="32" t="n">
        <v>46113</v>
      </c>
      <c r="B362" s="8" t="s">
        <v>674</v>
      </c>
      <c r="C362" s="8" t="s">
        <v>253</v>
      </c>
      <c r="D362" s="8" t="s">
        <v>276</v>
      </c>
      <c r="E362" s="9" t="n">
        <v>-28</v>
      </c>
      <c r="F362" s="8" t="s">
        <v>18</v>
      </c>
    </row>
    <row r="363" customFormat="false" ht="15" hidden="false" customHeight="true" outlineLevel="0" collapsed="false">
      <c r="A363" s="32" t="n">
        <v>46113</v>
      </c>
      <c r="B363" s="8" t="s">
        <v>675</v>
      </c>
      <c r="C363" s="8" t="s">
        <v>256</v>
      </c>
      <c r="D363" s="8" t="s">
        <v>257</v>
      </c>
      <c r="E363" s="9" t="n">
        <v>-872.67</v>
      </c>
      <c r="F363" s="8" t="s">
        <v>17</v>
      </c>
    </row>
    <row r="364" customFormat="false" ht="15" hidden="false" customHeight="true" outlineLevel="0" collapsed="false">
      <c r="A364" s="32" t="n">
        <v>46113</v>
      </c>
      <c r="B364" s="8" t="s">
        <v>676</v>
      </c>
      <c r="C364" s="8" t="s">
        <v>587</v>
      </c>
      <c r="D364" s="8" t="s">
        <v>677</v>
      </c>
      <c r="E364" s="9" t="n">
        <v>3420</v>
      </c>
      <c r="F364" s="8" t="s">
        <v>261</v>
      </c>
    </row>
    <row r="365" customFormat="false" ht="15" hidden="false" customHeight="true" outlineLevel="0" collapsed="false">
      <c r="A365" s="32" t="n">
        <v>46113</v>
      </c>
      <c r="B365" s="8" t="s">
        <v>668</v>
      </c>
      <c r="C365" s="8" t="s">
        <v>300</v>
      </c>
      <c r="D365" s="8" t="s">
        <v>301</v>
      </c>
      <c r="E365" s="9" t="n">
        <v>-1.2</v>
      </c>
      <c r="F365" s="8" t="s">
        <v>25</v>
      </c>
    </row>
    <row r="366" customFormat="false" ht="15" hidden="false" customHeight="true" outlineLevel="0" collapsed="false">
      <c r="A366" s="32" t="n">
        <v>46113</v>
      </c>
      <c r="B366" s="8" t="s">
        <v>678</v>
      </c>
      <c r="C366" s="8" t="s">
        <v>253</v>
      </c>
      <c r="D366" s="8" t="s">
        <v>414</v>
      </c>
      <c r="E366" s="9" t="n">
        <v>-16.3</v>
      </c>
      <c r="F366" s="8" t="s">
        <v>17</v>
      </c>
    </row>
    <row r="367" customFormat="false" ht="15" hidden="false" customHeight="true" outlineLevel="0" collapsed="false">
      <c r="A367" s="32" t="n">
        <v>46113</v>
      </c>
      <c r="B367" s="8" t="s">
        <v>679</v>
      </c>
      <c r="C367" s="8" t="s">
        <v>253</v>
      </c>
      <c r="D367" s="8" t="s">
        <v>517</v>
      </c>
      <c r="E367" s="9" t="n">
        <v>-1.99</v>
      </c>
      <c r="F367" s="8" t="s">
        <v>24</v>
      </c>
    </row>
    <row r="368" customFormat="false" ht="15" hidden="false" customHeight="true" outlineLevel="0" collapsed="false">
      <c r="A368" s="32" t="n">
        <v>46114</v>
      </c>
      <c r="B368" s="8" t="s">
        <v>680</v>
      </c>
      <c r="C368" s="8" t="s">
        <v>253</v>
      </c>
      <c r="D368" s="8" t="s">
        <v>254</v>
      </c>
      <c r="E368" s="9" t="n">
        <v>-145.8</v>
      </c>
      <c r="F368" s="8" t="s">
        <v>20</v>
      </c>
    </row>
    <row r="369" customFormat="false" ht="15" hidden="false" customHeight="true" outlineLevel="0" collapsed="false">
      <c r="A369" s="32" t="n">
        <v>46114</v>
      </c>
      <c r="B369" s="8" t="s">
        <v>681</v>
      </c>
      <c r="C369" s="8" t="s">
        <v>253</v>
      </c>
      <c r="D369" s="8" t="s">
        <v>282</v>
      </c>
      <c r="E369" s="9" t="n">
        <v>-14.99</v>
      </c>
      <c r="F369" s="8" t="s">
        <v>13</v>
      </c>
    </row>
    <row r="370" customFormat="false" ht="15" hidden="false" customHeight="true" outlineLevel="0" collapsed="false">
      <c r="A370" s="32" t="n">
        <v>46114</v>
      </c>
      <c r="B370" s="8" t="s">
        <v>682</v>
      </c>
      <c r="C370" s="8" t="s">
        <v>253</v>
      </c>
      <c r="D370" s="8" t="s">
        <v>414</v>
      </c>
      <c r="E370" s="9" t="n">
        <v>-10.7</v>
      </c>
      <c r="F370" s="8" t="s">
        <v>17</v>
      </c>
    </row>
    <row r="371" customFormat="false" ht="15" hidden="false" customHeight="true" outlineLevel="0" collapsed="false">
      <c r="A371" s="32" t="n">
        <v>46114</v>
      </c>
      <c r="B371" s="8" t="s">
        <v>683</v>
      </c>
      <c r="C371" s="8" t="s">
        <v>253</v>
      </c>
      <c r="D371" s="8" t="s">
        <v>282</v>
      </c>
      <c r="E371" s="9" t="n">
        <v>-206.17</v>
      </c>
      <c r="F371" s="8" t="s">
        <v>13</v>
      </c>
    </row>
    <row r="372" customFormat="false" ht="15" hidden="false" customHeight="true" outlineLevel="0" collapsed="false">
      <c r="A372" s="32" t="n">
        <v>46114</v>
      </c>
      <c r="B372" s="8" t="s">
        <v>684</v>
      </c>
      <c r="C372" s="8" t="s">
        <v>253</v>
      </c>
      <c r="D372" s="8" t="s">
        <v>685</v>
      </c>
      <c r="E372" s="9" t="n">
        <v>-79.3</v>
      </c>
      <c r="F372" s="8" t="s">
        <v>17</v>
      </c>
    </row>
    <row r="373" customFormat="false" ht="15" hidden="false" customHeight="true" outlineLevel="0" collapsed="false">
      <c r="A373" s="32" t="n">
        <v>46114</v>
      </c>
      <c r="B373" s="8" t="s">
        <v>686</v>
      </c>
      <c r="C373" s="8" t="s">
        <v>253</v>
      </c>
      <c r="D373" s="8" t="s">
        <v>362</v>
      </c>
      <c r="E373" s="9" t="n">
        <v>-10.7</v>
      </c>
      <c r="F373" s="8" t="s">
        <v>17</v>
      </c>
    </row>
    <row r="374" customFormat="false" ht="15" hidden="false" customHeight="true" outlineLevel="0" collapsed="false">
      <c r="A374" s="32" t="n">
        <v>46115</v>
      </c>
      <c r="B374" s="8" t="s">
        <v>687</v>
      </c>
      <c r="C374" s="8" t="s">
        <v>253</v>
      </c>
      <c r="D374" s="8" t="s">
        <v>362</v>
      </c>
      <c r="E374" s="9" t="n">
        <v>-16.3</v>
      </c>
      <c r="F374" s="8" t="s">
        <v>17</v>
      </c>
    </row>
    <row r="375" customFormat="false" ht="15" hidden="false" customHeight="true" outlineLevel="0" collapsed="false">
      <c r="A375" s="32" t="n">
        <v>46115</v>
      </c>
      <c r="B375" s="8" t="s">
        <v>688</v>
      </c>
      <c r="C375" s="8" t="s">
        <v>253</v>
      </c>
      <c r="D375" s="8" t="s">
        <v>290</v>
      </c>
      <c r="E375" s="9" t="n">
        <v>-38.8</v>
      </c>
      <c r="F375" s="8" t="s">
        <v>17</v>
      </c>
    </row>
    <row r="376" customFormat="false" ht="15" hidden="false" customHeight="true" outlineLevel="0" collapsed="false">
      <c r="A376" s="32" t="n">
        <v>46115</v>
      </c>
      <c r="B376" s="8" t="s">
        <v>689</v>
      </c>
      <c r="C376" s="8" t="s">
        <v>253</v>
      </c>
      <c r="D376" s="8" t="s">
        <v>282</v>
      </c>
      <c r="E376" s="9" t="n">
        <v>-12.59</v>
      </c>
      <c r="F376" s="8" t="s">
        <v>13</v>
      </c>
    </row>
    <row r="377" customFormat="false" ht="15" hidden="false" customHeight="true" outlineLevel="0" collapsed="false">
      <c r="A377" s="32" t="n">
        <v>46115</v>
      </c>
      <c r="B377" s="8" t="s">
        <v>690</v>
      </c>
      <c r="C377" s="8" t="s">
        <v>253</v>
      </c>
      <c r="D377" s="8" t="s">
        <v>485</v>
      </c>
      <c r="E377" s="9" t="n">
        <v>-6.2</v>
      </c>
      <c r="F377" s="8" t="s">
        <v>17</v>
      </c>
    </row>
    <row r="378" customFormat="false" ht="15" hidden="false" customHeight="true" outlineLevel="0" collapsed="false">
      <c r="A378" s="32" t="n">
        <v>46115</v>
      </c>
      <c r="B378" s="8" t="s">
        <v>688</v>
      </c>
      <c r="C378" s="8" t="s">
        <v>253</v>
      </c>
      <c r="D378" s="8" t="s">
        <v>290</v>
      </c>
      <c r="E378" s="9" t="n">
        <v>-52.14</v>
      </c>
      <c r="F378" s="8" t="s">
        <v>17</v>
      </c>
    </row>
    <row r="379" customFormat="false" ht="15" hidden="false" customHeight="true" outlineLevel="0" collapsed="false">
      <c r="A379" s="32" t="n">
        <v>46115</v>
      </c>
      <c r="B379" s="8" t="s">
        <v>691</v>
      </c>
      <c r="C379" s="8" t="s">
        <v>269</v>
      </c>
      <c r="D379" s="8" t="s">
        <v>393</v>
      </c>
      <c r="E379" s="9" t="n">
        <v>-13358.75</v>
      </c>
      <c r="F379" s="8" t="s">
        <v>10</v>
      </c>
    </row>
    <row r="380" customFormat="false" ht="15" hidden="false" customHeight="true" outlineLevel="0" collapsed="false">
      <c r="A380" s="32" t="n">
        <v>46119</v>
      </c>
      <c r="B380" s="8" t="s">
        <v>692</v>
      </c>
      <c r="C380" s="8" t="s">
        <v>253</v>
      </c>
      <c r="D380" s="8" t="s">
        <v>517</v>
      </c>
      <c r="E380" s="9" t="n">
        <v>-19.99</v>
      </c>
      <c r="F380" s="8" t="s">
        <v>24</v>
      </c>
    </row>
    <row r="381" customFormat="false" ht="15" hidden="false" customHeight="true" outlineLevel="0" collapsed="false">
      <c r="A381" s="32" t="n">
        <v>46119</v>
      </c>
      <c r="B381" s="8" t="s">
        <v>693</v>
      </c>
      <c r="C381" s="8" t="s">
        <v>256</v>
      </c>
      <c r="D381" s="8" t="s">
        <v>272</v>
      </c>
      <c r="E381" s="9" t="n">
        <v>-160.99</v>
      </c>
      <c r="F381" s="8" t="s">
        <v>21</v>
      </c>
    </row>
    <row r="382" customFormat="false" ht="15" hidden="false" customHeight="true" outlineLevel="0" collapsed="false">
      <c r="A382" s="32" t="n">
        <v>46119</v>
      </c>
      <c r="B382" s="8" t="s">
        <v>694</v>
      </c>
      <c r="C382" s="8" t="s">
        <v>253</v>
      </c>
      <c r="D382" s="8" t="s">
        <v>517</v>
      </c>
      <c r="E382" s="9" t="n">
        <v>-50.61</v>
      </c>
      <c r="F382" s="8" t="s">
        <v>24</v>
      </c>
    </row>
    <row r="383" customFormat="false" ht="15" hidden="false" customHeight="true" outlineLevel="0" collapsed="false">
      <c r="A383" s="32" t="n">
        <v>46119</v>
      </c>
      <c r="B383" s="8" t="s">
        <v>695</v>
      </c>
      <c r="C383" s="8" t="s">
        <v>253</v>
      </c>
      <c r="D383" s="8" t="s">
        <v>696</v>
      </c>
      <c r="E383" s="9" t="n">
        <v>-60</v>
      </c>
      <c r="F383" s="8" t="s">
        <v>22</v>
      </c>
    </row>
    <row r="384" customFormat="false" ht="15" hidden="false" customHeight="true" outlineLevel="0" collapsed="false">
      <c r="A384" s="32" t="n">
        <v>46119</v>
      </c>
      <c r="B384" s="8" t="s">
        <v>697</v>
      </c>
      <c r="C384" s="8" t="s">
        <v>256</v>
      </c>
      <c r="D384" s="8" t="s">
        <v>698</v>
      </c>
      <c r="E384" s="9" t="n">
        <v>-83.33</v>
      </c>
      <c r="F384" s="8" t="s">
        <v>26</v>
      </c>
    </row>
    <row r="385" customFormat="false" ht="15" hidden="false" customHeight="true" outlineLevel="0" collapsed="false">
      <c r="A385" s="32" t="n">
        <v>46119</v>
      </c>
      <c r="B385" s="8" t="s">
        <v>699</v>
      </c>
      <c r="C385" s="8" t="s">
        <v>269</v>
      </c>
      <c r="D385" s="8" t="s">
        <v>270</v>
      </c>
      <c r="E385" s="9" t="n">
        <v>-2000</v>
      </c>
      <c r="F385" s="8" t="s">
        <v>16</v>
      </c>
    </row>
    <row r="386" customFormat="false" ht="15" hidden="false" customHeight="true" outlineLevel="0" collapsed="false">
      <c r="A386" s="32" t="n">
        <v>46120</v>
      </c>
      <c r="B386" s="8" t="s">
        <v>700</v>
      </c>
      <c r="C386" s="8" t="s">
        <v>269</v>
      </c>
      <c r="D386" s="8" t="s">
        <v>323</v>
      </c>
      <c r="E386" s="9" t="n">
        <v>-5305</v>
      </c>
      <c r="F386" s="8" t="s">
        <v>13</v>
      </c>
    </row>
    <row r="387" customFormat="false" ht="15" hidden="false" customHeight="true" outlineLevel="0" collapsed="false">
      <c r="A387" s="32" t="n">
        <v>46120</v>
      </c>
      <c r="B387" s="8" t="s">
        <v>701</v>
      </c>
      <c r="C387" s="8" t="s">
        <v>269</v>
      </c>
      <c r="D387" s="8" t="s">
        <v>702</v>
      </c>
      <c r="E387" s="9" t="n">
        <v>-252</v>
      </c>
      <c r="F387" s="8" t="s">
        <v>18</v>
      </c>
    </row>
    <row r="388" customFormat="false" ht="15" hidden="false" customHeight="true" outlineLevel="0" collapsed="false">
      <c r="A388" s="32" t="n">
        <v>46120</v>
      </c>
      <c r="B388" s="8" t="s">
        <v>703</v>
      </c>
      <c r="C388" s="8" t="s">
        <v>269</v>
      </c>
      <c r="D388" s="8" t="s">
        <v>315</v>
      </c>
      <c r="E388" s="9" t="n">
        <v>-9130.62</v>
      </c>
      <c r="F388" s="8" t="s">
        <v>11</v>
      </c>
    </row>
    <row r="389" customFormat="false" ht="15" hidden="false" customHeight="true" outlineLevel="0" collapsed="false">
      <c r="A389" s="32" t="n">
        <v>46120</v>
      </c>
      <c r="B389" s="8" t="s">
        <v>704</v>
      </c>
      <c r="C389" s="8" t="s">
        <v>253</v>
      </c>
      <c r="D389" s="8" t="s">
        <v>705</v>
      </c>
      <c r="E389" s="9" t="n">
        <v>-28.3</v>
      </c>
      <c r="F389" s="8" t="s">
        <v>17</v>
      </c>
    </row>
    <row r="390" customFormat="false" ht="15" hidden="false" customHeight="true" outlineLevel="0" collapsed="false">
      <c r="A390" s="32" t="n">
        <v>46120</v>
      </c>
      <c r="B390" s="8" t="s">
        <v>706</v>
      </c>
      <c r="C390" s="8" t="s">
        <v>253</v>
      </c>
      <c r="D390" s="8" t="s">
        <v>290</v>
      </c>
      <c r="E390" s="9" t="n">
        <v>-53.41</v>
      </c>
      <c r="F390" s="8" t="s">
        <v>17</v>
      </c>
    </row>
    <row r="391" customFormat="false" ht="15" hidden="false" customHeight="true" outlineLevel="0" collapsed="false">
      <c r="A391" s="32" t="n">
        <v>46120</v>
      </c>
      <c r="B391" s="8" t="s">
        <v>707</v>
      </c>
      <c r="C391" s="8" t="s">
        <v>256</v>
      </c>
      <c r="D391" s="8" t="s">
        <v>274</v>
      </c>
      <c r="E391" s="9" t="n">
        <v>-0.36</v>
      </c>
      <c r="F391" s="8" t="s">
        <v>20</v>
      </c>
    </row>
    <row r="392" customFormat="false" ht="15" hidden="false" customHeight="true" outlineLevel="0" collapsed="false">
      <c r="A392" s="32" t="n">
        <v>46120</v>
      </c>
      <c r="B392" s="8" t="s">
        <v>708</v>
      </c>
      <c r="C392" s="8" t="s">
        <v>253</v>
      </c>
      <c r="D392" s="8" t="s">
        <v>284</v>
      </c>
      <c r="E392" s="9" t="n">
        <v>-3.99</v>
      </c>
      <c r="F392" s="8" t="s">
        <v>20</v>
      </c>
    </row>
    <row r="393" customFormat="false" ht="15" hidden="false" customHeight="true" outlineLevel="0" collapsed="false">
      <c r="A393" s="32" t="n">
        <v>46120</v>
      </c>
      <c r="B393" s="8" t="s">
        <v>709</v>
      </c>
      <c r="C393" s="8" t="s">
        <v>253</v>
      </c>
      <c r="D393" s="8" t="s">
        <v>710</v>
      </c>
      <c r="E393" s="9" t="n">
        <v>-10</v>
      </c>
      <c r="F393" s="8" t="s">
        <v>18</v>
      </c>
    </row>
    <row r="394" customFormat="false" ht="15" hidden="false" customHeight="true" outlineLevel="0" collapsed="false">
      <c r="A394" s="32" t="n">
        <v>46121</v>
      </c>
      <c r="B394" s="8" t="s">
        <v>711</v>
      </c>
      <c r="C394" s="8" t="s">
        <v>266</v>
      </c>
      <c r="D394" s="8" t="s">
        <v>295</v>
      </c>
      <c r="E394" s="9" t="n">
        <v>10000</v>
      </c>
      <c r="F394" s="8" t="s">
        <v>261</v>
      </c>
    </row>
    <row r="395" customFormat="false" ht="15" hidden="false" customHeight="true" outlineLevel="0" collapsed="false">
      <c r="A395" s="32" t="n">
        <v>46121</v>
      </c>
      <c r="B395" s="8" t="s">
        <v>712</v>
      </c>
      <c r="C395" s="8" t="s">
        <v>253</v>
      </c>
      <c r="D395" s="8" t="s">
        <v>517</v>
      </c>
      <c r="E395" s="9" t="n">
        <v>-6.99</v>
      </c>
      <c r="F395" s="8" t="s">
        <v>24</v>
      </c>
    </row>
    <row r="396" customFormat="false" ht="15" hidden="false" customHeight="true" outlineLevel="0" collapsed="false">
      <c r="A396" s="32" t="n">
        <v>46121</v>
      </c>
      <c r="B396" s="8" t="s">
        <v>713</v>
      </c>
      <c r="C396" s="8" t="s">
        <v>253</v>
      </c>
      <c r="D396" s="8" t="s">
        <v>284</v>
      </c>
      <c r="E396" s="9" t="n">
        <v>-13.99</v>
      </c>
      <c r="F396" s="8" t="s">
        <v>20</v>
      </c>
    </row>
    <row r="397" customFormat="false" ht="15" hidden="false" customHeight="true" outlineLevel="0" collapsed="false">
      <c r="A397" s="32" t="n">
        <v>46121</v>
      </c>
      <c r="B397" s="8" t="s">
        <v>714</v>
      </c>
      <c r="C397" s="8" t="s">
        <v>287</v>
      </c>
      <c r="D397" s="8" t="s">
        <v>288</v>
      </c>
      <c r="E397" s="9" t="n">
        <v>-0.5</v>
      </c>
      <c r="F397" s="8" t="s">
        <v>25</v>
      </c>
    </row>
    <row r="398" customFormat="false" ht="15" hidden="false" customHeight="true" outlineLevel="0" collapsed="false">
      <c r="A398" s="32" t="n">
        <v>46121</v>
      </c>
      <c r="B398" s="8" t="s">
        <v>715</v>
      </c>
      <c r="C398" s="8" t="s">
        <v>259</v>
      </c>
      <c r="D398" s="8" t="s">
        <v>260</v>
      </c>
      <c r="E398" s="9" t="n">
        <v>117.94</v>
      </c>
      <c r="F398" s="8" t="s">
        <v>261</v>
      </c>
    </row>
    <row r="399" customFormat="false" ht="15" hidden="false" customHeight="true" outlineLevel="0" collapsed="false">
      <c r="A399" s="32" t="n">
        <v>46121</v>
      </c>
      <c r="B399" s="8" t="s">
        <v>711</v>
      </c>
      <c r="C399" s="8" t="s">
        <v>300</v>
      </c>
      <c r="D399" s="8" t="s">
        <v>301</v>
      </c>
      <c r="E399" s="9" t="n">
        <v>-1.2</v>
      </c>
      <c r="F399" s="8" t="s">
        <v>25</v>
      </c>
    </row>
    <row r="400" customFormat="false" ht="15" hidden="false" customHeight="true" outlineLevel="0" collapsed="false">
      <c r="A400" s="32" t="n">
        <v>46121</v>
      </c>
      <c r="B400" s="8" t="s">
        <v>716</v>
      </c>
      <c r="C400" s="8" t="s">
        <v>253</v>
      </c>
      <c r="D400" s="8" t="s">
        <v>276</v>
      </c>
      <c r="E400" s="9" t="n">
        <v>-28</v>
      </c>
      <c r="F400" s="8" t="s">
        <v>18</v>
      </c>
    </row>
    <row r="401" customFormat="false" ht="15" hidden="false" customHeight="true" outlineLevel="0" collapsed="false">
      <c r="A401" s="32" t="n">
        <v>46121</v>
      </c>
      <c r="B401" s="8" t="s">
        <v>714</v>
      </c>
      <c r="C401" s="8" t="s">
        <v>253</v>
      </c>
      <c r="D401" s="8" t="s">
        <v>288</v>
      </c>
      <c r="E401" s="9" t="n">
        <v>-33.85</v>
      </c>
      <c r="F401" s="8" t="s">
        <v>20</v>
      </c>
    </row>
    <row r="402" customFormat="false" ht="15" hidden="false" customHeight="true" outlineLevel="0" collapsed="false">
      <c r="A402" s="32" t="n">
        <v>46121</v>
      </c>
      <c r="B402" s="8" t="s">
        <v>717</v>
      </c>
      <c r="C402" s="8" t="s">
        <v>718</v>
      </c>
      <c r="D402" s="8" t="s">
        <v>719</v>
      </c>
      <c r="E402" s="9" t="n">
        <v>-558.24</v>
      </c>
      <c r="F402" s="8" t="s">
        <v>27</v>
      </c>
    </row>
    <row r="403" customFormat="false" ht="15" hidden="false" customHeight="true" outlineLevel="0" collapsed="false">
      <c r="A403" s="32" t="n">
        <v>46121</v>
      </c>
      <c r="B403" s="8" t="s">
        <v>720</v>
      </c>
      <c r="C403" s="8" t="s">
        <v>253</v>
      </c>
      <c r="D403" s="8" t="s">
        <v>721</v>
      </c>
      <c r="E403" s="9" t="n">
        <v>-43.53</v>
      </c>
      <c r="F403" s="8" t="s">
        <v>17</v>
      </c>
    </row>
    <row r="404" customFormat="false" ht="15" hidden="false" customHeight="true" outlineLevel="0" collapsed="false">
      <c r="A404" s="32" t="n">
        <v>46122</v>
      </c>
      <c r="B404" s="8" t="s">
        <v>722</v>
      </c>
      <c r="C404" s="8" t="s">
        <v>256</v>
      </c>
      <c r="D404" s="8" t="s">
        <v>698</v>
      </c>
      <c r="E404" s="9" t="n">
        <v>-132.17</v>
      </c>
      <c r="F404" s="8" t="s">
        <v>26</v>
      </c>
    </row>
    <row r="405" customFormat="false" ht="15" hidden="false" customHeight="true" outlineLevel="0" collapsed="false">
      <c r="A405" s="32" t="n">
        <v>46122</v>
      </c>
      <c r="B405" s="8" t="s">
        <v>723</v>
      </c>
      <c r="C405" s="8" t="s">
        <v>256</v>
      </c>
      <c r="D405" s="8" t="s">
        <v>724</v>
      </c>
      <c r="E405" s="9" t="n">
        <v>-30</v>
      </c>
      <c r="F405" s="8" t="s">
        <v>17</v>
      </c>
    </row>
    <row r="406" customFormat="false" ht="15" hidden="false" customHeight="true" outlineLevel="0" collapsed="false">
      <c r="A406" s="32" t="n">
        <v>46122</v>
      </c>
      <c r="B406" s="8" t="s">
        <v>725</v>
      </c>
      <c r="C406" s="8" t="s">
        <v>256</v>
      </c>
      <c r="D406" s="8" t="s">
        <v>306</v>
      </c>
      <c r="E406" s="9" t="n">
        <v>-78.46</v>
      </c>
      <c r="F406" s="8" t="s">
        <v>30</v>
      </c>
    </row>
    <row r="407" customFormat="false" ht="15" hidden="false" customHeight="true" outlineLevel="0" collapsed="false">
      <c r="A407" s="32" t="n">
        <v>46122</v>
      </c>
      <c r="B407" s="8" t="s">
        <v>726</v>
      </c>
      <c r="C407" s="8" t="s">
        <v>259</v>
      </c>
      <c r="D407" s="8" t="s">
        <v>260</v>
      </c>
      <c r="E407" s="9" t="n">
        <v>19.44</v>
      </c>
      <c r="F407" s="8" t="s">
        <v>261</v>
      </c>
    </row>
    <row r="408" customFormat="false" ht="15" hidden="false" customHeight="true" outlineLevel="0" collapsed="false">
      <c r="A408" s="32" t="n">
        <v>46122</v>
      </c>
      <c r="B408" s="8" t="s">
        <v>727</v>
      </c>
      <c r="C408" s="8" t="s">
        <v>256</v>
      </c>
      <c r="D408" s="8" t="s">
        <v>292</v>
      </c>
      <c r="E408" s="9" t="n">
        <v>-252.91</v>
      </c>
      <c r="F408" s="8" t="s">
        <v>26</v>
      </c>
    </row>
    <row r="409" customFormat="false" ht="15" hidden="false" customHeight="true" outlineLevel="0" collapsed="false">
      <c r="A409" s="32" t="n">
        <v>46122</v>
      </c>
      <c r="B409" s="8" t="s">
        <v>728</v>
      </c>
      <c r="C409" s="8" t="s">
        <v>256</v>
      </c>
      <c r="D409" s="8" t="s">
        <v>347</v>
      </c>
      <c r="E409" s="9" t="n">
        <v>-504</v>
      </c>
      <c r="F409" s="8" t="s">
        <v>23</v>
      </c>
    </row>
    <row r="410" customFormat="false" ht="15" hidden="false" customHeight="true" outlineLevel="0" collapsed="false">
      <c r="A410" s="32" t="n">
        <v>46122</v>
      </c>
      <c r="B410" s="8" t="s">
        <v>298</v>
      </c>
      <c r="C410" s="8" t="s">
        <v>299</v>
      </c>
      <c r="D410" s="8"/>
      <c r="E410" s="9" t="n">
        <v>-246.8</v>
      </c>
      <c r="F410" s="8" t="s">
        <v>25</v>
      </c>
    </row>
    <row r="411" customFormat="false" ht="15" hidden="false" customHeight="true" outlineLevel="0" collapsed="false">
      <c r="A411" s="32" t="n">
        <v>46122</v>
      </c>
      <c r="B411" s="8" t="s">
        <v>729</v>
      </c>
      <c r="C411" s="8" t="s">
        <v>253</v>
      </c>
      <c r="D411" s="8" t="s">
        <v>414</v>
      </c>
      <c r="E411" s="9" t="n">
        <v>-27.1</v>
      </c>
      <c r="F411" s="8" t="s">
        <v>17</v>
      </c>
    </row>
    <row r="412" customFormat="false" ht="15" hidden="false" customHeight="true" outlineLevel="0" collapsed="false">
      <c r="A412" s="32" t="n">
        <v>46122</v>
      </c>
      <c r="B412" s="8" t="s">
        <v>730</v>
      </c>
      <c r="C412" s="8" t="s">
        <v>253</v>
      </c>
      <c r="D412" s="8" t="s">
        <v>282</v>
      </c>
      <c r="E412" s="9" t="n">
        <v>-16.88</v>
      </c>
      <c r="F412" s="8" t="s">
        <v>13</v>
      </c>
    </row>
    <row r="413" customFormat="false" ht="15" hidden="false" customHeight="true" outlineLevel="0" collapsed="false">
      <c r="A413" s="32" t="n">
        <v>46125</v>
      </c>
      <c r="B413" s="8" t="s">
        <v>731</v>
      </c>
      <c r="C413" s="8" t="s">
        <v>253</v>
      </c>
      <c r="D413" s="8" t="s">
        <v>282</v>
      </c>
      <c r="E413" s="9" t="n">
        <v>-7.59</v>
      </c>
      <c r="F413" s="8" t="s">
        <v>13</v>
      </c>
    </row>
    <row r="414" customFormat="false" ht="15" hidden="false" customHeight="true" outlineLevel="0" collapsed="false">
      <c r="A414" s="32" t="n">
        <v>46125</v>
      </c>
      <c r="B414" s="8" t="s">
        <v>732</v>
      </c>
      <c r="C414" s="8" t="s">
        <v>253</v>
      </c>
      <c r="D414" s="8" t="s">
        <v>290</v>
      </c>
      <c r="E414" s="9" t="n">
        <v>-53.43</v>
      </c>
      <c r="F414" s="8" t="s">
        <v>17</v>
      </c>
    </row>
    <row r="415" customFormat="false" ht="15" hidden="false" customHeight="true" outlineLevel="0" collapsed="false">
      <c r="A415" s="32" t="n">
        <v>46125</v>
      </c>
      <c r="B415" s="8" t="s">
        <v>733</v>
      </c>
      <c r="C415" s="8" t="s">
        <v>259</v>
      </c>
      <c r="D415" s="8" t="s">
        <v>260</v>
      </c>
      <c r="E415" s="9" t="n">
        <v>39.13</v>
      </c>
      <c r="F415" s="8" t="s">
        <v>261</v>
      </c>
    </row>
    <row r="416" customFormat="false" ht="15" hidden="false" customHeight="true" outlineLevel="0" collapsed="false">
      <c r="A416" s="32" t="n">
        <v>46125</v>
      </c>
      <c r="B416" s="8" t="s">
        <v>734</v>
      </c>
      <c r="C416" s="8" t="s">
        <v>253</v>
      </c>
      <c r="D416" s="8" t="s">
        <v>32</v>
      </c>
      <c r="E416" s="9" t="n">
        <v>-55.42</v>
      </c>
      <c r="F416" s="8" t="s">
        <v>17</v>
      </c>
    </row>
    <row r="417" customFormat="false" ht="15" hidden="false" customHeight="true" outlineLevel="0" collapsed="false">
      <c r="A417" s="32" t="n">
        <v>46125</v>
      </c>
      <c r="B417" s="8" t="s">
        <v>735</v>
      </c>
      <c r="C417" s="8" t="s">
        <v>253</v>
      </c>
      <c r="D417" s="8" t="s">
        <v>736</v>
      </c>
      <c r="E417" s="9" t="n">
        <v>-657</v>
      </c>
      <c r="F417" s="8" t="s">
        <v>19</v>
      </c>
    </row>
    <row r="418" customFormat="false" ht="15" hidden="false" customHeight="true" outlineLevel="0" collapsed="false">
      <c r="A418" s="32" t="n">
        <v>46125</v>
      </c>
      <c r="B418" s="8" t="s">
        <v>735</v>
      </c>
      <c r="C418" s="8" t="s">
        <v>253</v>
      </c>
      <c r="D418" s="8" t="s">
        <v>736</v>
      </c>
      <c r="E418" s="9" t="n">
        <v>-100</v>
      </c>
      <c r="F418" s="8" t="s">
        <v>19</v>
      </c>
    </row>
    <row r="419" customFormat="false" ht="15" hidden="false" customHeight="true" outlineLevel="0" collapsed="false">
      <c r="A419" s="32" t="n">
        <v>46125</v>
      </c>
      <c r="B419" s="8" t="s">
        <v>737</v>
      </c>
      <c r="C419" s="8" t="s">
        <v>253</v>
      </c>
      <c r="D419" s="8" t="s">
        <v>738</v>
      </c>
      <c r="E419" s="9" t="n">
        <v>-480</v>
      </c>
      <c r="F419" s="8" t="s">
        <v>19</v>
      </c>
    </row>
    <row r="420" customFormat="false" ht="15" hidden="false" customHeight="true" outlineLevel="0" collapsed="false">
      <c r="A420" s="32" t="n">
        <v>46126</v>
      </c>
      <c r="B420" s="8" t="s">
        <v>739</v>
      </c>
      <c r="C420" s="8" t="s">
        <v>253</v>
      </c>
      <c r="D420" s="8" t="s">
        <v>438</v>
      </c>
      <c r="E420" s="9" t="n">
        <v>-43.4</v>
      </c>
      <c r="F420" s="8" t="s">
        <v>17</v>
      </c>
    </row>
    <row r="421" customFormat="false" ht="15" hidden="false" customHeight="true" outlineLevel="0" collapsed="false">
      <c r="A421" s="32" t="n">
        <v>46126</v>
      </c>
      <c r="B421" s="8" t="s">
        <v>740</v>
      </c>
      <c r="C421" s="8" t="s">
        <v>253</v>
      </c>
      <c r="D421" s="8" t="s">
        <v>32</v>
      </c>
      <c r="E421" s="9" t="n">
        <v>-50.19</v>
      </c>
      <c r="F421" s="8" t="s">
        <v>17</v>
      </c>
    </row>
    <row r="422" customFormat="false" ht="15" hidden="false" customHeight="true" outlineLevel="0" collapsed="false">
      <c r="A422" s="32" t="n">
        <v>46126</v>
      </c>
      <c r="B422" s="8" t="s">
        <v>741</v>
      </c>
      <c r="C422" s="8" t="s">
        <v>344</v>
      </c>
      <c r="D422" s="8" t="s">
        <v>345</v>
      </c>
      <c r="E422" s="9" t="n">
        <v>-49.35</v>
      </c>
      <c r="F422" s="8" t="s">
        <v>25</v>
      </c>
    </row>
    <row r="423" customFormat="false" ht="15" hidden="false" customHeight="true" outlineLevel="0" collapsed="false">
      <c r="A423" s="32" t="n">
        <v>46126</v>
      </c>
      <c r="B423" s="8" t="s">
        <v>742</v>
      </c>
      <c r="C423" s="8" t="s">
        <v>253</v>
      </c>
      <c r="D423" s="8" t="s">
        <v>743</v>
      </c>
      <c r="E423" s="9" t="n">
        <v>-11.3</v>
      </c>
      <c r="F423" s="8" t="s">
        <v>18</v>
      </c>
    </row>
    <row r="424" customFormat="false" ht="15" hidden="false" customHeight="true" outlineLevel="0" collapsed="false">
      <c r="A424" s="32" t="n">
        <v>46126</v>
      </c>
      <c r="B424" s="8" t="s">
        <v>744</v>
      </c>
      <c r="C424" s="8" t="s">
        <v>253</v>
      </c>
      <c r="D424" s="8" t="s">
        <v>395</v>
      </c>
      <c r="E424" s="9" t="n">
        <v>-11.9</v>
      </c>
      <c r="F424" s="8" t="s">
        <v>17</v>
      </c>
    </row>
    <row r="425" customFormat="false" ht="15" hidden="false" customHeight="true" outlineLevel="0" collapsed="false">
      <c r="A425" s="32" t="n">
        <v>46126</v>
      </c>
      <c r="B425" s="8" t="s">
        <v>745</v>
      </c>
      <c r="C425" s="8" t="s">
        <v>253</v>
      </c>
      <c r="D425" s="8" t="s">
        <v>32</v>
      </c>
      <c r="E425" s="9" t="n">
        <v>-12.17</v>
      </c>
      <c r="F425" s="8" t="s">
        <v>17</v>
      </c>
    </row>
    <row r="426" customFormat="false" ht="15" hidden="false" customHeight="true" outlineLevel="0" collapsed="false">
      <c r="A426" s="32" t="n">
        <v>46126</v>
      </c>
      <c r="B426" s="8" t="s">
        <v>746</v>
      </c>
      <c r="C426" s="8" t="s">
        <v>253</v>
      </c>
      <c r="D426" s="8" t="s">
        <v>338</v>
      </c>
      <c r="E426" s="9" t="n">
        <v>-33.95</v>
      </c>
      <c r="F426" s="8" t="s">
        <v>31</v>
      </c>
    </row>
    <row r="427" customFormat="false" ht="15" hidden="false" customHeight="true" outlineLevel="0" collapsed="false">
      <c r="A427" s="32" t="n">
        <v>46126</v>
      </c>
      <c r="B427" s="8" t="s">
        <v>747</v>
      </c>
      <c r="C427" s="8" t="s">
        <v>253</v>
      </c>
      <c r="D427" s="8" t="s">
        <v>748</v>
      </c>
      <c r="E427" s="9" t="n">
        <v>-2.4</v>
      </c>
      <c r="F427" s="8" t="s">
        <v>18</v>
      </c>
    </row>
    <row r="428" customFormat="false" ht="15" hidden="false" customHeight="true" outlineLevel="0" collapsed="false">
      <c r="A428" s="32" t="n">
        <v>46126</v>
      </c>
      <c r="B428" s="8" t="s">
        <v>749</v>
      </c>
      <c r="C428" s="8" t="s">
        <v>253</v>
      </c>
      <c r="D428" s="8" t="s">
        <v>750</v>
      </c>
      <c r="E428" s="9" t="n">
        <v>-2.7</v>
      </c>
      <c r="F428" s="8" t="s">
        <v>17</v>
      </c>
    </row>
    <row r="429" customFormat="false" ht="15" hidden="false" customHeight="true" outlineLevel="0" collapsed="false">
      <c r="A429" s="32" t="n">
        <v>46126</v>
      </c>
      <c r="B429" s="8" t="s">
        <v>751</v>
      </c>
      <c r="C429" s="8" t="s">
        <v>253</v>
      </c>
      <c r="D429" s="8" t="s">
        <v>752</v>
      </c>
      <c r="E429" s="9" t="n">
        <v>-5.76</v>
      </c>
      <c r="F429" s="8" t="s">
        <v>22</v>
      </c>
    </row>
    <row r="430" customFormat="false" ht="15" hidden="false" customHeight="true" outlineLevel="0" collapsed="false">
      <c r="A430" s="32" t="n">
        <v>46126</v>
      </c>
      <c r="B430" s="8" t="s">
        <v>753</v>
      </c>
      <c r="C430" s="8" t="s">
        <v>253</v>
      </c>
      <c r="D430" s="8" t="s">
        <v>754</v>
      </c>
      <c r="E430" s="9" t="n">
        <v>-72.14</v>
      </c>
      <c r="F430" s="8" t="s">
        <v>18</v>
      </c>
    </row>
    <row r="431" customFormat="false" ht="15" hidden="false" customHeight="true" outlineLevel="0" collapsed="false">
      <c r="A431" s="32" t="n">
        <v>46126</v>
      </c>
      <c r="B431" s="8" t="s">
        <v>755</v>
      </c>
      <c r="C431" s="8" t="s">
        <v>253</v>
      </c>
      <c r="D431" s="8" t="s">
        <v>756</v>
      </c>
      <c r="E431" s="9" t="n">
        <v>-3.2</v>
      </c>
      <c r="F431" s="8" t="s">
        <v>17</v>
      </c>
    </row>
    <row r="432" customFormat="false" ht="15" hidden="false" customHeight="true" outlineLevel="0" collapsed="false">
      <c r="A432" s="32" t="n">
        <v>46126</v>
      </c>
      <c r="B432" s="8" t="s">
        <v>757</v>
      </c>
      <c r="C432" s="8" t="s">
        <v>253</v>
      </c>
      <c r="D432" s="8" t="s">
        <v>378</v>
      </c>
      <c r="E432" s="9" t="n">
        <v>-63.05</v>
      </c>
      <c r="F432" s="8" t="s">
        <v>29</v>
      </c>
    </row>
    <row r="433" customFormat="false" ht="15" hidden="false" customHeight="true" outlineLevel="0" collapsed="false">
      <c r="A433" s="32" t="n">
        <v>46126</v>
      </c>
      <c r="B433" s="8" t="s">
        <v>758</v>
      </c>
      <c r="C433" s="8" t="s">
        <v>253</v>
      </c>
      <c r="D433" s="8" t="s">
        <v>32</v>
      </c>
      <c r="E433" s="9" t="n">
        <v>-87.61</v>
      </c>
      <c r="F433" s="8" t="s">
        <v>17</v>
      </c>
    </row>
    <row r="434" customFormat="false" ht="15" hidden="false" customHeight="true" outlineLevel="0" collapsed="false">
      <c r="A434" s="32" t="n">
        <v>46126</v>
      </c>
      <c r="B434" s="8" t="s">
        <v>759</v>
      </c>
      <c r="C434" s="8" t="s">
        <v>253</v>
      </c>
      <c r="D434" s="8" t="s">
        <v>750</v>
      </c>
      <c r="E434" s="9" t="n">
        <v>-5.55</v>
      </c>
      <c r="F434" s="8" t="s">
        <v>17</v>
      </c>
    </row>
    <row r="435" customFormat="false" ht="15" hidden="false" customHeight="true" outlineLevel="0" collapsed="false">
      <c r="A435" s="32" t="n">
        <v>46126</v>
      </c>
      <c r="B435" s="8" t="s">
        <v>760</v>
      </c>
      <c r="C435" s="8" t="s">
        <v>253</v>
      </c>
      <c r="D435" s="8" t="s">
        <v>761</v>
      </c>
      <c r="E435" s="9" t="n">
        <v>-88.05</v>
      </c>
      <c r="F435" s="8" t="s">
        <v>17</v>
      </c>
    </row>
    <row r="436" customFormat="false" ht="15" hidden="false" customHeight="true" outlineLevel="0" collapsed="false">
      <c r="A436" s="32" t="n">
        <v>46126</v>
      </c>
      <c r="B436" s="8" t="s">
        <v>762</v>
      </c>
      <c r="C436" s="8" t="s">
        <v>259</v>
      </c>
      <c r="D436" s="8" t="s">
        <v>260</v>
      </c>
      <c r="E436" s="9" t="n">
        <v>19.44</v>
      </c>
      <c r="F436" s="8" t="s">
        <v>261</v>
      </c>
    </row>
    <row r="437" customFormat="false" ht="15" hidden="false" customHeight="true" outlineLevel="0" collapsed="false">
      <c r="A437" s="32" t="n">
        <v>46126</v>
      </c>
      <c r="B437" s="8" t="s">
        <v>763</v>
      </c>
      <c r="C437" s="8" t="s">
        <v>253</v>
      </c>
      <c r="D437" s="8" t="s">
        <v>32</v>
      </c>
      <c r="E437" s="9" t="n">
        <v>-3.5</v>
      </c>
      <c r="F437" s="8" t="s">
        <v>17</v>
      </c>
    </row>
    <row r="438" customFormat="false" ht="15" hidden="false" customHeight="true" outlineLevel="0" collapsed="false">
      <c r="A438" s="32" t="n">
        <v>46126</v>
      </c>
      <c r="B438" s="8" t="s">
        <v>764</v>
      </c>
      <c r="C438" s="8" t="s">
        <v>253</v>
      </c>
      <c r="D438" s="8" t="s">
        <v>756</v>
      </c>
      <c r="E438" s="9" t="n">
        <v>-10.5</v>
      </c>
      <c r="F438" s="8" t="s">
        <v>17</v>
      </c>
    </row>
    <row r="439" customFormat="false" ht="15" hidden="false" customHeight="true" outlineLevel="0" collapsed="false">
      <c r="A439" s="32" t="n">
        <v>46126</v>
      </c>
      <c r="B439" s="8" t="s">
        <v>765</v>
      </c>
      <c r="C439" s="8" t="s">
        <v>253</v>
      </c>
      <c r="D439" s="8" t="s">
        <v>738</v>
      </c>
      <c r="E439" s="9" t="n">
        <v>-473.62</v>
      </c>
      <c r="F439" s="8" t="s">
        <v>19</v>
      </c>
    </row>
    <row r="440" customFormat="false" ht="15" hidden="false" customHeight="true" outlineLevel="0" collapsed="false">
      <c r="A440" s="32" t="n">
        <v>46126</v>
      </c>
      <c r="B440" s="8" t="s">
        <v>766</v>
      </c>
      <c r="C440" s="8" t="s">
        <v>253</v>
      </c>
      <c r="D440" s="8" t="s">
        <v>767</v>
      </c>
      <c r="E440" s="9" t="n">
        <v>-2.05</v>
      </c>
      <c r="F440" s="8" t="s">
        <v>24</v>
      </c>
    </row>
    <row r="441" customFormat="false" ht="15" hidden="false" customHeight="true" outlineLevel="0" collapsed="false">
      <c r="A441" s="32" t="n">
        <v>46126</v>
      </c>
      <c r="B441" s="8" t="s">
        <v>768</v>
      </c>
      <c r="C441" s="8" t="s">
        <v>253</v>
      </c>
      <c r="D441" s="8" t="s">
        <v>750</v>
      </c>
      <c r="E441" s="9" t="n">
        <v>-3.45</v>
      </c>
      <c r="F441" s="8" t="s">
        <v>17</v>
      </c>
    </row>
    <row r="442" customFormat="false" ht="15" hidden="false" customHeight="true" outlineLevel="0" collapsed="false">
      <c r="A442" s="32" t="n">
        <v>46126</v>
      </c>
      <c r="B442" s="8" t="s">
        <v>769</v>
      </c>
      <c r="C442" s="8" t="s">
        <v>253</v>
      </c>
      <c r="D442" s="8" t="s">
        <v>752</v>
      </c>
      <c r="E442" s="9" t="n">
        <v>-3.68</v>
      </c>
      <c r="F442" s="8" t="s">
        <v>22</v>
      </c>
    </row>
    <row r="443" customFormat="false" ht="15" hidden="false" customHeight="true" outlineLevel="0" collapsed="false">
      <c r="A443" s="32" t="n">
        <v>46126</v>
      </c>
      <c r="B443" s="8" t="s">
        <v>770</v>
      </c>
      <c r="C443" s="8" t="s">
        <v>253</v>
      </c>
      <c r="D443" s="8" t="s">
        <v>767</v>
      </c>
      <c r="E443" s="9" t="n">
        <v>-6.15</v>
      </c>
      <c r="F443" s="8" t="s">
        <v>24</v>
      </c>
    </row>
    <row r="444" customFormat="false" ht="15" hidden="false" customHeight="true" outlineLevel="0" collapsed="false">
      <c r="A444" s="32" t="n">
        <v>46126</v>
      </c>
      <c r="B444" s="8" t="s">
        <v>771</v>
      </c>
      <c r="C444" s="8" t="s">
        <v>253</v>
      </c>
      <c r="D444" s="8" t="s">
        <v>395</v>
      </c>
      <c r="E444" s="9" t="n">
        <v>-11.9</v>
      </c>
      <c r="F444" s="8" t="s">
        <v>17</v>
      </c>
    </row>
    <row r="445" customFormat="false" ht="15" hidden="false" customHeight="true" outlineLevel="0" collapsed="false">
      <c r="A445" s="32" t="n">
        <v>46127</v>
      </c>
      <c r="B445" s="8" t="s">
        <v>772</v>
      </c>
      <c r="C445" s="8" t="s">
        <v>253</v>
      </c>
      <c r="D445" s="8" t="s">
        <v>284</v>
      </c>
      <c r="E445" s="9" t="n">
        <v>-3.99</v>
      </c>
      <c r="F445" s="8" t="s">
        <v>20</v>
      </c>
    </row>
    <row r="446" customFormat="false" ht="15" hidden="false" customHeight="true" outlineLevel="0" collapsed="false">
      <c r="A446" s="32" t="n">
        <v>46127</v>
      </c>
      <c r="B446" s="8" t="s">
        <v>773</v>
      </c>
      <c r="C446" s="8" t="s">
        <v>253</v>
      </c>
      <c r="D446" s="8" t="s">
        <v>767</v>
      </c>
      <c r="E446" s="9" t="n">
        <v>-12.3</v>
      </c>
      <c r="F446" s="8" t="s">
        <v>24</v>
      </c>
    </row>
    <row r="447" customFormat="false" ht="15" hidden="false" customHeight="true" outlineLevel="0" collapsed="false">
      <c r="A447" s="32" t="n">
        <v>46127</v>
      </c>
      <c r="B447" s="8" t="s">
        <v>774</v>
      </c>
      <c r="C447" s="8" t="s">
        <v>253</v>
      </c>
      <c r="D447" s="8" t="s">
        <v>767</v>
      </c>
      <c r="E447" s="9" t="n">
        <v>-25.95</v>
      </c>
      <c r="F447" s="8" t="s">
        <v>24</v>
      </c>
    </row>
    <row r="448" customFormat="false" ht="15" hidden="false" customHeight="true" outlineLevel="0" collapsed="false">
      <c r="A448" s="32" t="n">
        <v>46127</v>
      </c>
      <c r="B448" s="8" t="s">
        <v>775</v>
      </c>
      <c r="C448" s="8" t="s">
        <v>253</v>
      </c>
      <c r="D448" s="8" t="s">
        <v>767</v>
      </c>
      <c r="E448" s="9" t="n">
        <v>-7.5</v>
      </c>
      <c r="F448" s="8" t="s">
        <v>24</v>
      </c>
    </row>
    <row r="449" customFormat="false" ht="15" hidden="false" customHeight="true" outlineLevel="0" collapsed="false">
      <c r="A449" s="32" t="n">
        <v>46127</v>
      </c>
      <c r="B449" s="8" t="s">
        <v>776</v>
      </c>
      <c r="C449" s="8" t="s">
        <v>253</v>
      </c>
      <c r="D449" s="8" t="s">
        <v>767</v>
      </c>
      <c r="E449" s="9" t="n">
        <v>-2.9</v>
      </c>
      <c r="F449" s="8" t="s">
        <v>24</v>
      </c>
    </row>
    <row r="450" customFormat="false" ht="15" hidden="false" customHeight="true" outlineLevel="0" collapsed="false">
      <c r="A450" s="32" t="n">
        <v>46127</v>
      </c>
      <c r="B450" s="8" t="s">
        <v>777</v>
      </c>
      <c r="C450" s="8" t="s">
        <v>253</v>
      </c>
      <c r="D450" s="8" t="s">
        <v>750</v>
      </c>
      <c r="E450" s="9" t="n">
        <v>-2.4</v>
      </c>
      <c r="F450" s="8" t="s">
        <v>17</v>
      </c>
    </row>
    <row r="451" customFormat="false" ht="15" hidden="false" customHeight="true" outlineLevel="0" collapsed="false">
      <c r="A451" s="32" t="n">
        <v>46127</v>
      </c>
      <c r="B451" s="8" t="s">
        <v>778</v>
      </c>
      <c r="C451" s="8" t="s">
        <v>253</v>
      </c>
      <c r="D451" s="8" t="s">
        <v>750</v>
      </c>
      <c r="E451" s="9" t="n">
        <v>-3.8</v>
      </c>
      <c r="F451" s="8" t="s">
        <v>17</v>
      </c>
    </row>
    <row r="452" customFormat="false" ht="15" hidden="false" customHeight="true" outlineLevel="0" collapsed="false">
      <c r="A452" s="32" t="n">
        <v>46127</v>
      </c>
      <c r="B452" s="8" t="s">
        <v>298</v>
      </c>
      <c r="C452" s="8" t="s">
        <v>353</v>
      </c>
      <c r="D452" s="8"/>
      <c r="E452" s="9" t="n">
        <v>-7.69</v>
      </c>
      <c r="F452" s="8" t="s">
        <v>25</v>
      </c>
    </row>
    <row r="453" customFormat="false" ht="15" hidden="false" customHeight="true" outlineLevel="0" collapsed="false">
      <c r="A453" s="32" t="n">
        <v>46128</v>
      </c>
      <c r="B453" s="8" t="s">
        <v>779</v>
      </c>
      <c r="C453" s="8" t="s">
        <v>259</v>
      </c>
      <c r="D453" s="8" t="s">
        <v>260</v>
      </c>
      <c r="E453" s="9" t="n">
        <v>97.62</v>
      </c>
      <c r="F453" s="8" t="s">
        <v>261</v>
      </c>
    </row>
    <row r="454" customFormat="false" ht="15" hidden="false" customHeight="true" outlineLevel="0" collapsed="false">
      <c r="A454" s="32" t="n">
        <v>46128</v>
      </c>
      <c r="B454" s="8" t="s">
        <v>780</v>
      </c>
      <c r="C454" s="8" t="s">
        <v>253</v>
      </c>
      <c r="D454" s="8" t="s">
        <v>311</v>
      </c>
      <c r="E454" s="9" t="n">
        <v>-43.4</v>
      </c>
      <c r="F454" s="8" t="s">
        <v>17</v>
      </c>
    </row>
    <row r="455" customFormat="false" ht="15" hidden="false" customHeight="true" outlineLevel="0" collapsed="false">
      <c r="A455" s="32" t="n">
        <v>46128</v>
      </c>
      <c r="B455" s="8" t="s">
        <v>781</v>
      </c>
      <c r="C455" s="8" t="s">
        <v>253</v>
      </c>
      <c r="D455" s="8" t="s">
        <v>782</v>
      </c>
      <c r="E455" s="9" t="n">
        <v>-11.75</v>
      </c>
      <c r="F455" s="8" t="s">
        <v>19</v>
      </c>
    </row>
    <row r="456" customFormat="false" ht="15" hidden="false" customHeight="true" outlineLevel="0" collapsed="false">
      <c r="A456" s="32" t="n">
        <v>46128</v>
      </c>
      <c r="B456" s="8" t="s">
        <v>783</v>
      </c>
      <c r="C456" s="8" t="s">
        <v>253</v>
      </c>
      <c r="D456" s="8" t="s">
        <v>752</v>
      </c>
      <c r="E456" s="9" t="n">
        <v>-7.68</v>
      </c>
      <c r="F456" s="8" t="s">
        <v>22</v>
      </c>
    </row>
    <row r="457" customFormat="false" ht="15" hidden="false" customHeight="true" outlineLevel="0" collapsed="false">
      <c r="A457" s="32" t="n">
        <v>46128</v>
      </c>
      <c r="B457" s="8" t="s">
        <v>784</v>
      </c>
      <c r="C457" s="8" t="s">
        <v>308</v>
      </c>
      <c r="D457" s="8" t="s">
        <v>309</v>
      </c>
      <c r="E457" s="9" t="n">
        <v>-15.6</v>
      </c>
      <c r="F457" s="8" t="s">
        <v>25</v>
      </c>
    </row>
    <row r="458" customFormat="false" ht="15" hidden="false" customHeight="true" outlineLevel="0" collapsed="false">
      <c r="A458" s="32" t="n">
        <v>46128</v>
      </c>
      <c r="B458" s="8" t="s">
        <v>784</v>
      </c>
      <c r="C458" s="8" t="s">
        <v>330</v>
      </c>
      <c r="D458" s="8"/>
      <c r="E458" s="9" t="n">
        <v>-17</v>
      </c>
      <c r="F458" s="8" t="s">
        <v>25</v>
      </c>
    </row>
    <row r="459" customFormat="false" ht="15" hidden="false" customHeight="true" outlineLevel="0" collapsed="false">
      <c r="A459" s="32" t="n">
        <v>46128</v>
      </c>
      <c r="B459" s="8" t="s">
        <v>785</v>
      </c>
      <c r="C459" s="8" t="s">
        <v>253</v>
      </c>
      <c r="D459" s="8" t="s">
        <v>750</v>
      </c>
      <c r="E459" s="9" t="n">
        <v>-3.6</v>
      </c>
      <c r="F459" s="8" t="s">
        <v>17</v>
      </c>
    </row>
    <row r="460" customFormat="false" ht="15" hidden="false" customHeight="true" outlineLevel="0" collapsed="false">
      <c r="A460" s="32" t="n">
        <v>46128</v>
      </c>
      <c r="B460" s="8" t="s">
        <v>786</v>
      </c>
      <c r="C460" s="8" t="s">
        <v>256</v>
      </c>
      <c r="D460" s="8" t="s">
        <v>364</v>
      </c>
      <c r="E460" s="9" t="n">
        <v>-2861</v>
      </c>
      <c r="F460" s="8" t="s">
        <v>15</v>
      </c>
    </row>
    <row r="461" customFormat="false" ht="15" hidden="false" customHeight="true" outlineLevel="0" collapsed="false">
      <c r="A461" s="32" t="n">
        <v>46128</v>
      </c>
      <c r="B461" s="8" t="s">
        <v>784</v>
      </c>
      <c r="C461" s="8" t="s">
        <v>326</v>
      </c>
      <c r="D461" s="8" t="s">
        <v>327</v>
      </c>
      <c r="E461" s="9" t="n">
        <v>-28.8</v>
      </c>
      <c r="F461" s="8" t="s">
        <v>25</v>
      </c>
    </row>
    <row r="462" customFormat="false" ht="15" hidden="false" customHeight="true" outlineLevel="0" collapsed="false">
      <c r="A462" s="32" t="n">
        <v>46128</v>
      </c>
      <c r="B462" s="8" t="s">
        <v>787</v>
      </c>
      <c r="C462" s="8" t="s">
        <v>253</v>
      </c>
      <c r="D462" s="8" t="s">
        <v>756</v>
      </c>
      <c r="E462" s="9" t="n">
        <v>-15.9</v>
      </c>
      <c r="F462" s="8" t="s">
        <v>17</v>
      </c>
    </row>
    <row r="463" customFormat="false" ht="15" hidden="false" customHeight="true" outlineLevel="0" collapsed="false">
      <c r="A463" s="32" t="n">
        <v>46128</v>
      </c>
      <c r="B463" s="8" t="s">
        <v>788</v>
      </c>
      <c r="C463" s="8" t="s">
        <v>253</v>
      </c>
      <c r="D463" s="8" t="s">
        <v>761</v>
      </c>
      <c r="E463" s="9" t="n">
        <v>-83.18</v>
      </c>
      <c r="F463" s="8" t="s">
        <v>17</v>
      </c>
    </row>
    <row r="464" customFormat="false" ht="15" hidden="false" customHeight="true" outlineLevel="0" collapsed="false">
      <c r="A464" s="32" t="n">
        <v>46128</v>
      </c>
      <c r="B464" s="8" t="s">
        <v>789</v>
      </c>
      <c r="C464" s="8" t="s">
        <v>253</v>
      </c>
      <c r="D464" s="8" t="s">
        <v>284</v>
      </c>
      <c r="E464" s="9" t="n">
        <v>-22.99</v>
      </c>
      <c r="F464" s="8" t="s">
        <v>20</v>
      </c>
    </row>
    <row r="465" customFormat="false" ht="15" hidden="false" customHeight="true" outlineLevel="0" collapsed="false">
      <c r="A465" s="32" t="n">
        <v>46128</v>
      </c>
      <c r="B465" s="8" t="s">
        <v>784</v>
      </c>
      <c r="C465" s="8" t="s">
        <v>324</v>
      </c>
      <c r="D465" s="8" t="s">
        <v>576</v>
      </c>
      <c r="E465" s="9" t="n">
        <v>-4003.09</v>
      </c>
      <c r="F465" s="8" t="s">
        <v>12</v>
      </c>
    </row>
    <row r="466" customFormat="false" ht="15" hidden="false" customHeight="true" outlineLevel="0" collapsed="false">
      <c r="A466" s="32" t="n">
        <v>46128</v>
      </c>
      <c r="B466" s="8" t="s">
        <v>784</v>
      </c>
      <c r="C466" s="8" t="s">
        <v>300</v>
      </c>
      <c r="D466" s="8" t="s">
        <v>301</v>
      </c>
      <c r="E466" s="9" t="n">
        <v>-1.2</v>
      </c>
      <c r="F466" s="8" t="s">
        <v>25</v>
      </c>
    </row>
    <row r="467" customFormat="false" ht="15" hidden="false" customHeight="true" outlineLevel="0" collapsed="false">
      <c r="A467" s="32" t="n">
        <v>46128</v>
      </c>
      <c r="B467" s="8" t="s">
        <v>790</v>
      </c>
      <c r="C467" s="8" t="s">
        <v>253</v>
      </c>
      <c r="D467" s="8" t="s">
        <v>791</v>
      </c>
      <c r="E467" s="9" t="n">
        <v>-11.3</v>
      </c>
      <c r="F467" s="8" t="s">
        <v>18</v>
      </c>
    </row>
    <row r="468" customFormat="false" ht="15" hidden="false" customHeight="true" outlineLevel="0" collapsed="false">
      <c r="A468" s="32" t="n">
        <v>46128</v>
      </c>
      <c r="B468" s="8" t="s">
        <v>792</v>
      </c>
      <c r="C468" s="8" t="s">
        <v>253</v>
      </c>
      <c r="D468" s="8" t="s">
        <v>767</v>
      </c>
      <c r="E468" s="9" t="n">
        <v>-25.95</v>
      </c>
      <c r="F468" s="8" t="s">
        <v>24</v>
      </c>
    </row>
    <row r="469" customFormat="false" ht="15" hidden="false" customHeight="true" outlineLevel="0" collapsed="false">
      <c r="A469" s="32" t="n">
        <v>46129</v>
      </c>
      <c r="B469" s="8" t="s">
        <v>793</v>
      </c>
      <c r="C469" s="8" t="s">
        <v>253</v>
      </c>
      <c r="D469" s="8" t="s">
        <v>794</v>
      </c>
      <c r="E469" s="9" t="n">
        <v>-96</v>
      </c>
      <c r="F469" s="8" t="s">
        <v>18</v>
      </c>
    </row>
    <row r="470" customFormat="false" ht="15" hidden="false" customHeight="true" outlineLevel="0" collapsed="false">
      <c r="A470" s="32" t="n">
        <v>46129</v>
      </c>
      <c r="B470" s="8" t="s">
        <v>795</v>
      </c>
      <c r="C470" s="8" t="s">
        <v>287</v>
      </c>
      <c r="D470" s="8" t="s">
        <v>794</v>
      </c>
      <c r="E470" s="9" t="n">
        <v>-2.78</v>
      </c>
      <c r="F470" s="8" t="s">
        <v>25</v>
      </c>
    </row>
    <row r="471" customFormat="false" ht="15" hidden="false" customHeight="true" outlineLevel="0" collapsed="false">
      <c r="A471" s="32" t="n">
        <v>46129</v>
      </c>
      <c r="B471" s="8" t="s">
        <v>796</v>
      </c>
      <c r="C471" s="8" t="s">
        <v>256</v>
      </c>
      <c r="D471" s="8" t="s">
        <v>350</v>
      </c>
      <c r="E471" s="9" t="n">
        <v>-91.48</v>
      </c>
      <c r="F471" s="8" t="s">
        <v>20</v>
      </c>
    </row>
    <row r="472" customFormat="false" ht="15" hidden="false" customHeight="true" outlineLevel="0" collapsed="false">
      <c r="A472" s="32" t="n">
        <v>46129</v>
      </c>
      <c r="B472" s="8" t="s">
        <v>797</v>
      </c>
      <c r="C472" s="8" t="s">
        <v>253</v>
      </c>
      <c r="D472" s="8" t="s">
        <v>380</v>
      </c>
      <c r="E472" s="9" t="n">
        <v>-34.95</v>
      </c>
      <c r="F472" s="8" t="s">
        <v>19</v>
      </c>
    </row>
    <row r="473" customFormat="false" ht="15" hidden="false" customHeight="true" outlineLevel="0" collapsed="false">
      <c r="A473" s="32" t="n">
        <v>46129</v>
      </c>
      <c r="B473" s="8" t="s">
        <v>798</v>
      </c>
      <c r="C473" s="8" t="s">
        <v>253</v>
      </c>
      <c r="D473" s="8" t="s">
        <v>799</v>
      </c>
      <c r="E473" s="9" t="n">
        <v>-6.7</v>
      </c>
      <c r="F473" s="8" t="s">
        <v>31</v>
      </c>
    </row>
    <row r="474" customFormat="false" ht="15" hidden="false" customHeight="true" outlineLevel="0" collapsed="false">
      <c r="A474" s="32" t="n">
        <v>46129</v>
      </c>
      <c r="B474" s="8" t="s">
        <v>800</v>
      </c>
      <c r="C474" s="8" t="s">
        <v>253</v>
      </c>
      <c r="D474" s="8" t="s">
        <v>282</v>
      </c>
      <c r="E474" s="9" t="n">
        <v>-47.56</v>
      </c>
      <c r="F474" s="8" t="s">
        <v>13</v>
      </c>
    </row>
    <row r="475" customFormat="false" ht="15" hidden="false" customHeight="true" outlineLevel="0" collapsed="false">
      <c r="A475" s="32" t="n">
        <v>46129</v>
      </c>
      <c r="B475" s="8" t="s">
        <v>801</v>
      </c>
      <c r="C475" s="8" t="s">
        <v>253</v>
      </c>
      <c r="D475" s="8" t="s">
        <v>802</v>
      </c>
      <c r="E475" s="9" t="n">
        <v>-35.6</v>
      </c>
      <c r="F475" s="8" t="s">
        <v>17</v>
      </c>
    </row>
    <row r="476" customFormat="false" ht="15" hidden="false" customHeight="true" outlineLevel="0" collapsed="false">
      <c r="A476" s="32" t="n">
        <v>46129</v>
      </c>
      <c r="B476" s="8" t="s">
        <v>795</v>
      </c>
      <c r="C476" s="8" t="s">
        <v>253</v>
      </c>
      <c r="D476" s="8" t="s">
        <v>794</v>
      </c>
      <c r="E476" s="9" t="n">
        <v>-96</v>
      </c>
      <c r="F476" s="8" t="s">
        <v>18</v>
      </c>
    </row>
    <row r="477" customFormat="false" ht="15" hidden="false" customHeight="true" outlineLevel="0" collapsed="false">
      <c r="A477" s="32" t="n">
        <v>46129</v>
      </c>
      <c r="B477" s="8" t="s">
        <v>803</v>
      </c>
      <c r="C477" s="8" t="s">
        <v>253</v>
      </c>
      <c r="D477" s="8" t="s">
        <v>804</v>
      </c>
      <c r="E477" s="9" t="n">
        <v>-22.8</v>
      </c>
      <c r="F477" s="8" t="s">
        <v>17</v>
      </c>
    </row>
    <row r="478" customFormat="false" ht="15" hidden="false" customHeight="true" outlineLevel="0" collapsed="false">
      <c r="A478" s="32" t="n">
        <v>46129</v>
      </c>
      <c r="B478" s="8" t="s">
        <v>798</v>
      </c>
      <c r="C478" s="8" t="s">
        <v>253</v>
      </c>
      <c r="D478" s="8" t="s">
        <v>799</v>
      </c>
      <c r="E478" s="9" t="n">
        <v>-3.8</v>
      </c>
      <c r="F478" s="8" t="s">
        <v>31</v>
      </c>
    </row>
    <row r="479" customFormat="false" ht="15" hidden="false" customHeight="true" outlineLevel="0" collapsed="false">
      <c r="A479" s="32" t="n">
        <v>46129</v>
      </c>
      <c r="B479" s="8" t="s">
        <v>805</v>
      </c>
      <c r="C479" s="8" t="s">
        <v>253</v>
      </c>
      <c r="D479" s="8" t="s">
        <v>799</v>
      </c>
      <c r="E479" s="9" t="n">
        <v>-16</v>
      </c>
      <c r="F479" s="8" t="s">
        <v>31</v>
      </c>
    </row>
    <row r="480" customFormat="false" ht="15" hidden="false" customHeight="true" outlineLevel="0" collapsed="false">
      <c r="A480" s="32" t="n">
        <v>46129</v>
      </c>
      <c r="B480" s="8" t="s">
        <v>806</v>
      </c>
      <c r="C480" s="8" t="s">
        <v>253</v>
      </c>
      <c r="D480" s="8" t="s">
        <v>761</v>
      </c>
      <c r="E480" s="9" t="n">
        <v>-100.13</v>
      </c>
      <c r="F480" s="8" t="s">
        <v>17</v>
      </c>
    </row>
    <row r="481" customFormat="false" ht="15" hidden="false" customHeight="true" outlineLevel="0" collapsed="false">
      <c r="A481" s="32" t="n">
        <v>46129</v>
      </c>
      <c r="B481" s="8" t="s">
        <v>807</v>
      </c>
      <c r="C481" s="8" t="s">
        <v>253</v>
      </c>
      <c r="D481" s="8" t="s">
        <v>290</v>
      </c>
      <c r="E481" s="9" t="n">
        <v>-81.46</v>
      </c>
      <c r="F481" s="8" t="s">
        <v>17</v>
      </c>
    </row>
    <row r="482" customFormat="false" ht="15" hidden="false" customHeight="true" outlineLevel="0" collapsed="false">
      <c r="A482" s="32" t="n">
        <v>46129</v>
      </c>
      <c r="B482" s="8" t="s">
        <v>793</v>
      </c>
      <c r="C482" s="8" t="s">
        <v>287</v>
      </c>
      <c r="D482" s="8" t="s">
        <v>794</v>
      </c>
      <c r="E482" s="9" t="n">
        <v>-2.78</v>
      </c>
      <c r="F482" s="8" t="s">
        <v>25</v>
      </c>
    </row>
    <row r="483" customFormat="false" ht="15" hidden="false" customHeight="true" outlineLevel="0" collapsed="false">
      <c r="A483" s="32" t="n">
        <v>46132</v>
      </c>
      <c r="B483" s="8" t="s">
        <v>808</v>
      </c>
      <c r="C483" s="8" t="s">
        <v>253</v>
      </c>
      <c r="D483" s="8" t="s">
        <v>378</v>
      </c>
      <c r="E483" s="9" t="n">
        <v>-6.38</v>
      </c>
      <c r="F483" s="8" t="s">
        <v>29</v>
      </c>
    </row>
    <row r="484" customFormat="false" ht="15" hidden="false" customHeight="true" outlineLevel="0" collapsed="false">
      <c r="A484" s="32" t="n">
        <v>46132</v>
      </c>
      <c r="B484" s="8" t="s">
        <v>809</v>
      </c>
      <c r="C484" s="8" t="s">
        <v>253</v>
      </c>
      <c r="D484" s="8" t="s">
        <v>32</v>
      </c>
      <c r="E484" s="9" t="n">
        <v>-26.9</v>
      </c>
      <c r="F484" s="8" t="s">
        <v>17</v>
      </c>
    </row>
    <row r="485" customFormat="false" ht="15" hidden="false" customHeight="true" outlineLevel="0" collapsed="false">
      <c r="A485" s="32" t="n">
        <v>46132</v>
      </c>
      <c r="B485" s="8" t="s">
        <v>810</v>
      </c>
      <c r="C485" s="8" t="s">
        <v>253</v>
      </c>
      <c r="D485" s="8" t="s">
        <v>387</v>
      </c>
      <c r="E485" s="9" t="n">
        <v>-60.01</v>
      </c>
      <c r="F485" s="8" t="s">
        <v>17</v>
      </c>
    </row>
    <row r="486" customFormat="false" ht="15" hidden="false" customHeight="true" outlineLevel="0" collapsed="false">
      <c r="A486" s="32" t="n">
        <v>46132</v>
      </c>
      <c r="B486" s="8" t="s">
        <v>811</v>
      </c>
      <c r="C486" s="8" t="s">
        <v>253</v>
      </c>
      <c r="D486" s="8" t="s">
        <v>32</v>
      </c>
      <c r="E486" s="9" t="n">
        <v>-63.74</v>
      </c>
      <c r="F486" s="8" t="s">
        <v>17</v>
      </c>
    </row>
    <row r="487" customFormat="false" ht="15" hidden="false" customHeight="true" outlineLevel="0" collapsed="false">
      <c r="A487" s="32" t="n">
        <v>46132</v>
      </c>
      <c r="B487" s="8" t="s">
        <v>812</v>
      </c>
      <c r="C487" s="8" t="s">
        <v>253</v>
      </c>
      <c r="D487" s="8" t="s">
        <v>338</v>
      </c>
      <c r="E487" s="9" t="n">
        <v>-48.8</v>
      </c>
      <c r="F487" s="8" t="s">
        <v>31</v>
      </c>
    </row>
    <row r="488" customFormat="false" ht="15" hidden="false" customHeight="true" outlineLevel="0" collapsed="false">
      <c r="A488" s="32" t="n">
        <v>46132</v>
      </c>
      <c r="B488" s="8" t="s">
        <v>813</v>
      </c>
      <c r="C488" s="8" t="s">
        <v>253</v>
      </c>
      <c r="D488" s="8" t="s">
        <v>814</v>
      </c>
      <c r="E488" s="9" t="n">
        <v>-19.8</v>
      </c>
      <c r="F488" s="8" t="s">
        <v>31</v>
      </c>
    </row>
    <row r="489" customFormat="false" ht="15" hidden="false" customHeight="true" outlineLevel="0" collapsed="false">
      <c r="A489" s="32" t="n">
        <v>46132</v>
      </c>
      <c r="B489" s="8" t="s">
        <v>815</v>
      </c>
      <c r="C489" s="8" t="s">
        <v>253</v>
      </c>
      <c r="D489" s="8" t="s">
        <v>380</v>
      </c>
      <c r="E489" s="9" t="n">
        <v>-58.99</v>
      </c>
      <c r="F489" s="8" t="s">
        <v>19</v>
      </c>
    </row>
    <row r="490" customFormat="false" ht="15" hidden="false" customHeight="true" outlineLevel="0" collapsed="false">
      <c r="A490" s="32" t="n">
        <v>46132</v>
      </c>
      <c r="B490" s="8" t="s">
        <v>816</v>
      </c>
      <c r="C490" s="8" t="s">
        <v>253</v>
      </c>
      <c r="D490" s="8" t="s">
        <v>380</v>
      </c>
      <c r="E490" s="9" t="n">
        <v>-26.92</v>
      </c>
      <c r="F490" s="8" t="s">
        <v>19</v>
      </c>
    </row>
    <row r="491" customFormat="false" ht="15" hidden="false" customHeight="true" outlineLevel="0" collapsed="false">
      <c r="A491" s="32" t="n">
        <v>46132</v>
      </c>
      <c r="B491" s="8" t="s">
        <v>817</v>
      </c>
      <c r="C491" s="8" t="s">
        <v>253</v>
      </c>
      <c r="D491" s="8" t="s">
        <v>32</v>
      </c>
      <c r="E491" s="9" t="n">
        <v>-71.22</v>
      </c>
      <c r="F491" s="8" t="s">
        <v>17</v>
      </c>
    </row>
    <row r="492" customFormat="false" ht="15" hidden="false" customHeight="true" outlineLevel="0" collapsed="false">
      <c r="A492" s="32" t="n">
        <v>46133</v>
      </c>
      <c r="B492" s="8" t="s">
        <v>818</v>
      </c>
      <c r="C492" s="8" t="s">
        <v>300</v>
      </c>
      <c r="D492" s="8" t="s">
        <v>301</v>
      </c>
      <c r="E492" s="9" t="n">
        <v>-1.2</v>
      </c>
      <c r="F492" s="8" t="s">
        <v>25</v>
      </c>
    </row>
    <row r="493" customFormat="false" ht="15" hidden="false" customHeight="true" outlineLevel="0" collapsed="false">
      <c r="A493" s="32" t="n">
        <v>46133</v>
      </c>
      <c r="B493" s="8" t="s">
        <v>818</v>
      </c>
      <c r="C493" s="8" t="s">
        <v>266</v>
      </c>
      <c r="D493" s="8" t="s">
        <v>295</v>
      </c>
      <c r="E493" s="9" t="n">
        <v>10000</v>
      </c>
      <c r="F493" s="8" t="s">
        <v>261</v>
      </c>
    </row>
    <row r="494" customFormat="false" ht="15" hidden="false" customHeight="true" outlineLevel="0" collapsed="false">
      <c r="A494" s="32" t="n">
        <v>46133</v>
      </c>
      <c r="B494" s="8" t="s">
        <v>819</v>
      </c>
      <c r="C494" s="8" t="s">
        <v>253</v>
      </c>
      <c r="D494" s="8" t="s">
        <v>820</v>
      </c>
      <c r="E494" s="9" t="n">
        <v>-20</v>
      </c>
      <c r="F494" s="8" t="s">
        <v>22</v>
      </c>
    </row>
    <row r="495" customFormat="false" ht="15" hidden="false" customHeight="true" outlineLevel="0" collapsed="false">
      <c r="A495" s="32" t="n">
        <v>46134</v>
      </c>
      <c r="B495" s="8" t="s">
        <v>821</v>
      </c>
      <c r="C495" s="8" t="s">
        <v>402</v>
      </c>
      <c r="D495" s="8" t="s">
        <v>403</v>
      </c>
      <c r="E495" s="9" t="n">
        <v>-236</v>
      </c>
      <c r="F495" s="8" t="s">
        <v>15</v>
      </c>
    </row>
    <row r="496" customFormat="false" ht="15" hidden="false" customHeight="true" outlineLevel="0" collapsed="false">
      <c r="A496" s="32" t="n">
        <v>46134</v>
      </c>
      <c r="B496" s="8" t="s">
        <v>822</v>
      </c>
      <c r="C496" s="8" t="s">
        <v>269</v>
      </c>
      <c r="D496" s="8" t="s">
        <v>323</v>
      </c>
      <c r="E496" s="9" t="n">
        <v>-1743</v>
      </c>
      <c r="F496" s="8" t="s">
        <v>13</v>
      </c>
    </row>
    <row r="497" customFormat="false" ht="15" hidden="false" customHeight="true" outlineLevel="0" collapsed="false">
      <c r="A497" s="32" t="n">
        <v>46134</v>
      </c>
      <c r="B497" s="8" t="s">
        <v>823</v>
      </c>
      <c r="C497" s="8" t="s">
        <v>253</v>
      </c>
      <c r="D497" s="8" t="s">
        <v>282</v>
      </c>
      <c r="E497" s="9" t="n">
        <v>-7.59</v>
      </c>
      <c r="F497" s="8" t="s">
        <v>13</v>
      </c>
    </row>
    <row r="498" customFormat="false" ht="15" hidden="false" customHeight="true" outlineLevel="0" collapsed="false">
      <c r="A498" s="32" t="n">
        <v>46134</v>
      </c>
      <c r="B498" s="8" t="s">
        <v>824</v>
      </c>
      <c r="C498" s="8" t="s">
        <v>269</v>
      </c>
      <c r="D498" s="8" t="s">
        <v>315</v>
      </c>
      <c r="E498" s="9" t="n">
        <v>-6624.55</v>
      </c>
      <c r="F498" s="8" t="s">
        <v>11</v>
      </c>
    </row>
    <row r="499" customFormat="false" ht="15" hidden="false" customHeight="true" outlineLevel="0" collapsed="false">
      <c r="A499" s="32" t="n">
        <v>46134</v>
      </c>
      <c r="B499" s="8" t="s">
        <v>825</v>
      </c>
      <c r="C499" s="8" t="s">
        <v>253</v>
      </c>
      <c r="D499" s="8" t="s">
        <v>282</v>
      </c>
      <c r="E499" s="9" t="n">
        <v>-8.43</v>
      </c>
      <c r="F499" s="8" t="s">
        <v>13</v>
      </c>
    </row>
    <row r="500" customFormat="false" ht="15" hidden="false" customHeight="true" outlineLevel="0" collapsed="false">
      <c r="A500" s="32" t="n">
        <v>46134</v>
      </c>
      <c r="B500" s="8" t="s">
        <v>826</v>
      </c>
      <c r="C500" s="8" t="s">
        <v>587</v>
      </c>
      <c r="D500" s="8" t="s">
        <v>588</v>
      </c>
      <c r="E500" s="9" t="n">
        <v>1729</v>
      </c>
      <c r="F500" s="8" t="s">
        <v>261</v>
      </c>
    </row>
    <row r="501" customFormat="false" ht="15" hidden="false" customHeight="true" outlineLevel="0" collapsed="false">
      <c r="A501" s="32" t="n">
        <v>46134</v>
      </c>
      <c r="B501" s="8" t="s">
        <v>827</v>
      </c>
      <c r="C501" s="8" t="s">
        <v>253</v>
      </c>
      <c r="D501" s="8" t="s">
        <v>284</v>
      </c>
      <c r="E501" s="9" t="n">
        <v>-3.99</v>
      </c>
      <c r="F501" s="8" t="s">
        <v>20</v>
      </c>
    </row>
    <row r="502" customFormat="false" ht="15" hidden="false" customHeight="true" outlineLevel="0" collapsed="false">
      <c r="A502" s="32" t="n">
        <v>46135</v>
      </c>
      <c r="B502" s="8" t="s">
        <v>828</v>
      </c>
      <c r="C502" s="8" t="s">
        <v>326</v>
      </c>
      <c r="D502" s="8" t="s">
        <v>327</v>
      </c>
      <c r="E502" s="9" t="n">
        <v>-28.8</v>
      </c>
      <c r="F502" s="8" t="s">
        <v>25</v>
      </c>
    </row>
    <row r="503" customFormat="false" ht="15" hidden="false" customHeight="true" outlineLevel="0" collapsed="false">
      <c r="A503" s="32" t="n">
        <v>46135</v>
      </c>
      <c r="B503" s="8" t="s">
        <v>828</v>
      </c>
      <c r="C503" s="8" t="s">
        <v>300</v>
      </c>
      <c r="D503" s="8" t="s">
        <v>301</v>
      </c>
      <c r="E503" s="9" t="n">
        <v>-1.2</v>
      </c>
      <c r="F503" s="8" t="s">
        <v>25</v>
      </c>
    </row>
    <row r="504" customFormat="false" ht="15" hidden="false" customHeight="true" outlineLevel="0" collapsed="false">
      <c r="A504" s="32" t="n">
        <v>46135</v>
      </c>
      <c r="B504" s="8" t="s">
        <v>829</v>
      </c>
      <c r="C504" s="8" t="s">
        <v>253</v>
      </c>
      <c r="D504" s="8" t="s">
        <v>830</v>
      </c>
      <c r="E504" s="9" t="n">
        <v>-10.5</v>
      </c>
      <c r="F504" s="8" t="s">
        <v>17</v>
      </c>
    </row>
    <row r="505" customFormat="false" ht="15" hidden="false" customHeight="true" outlineLevel="0" collapsed="false">
      <c r="A505" s="32" t="n">
        <v>46135</v>
      </c>
      <c r="B505" s="8" t="s">
        <v>828</v>
      </c>
      <c r="C505" s="8" t="s">
        <v>324</v>
      </c>
      <c r="D505" s="8" t="s">
        <v>576</v>
      </c>
      <c r="E505" s="9" t="n">
        <v>-369.99</v>
      </c>
      <c r="F505" s="8" t="s">
        <v>12</v>
      </c>
    </row>
    <row r="506" customFormat="false" ht="15" hidden="false" customHeight="true" outlineLevel="0" collapsed="false">
      <c r="A506" s="32" t="n">
        <v>46135</v>
      </c>
      <c r="B506" s="8" t="s">
        <v>831</v>
      </c>
      <c r="C506" s="8" t="s">
        <v>253</v>
      </c>
      <c r="D506" s="8" t="s">
        <v>32</v>
      </c>
      <c r="E506" s="9" t="n">
        <v>-63.39</v>
      </c>
      <c r="F506" s="8" t="s">
        <v>17</v>
      </c>
    </row>
    <row r="507" customFormat="false" ht="15" hidden="false" customHeight="true" outlineLevel="0" collapsed="false">
      <c r="A507" s="32" t="n">
        <v>46135</v>
      </c>
      <c r="B507" s="8" t="s">
        <v>832</v>
      </c>
      <c r="C507" s="8" t="s">
        <v>256</v>
      </c>
      <c r="D507" s="8" t="s">
        <v>364</v>
      </c>
      <c r="E507" s="9" t="n">
        <v>-94</v>
      </c>
      <c r="F507" s="8" t="s">
        <v>15</v>
      </c>
    </row>
    <row r="508" customFormat="false" ht="15" hidden="false" customHeight="true" outlineLevel="0" collapsed="false">
      <c r="A508" s="32" t="n">
        <v>46135</v>
      </c>
      <c r="B508" s="8" t="s">
        <v>833</v>
      </c>
      <c r="C508" s="8" t="s">
        <v>253</v>
      </c>
      <c r="D508" s="8" t="s">
        <v>282</v>
      </c>
      <c r="E508" s="9" t="n">
        <v>-11.19</v>
      </c>
      <c r="F508" s="8" t="s">
        <v>13</v>
      </c>
    </row>
    <row r="509" customFormat="false" ht="15" hidden="false" customHeight="true" outlineLevel="0" collapsed="false">
      <c r="A509" s="32" t="n">
        <v>46135</v>
      </c>
      <c r="B509" s="8" t="s">
        <v>828</v>
      </c>
      <c r="C509" s="8" t="s">
        <v>330</v>
      </c>
      <c r="D509" s="8"/>
      <c r="E509" s="9" t="n">
        <v>-17</v>
      </c>
      <c r="F509" s="8" t="s">
        <v>25</v>
      </c>
    </row>
    <row r="510" customFormat="false" ht="15" hidden="false" customHeight="true" outlineLevel="0" collapsed="false">
      <c r="A510" s="32" t="n">
        <v>46135</v>
      </c>
      <c r="B510" s="8" t="s">
        <v>828</v>
      </c>
      <c r="C510" s="8" t="s">
        <v>308</v>
      </c>
      <c r="D510" s="8" t="s">
        <v>309</v>
      </c>
      <c r="E510" s="9" t="n">
        <v>-15.6</v>
      </c>
      <c r="F510" s="8" t="s">
        <v>25</v>
      </c>
    </row>
    <row r="511" customFormat="false" ht="15" hidden="false" customHeight="true" outlineLevel="0" collapsed="false">
      <c r="A511" s="32" t="n">
        <v>46136</v>
      </c>
      <c r="B511" s="8" t="s">
        <v>834</v>
      </c>
      <c r="C511" s="8" t="s">
        <v>253</v>
      </c>
      <c r="D511" s="8" t="s">
        <v>32</v>
      </c>
      <c r="E511" s="9" t="n">
        <v>-62.37</v>
      </c>
      <c r="F511" s="8" t="s">
        <v>17</v>
      </c>
    </row>
    <row r="512" customFormat="false" ht="15" hidden="false" customHeight="true" outlineLevel="0" collapsed="false">
      <c r="A512" s="32" t="n">
        <v>46136</v>
      </c>
      <c r="B512" s="8" t="s">
        <v>835</v>
      </c>
      <c r="C512" s="8" t="s">
        <v>253</v>
      </c>
      <c r="D512" s="8" t="s">
        <v>282</v>
      </c>
      <c r="E512" s="9" t="n">
        <v>-17.39</v>
      </c>
      <c r="F512" s="8" t="s">
        <v>13</v>
      </c>
    </row>
    <row r="513" customFormat="false" ht="15" hidden="false" customHeight="true" outlineLevel="0" collapsed="false">
      <c r="A513" s="32" t="n">
        <v>46136</v>
      </c>
      <c r="B513" s="8" t="s">
        <v>836</v>
      </c>
      <c r="C513" s="8" t="s">
        <v>256</v>
      </c>
      <c r="D513" s="8" t="s">
        <v>400</v>
      </c>
      <c r="E513" s="9" t="n">
        <v>-141.45</v>
      </c>
      <c r="F513" s="8" t="s">
        <v>26</v>
      </c>
    </row>
    <row r="514" customFormat="false" ht="15" hidden="false" customHeight="true" outlineLevel="0" collapsed="false">
      <c r="A514" s="32" t="n">
        <v>46136</v>
      </c>
      <c r="B514" s="8" t="s">
        <v>837</v>
      </c>
      <c r="C514" s="8" t="s">
        <v>253</v>
      </c>
      <c r="D514" s="8" t="s">
        <v>412</v>
      </c>
      <c r="E514" s="9" t="n">
        <v>-4.62</v>
      </c>
      <c r="F514" s="8" t="s">
        <v>18</v>
      </c>
    </row>
    <row r="515" customFormat="false" ht="15" hidden="false" customHeight="true" outlineLevel="0" collapsed="false">
      <c r="A515" s="32" t="n">
        <v>46139</v>
      </c>
      <c r="B515" s="8" t="s">
        <v>838</v>
      </c>
      <c r="C515" s="8" t="s">
        <v>280</v>
      </c>
      <c r="D515" s="8" t="s">
        <v>839</v>
      </c>
      <c r="E515" s="9" t="n">
        <v>-222.64</v>
      </c>
      <c r="F515" s="8" t="s">
        <v>18</v>
      </c>
    </row>
    <row r="516" customFormat="false" ht="15" hidden="false" customHeight="true" outlineLevel="0" collapsed="false">
      <c r="A516" s="32" t="n">
        <v>46139</v>
      </c>
      <c r="B516" s="8" t="s">
        <v>840</v>
      </c>
      <c r="C516" s="8" t="s">
        <v>253</v>
      </c>
      <c r="D516" s="8" t="s">
        <v>642</v>
      </c>
      <c r="E516" s="9" t="n">
        <v>-110</v>
      </c>
      <c r="F516" s="8" t="s">
        <v>18</v>
      </c>
    </row>
    <row r="517" customFormat="false" ht="15" hidden="false" customHeight="true" outlineLevel="0" collapsed="false">
      <c r="A517" s="32" t="n">
        <v>46139</v>
      </c>
      <c r="B517" s="8" t="s">
        <v>841</v>
      </c>
      <c r="C517" s="8" t="s">
        <v>256</v>
      </c>
      <c r="D517" s="8" t="s">
        <v>428</v>
      </c>
      <c r="E517" s="9" t="n">
        <v>-551.36</v>
      </c>
      <c r="F517" s="8" t="s">
        <v>15</v>
      </c>
    </row>
    <row r="518" customFormat="false" ht="15" hidden="false" customHeight="true" outlineLevel="0" collapsed="false">
      <c r="A518" s="32" t="n">
        <v>46139</v>
      </c>
      <c r="B518" s="8" t="s">
        <v>842</v>
      </c>
      <c r="C518" s="8" t="s">
        <v>253</v>
      </c>
      <c r="D518" s="8" t="s">
        <v>290</v>
      </c>
      <c r="E518" s="9" t="n">
        <v>-60.05</v>
      </c>
      <c r="F518" s="8" t="s">
        <v>17</v>
      </c>
    </row>
    <row r="519" customFormat="false" ht="15" hidden="false" customHeight="true" outlineLevel="0" collapsed="false">
      <c r="A519" s="32" t="n">
        <v>46139</v>
      </c>
      <c r="B519" s="8" t="s">
        <v>843</v>
      </c>
      <c r="C519" s="8" t="s">
        <v>253</v>
      </c>
      <c r="D519" s="8" t="s">
        <v>419</v>
      </c>
      <c r="E519" s="9" t="n">
        <v>-1011.86</v>
      </c>
      <c r="F519" s="8" t="s">
        <v>19</v>
      </c>
    </row>
    <row r="520" customFormat="false" ht="15" hidden="false" customHeight="true" outlineLevel="0" collapsed="false">
      <c r="A520" s="32" t="n">
        <v>46139</v>
      </c>
      <c r="B520" s="8" t="s">
        <v>844</v>
      </c>
      <c r="C520" s="8" t="s">
        <v>256</v>
      </c>
      <c r="D520" s="8" t="s">
        <v>350</v>
      </c>
      <c r="E520" s="9" t="n">
        <v>-435.84</v>
      </c>
      <c r="F520" s="8" t="s">
        <v>20</v>
      </c>
    </row>
    <row r="521" customFormat="false" ht="15" hidden="false" customHeight="true" outlineLevel="0" collapsed="false">
      <c r="A521" s="32" t="n">
        <v>46139</v>
      </c>
      <c r="B521" s="8" t="s">
        <v>845</v>
      </c>
      <c r="C521" s="8" t="s">
        <v>253</v>
      </c>
      <c r="D521" s="8" t="s">
        <v>738</v>
      </c>
      <c r="E521" s="9" t="n">
        <v>-254.02</v>
      </c>
      <c r="F521" s="8" t="s">
        <v>19</v>
      </c>
    </row>
    <row r="522" customFormat="false" ht="15" hidden="false" customHeight="true" outlineLevel="0" collapsed="false">
      <c r="A522" s="32" t="n">
        <v>46140</v>
      </c>
      <c r="B522" s="8" t="s">
        <v>846</v>
      </c>
      <c r="C522" s="8" t="s">
        <v>253</v>
      </c>
      <c r="D522" s="8" t="s">
        <v>32</v>
      </c>
      <c r="E522" s="9" t="n">
        <v>-64.2</v>
      </c>
      <c r="F522" s="8" t="s">
        <v>17</v>
      </c>
    </row>
    <row r="523" customFormat="false" ht="15" hidden="false" customHeight="true" outlineLevel="0" collapsed="false">
      <c r="A523" s="32" t="n">
        <v>46140</v>
      </c>
      <c r="B523" s="8" t="s">
        <v>847</v>
      </c>
      <c r="C523" s="8" t="s">
        <v>253</v>
      </c>
      <c r="D523" s="8" t="s">
        <v>32</v>
      </c>
      <c r="E523" s="9" t="n">
        <v>-9.8</v>
      </c>
      <c r="F523" s="8" t="s">
        <v>17</v>
      </c>
    </row>
    <row r="524" customFormat="false" ht="15" hidden="false" customHeight="true" outlineLevel="0" collapsed="false">
      <c r="A524" s="32" t="n">
        <v>46140</v>
      </c>
      <c r="B524" s="8" t="s">
        <v>848</v>
      </c>
      <c r="C524" s="8" t="s">
        <v>253</v>
      </c>
      <c r="D524" s="8" t="s">
        <v>32</v>
      </c>
      <c r="E524" s="9" t="n">
        <v>-75.82</v>
      </c>
      <c r="F524" s="8" t="s">
        <v>17</v>
      </c>
    </row>
    <row r="525" customFormat="false" ht="15" hidden="false" customHeight="true" outlineLevel="0" collapsed="false">
      <c r="A525" s="32" t="n">
        <v>46140</v>
      </c>
      <c r="B525" s="8" t="s">
        <v>849</v>
      </c>
      <c r="C525" s="8" t="s">
        <v>253</v>
      </c>
      <c r="D525" s="8" t="s">
        <v>434</v>
      </c>
      <c r="E525" s="9" t="n">
        <v>-13</v>
      </c>
      <c r="F525" s="8" t="s">
        <v>20</v>
      </c>
    </row>
    <row r="526" customFormat="false" ht="15" hidden="false" customHeight="true" outlineLevel="0" collapsed="false">
      <c r="A526" s="32" t="n">
        <v>46140</v>
      </c>
      <c r="B526" s="8" t="s">
        <v>850</v>
      </c>
      <c r="C526" s="8" t="s">
        <v>253</v>
      </c>
      <c r="D526" s="8" t="s">
        <v>282</v>
      </c>
      <c r="E526" s="9" t="n">
        <v>-9.29</v>
      </c>
      <c r="F526" s="8" t="s">
        <v>13</v>
      </c>
    </row>
    <row r="527" customFormat="false" ht="15" hidden="false" customHeight="true" outlineLevel="0" collapsed="false">
      <c r="A527" s="32" t="n">
        <v>46140</v>
      </c>
      <c r="B527" s="8" t="s">
        <v>851</v>
      </c>
      <c r="C527" s="8" t="s">
        <v>587</v>
      </c>
      <c r="D527" s="8" t="s">
        <v>852</v>
      </c>
      <c r="E527" s="9" t="n">
        <v>5000</v>
      </c>
      <c r="F527" s="8" t="s">
        <v>261</v>
      </c>
    </row>
    <row r="528" customFormat="false" ht="15" hidden="false" customHeight="true" outlineLevel="0" collapsed="false">
      <c r="A528" s="32" t="n">
        <v>46140</v>
      </c>
      <c r="B528" s="8" t="s">
        <v>853</v>
      </c>
      <c r="C528" s="8" t="s">
        <v>259</v>
      </c>
      <c r="D528" s="8" t="s">
        <v>260</v>
      </c>
      <c r="E528" s="9" t="n">
        <v>19.44</v>
      </c>
      <c r="F528" s="8" t="s">
        <v>261</v>
      </c>
    </row>
    <row r="529" customFormat="false" ht="15" hidden="false" customHeight="true" outlineLevel="0" collapsed="false">
      <c r="A529" s="32" t="n">
        <v>46140</v>
      </c>
      <c r="B529" s="8" t="s">
        <v>854</v>
      </c>
      <c r="C529" s="8" t="s">
        <v>253</v>
      </c>
      <c r="D529" s="8" t="s">
        <v>32</v>
      </c>
      <c r="E529" s="9" t="n">
        <v>-38.12</v>
      </c>
      <c r="F529" s="8" t="s">
        <v>17</v>
      </c>
    </row>
    <row r="530" customFormat="false" ht="15" hidden="false" customHeight="true" outlineLevel="0" collapsed="false">
      <c r="A530" s="32" t="n">
        <v>46140</v>
      </c>
      <c r="B530" s="8" t="s">
        <v>855</v>
      </c>
      <c r="C530" s="8" t="s">
        <v>253</v>
      </c>
      <c r="D530" s="8" t="s">
        <v>282</v>
      </c>
      <c r="E530" s="9" t="n">
        <v>-9.59</v>
      </c>
      <c r="F530" s="8" t="s">
        <v>13</v>
      </c>
    </row>
    <row r="531" customFormat="false" ht="15" hidden="false" customHeight="true" outlineLevel="0" collapsed="false">
      <c r="A531" s="32" t="n">
        <v>46141</v>
      </c>
      <c r="B531" s="8" t="s">
        <v>856</v>
      </c>
      <c r="C531" s="8" t="s">
        <v>253</v>
      </c>
      <c r="D531" s="8" t="s">
        <v>857</v>
      </c>
      <c r="E531" s="9" t="n">
        <v>-21.6</v>
      </c>
      <c r="F531" s="8" t="s">
        <v>20</v>
      </c>
    </row>
    <row r="532" customFormat="false" ht="15" hidden="false" customHeight="true" outlineLevel="0" collapsed="false">
      <c r="A532" s="32" t="n">
        <v>46141</v>
      </c>
      <c r="B532" s="8" t="s">
        <v>858</v>
      </c>
      <c r="C532" s="8" t="s">
        <v>269</v>
      </c>
      <c r="D532" s="8" t="s">
        <v>456</v>
      </c>
      <c r="E532" s="9" t="n">
        <v>-2465.38</v>
      </c>
      <c r="F532" s="8" t="s">
        <v>14</v>
      </c>
    </row>
    <row r="533" customFormat="false" ht="15" hidden="false" customHeight="true" outlineLevel="0" collapsed="false">
      <c r="A533" s="32" t="n">
        <v>46141</v>
      </c>
      <c r="B533" s="8" t="s">
        <v>859</v>
      </c>
      <c r="C533" s="8" t="s">
        <v>253</v>
      </c>
      <c r="D533" s="8" t="s">
        <v>284</v>
      </c>
      <c r="E533" s="9" t="n">
        <v>-3.99</v>
      </c>
      <c r="F533" s="8" t="s">
        <v>20</v>
      </c>
    </row>
    <row r="534" customFormat="false" ht="15" hidden="false" customHeight="true" outlineLevel="0" collapsed="false">
      <c r="A534" s="32" t="n">
        <v>46141</v>
      </c>
      <c r="B534" s="8" t="s">
        <v>856</v>
      </c>
      <c r="C534" s="8" t="s">
        <v>287</v>
      </c>
      <c r="D534" s="8" t="s">
        <v>857</v>
      </c>
      <c r="E534" s="9" t="n">
        <v>-0.62</v>
      </c>
      <c r="F534" s="8" t="s">
        <v>25</v>
      </c>
    </row>
    <row r="535" customFormat="false" ht="15" hidden="false" customHeight="true" outlineLevel="0" collapsed="false">
      <c r="A535" s="32" t="n">
        <v>46141</v>
      </c>
      <c r="B535" s="8" t="s">
        <v>860</v>
      </c>
      <c r="C535" s="8" t="s">
        <v>300</v>
      </c>
      <c r="D535" s="8" t="s">
        <v>301</v>
      </c>
      <c r="E535" s="9" t="n">
        <v>-1.2</v>
      </c>
      <c r="F535" s="8" t="s">
        <v>25</v>
      </c>
    </row>
    <row r="536" customFormat="false" ht="15" hidden="false" customHeight="true" outlineLevel="0" collapsed="false">
      <c r="A536" s="32" t="n">
        <v>46141</v>
      </c>
      <c r="B536" s="8" t="s">
        <v>861</v>
      </c>
      <c r="C536" s="8" t="s">
        <v>253</v>
      </c>
      <c r="D536" s="8" t="s">
        <v>382</v>
      </c>
      <c r="E536" s="9" t="n">
        <v>-1.5</v>
      </c>
      <c r="F536" s="8" t="s">
        <v>20</v>
      </c>
    </row>
    <row r="537" customFormat="false" ht="15" hidden="false" customHeight="true" outlineLevel="0" collapsed="false">
      <c r="A537" s="32" t="n">
        <v>46141</v>
      </c>
      <c r="B537" s="8" t="s">
        <v>862</v>
      </c>
      <c r="C537" s="8" t="s">
        <v>253</v>
      </c>
      <c r="D537" s="8" t="s">
        <v>517</v>
      </c>
      <c r="E537" s="9" t="n">
        <v>-69.9</v>
      </c>
      <c r="F537" s="8" t="s">
        <v>24</v>
      </c>
    </row>
    <row r="538" customFormat="false" ht="15" hidden="false" customHeight="true" outlineLevel="0" collapsed="false">
      <c r="A538" s="32" t="n">
        <v>46141</v>
      </c>
      <c r="B538" s="8" t="s">
        <v>863</v>
      </c>
      <c r="C538" s="8" t="s">
        <v>253</v>
      </c>
      <c r="D538" s="8" t="s">
        <v>290</v>
      </c>
      <c r="E538" s="9" t="n">
        <v>-84.08</v>
      </c>
      <c r="F538" s="8" t="s">
        <v>17</v>
      </c>
    </row>
    <row r="539" customFormat="false" ht="15" hidden="false" customHeight="true" outlineLevel="0" collapsed="false">
      <c r="A539" s="32" t="n">
        <v>46141</v>
      </c>
      <c r="B539" s="8" t="s">
        <v>864</v>
      </c>
      <c r="C539" s="8" t="s">
        <v>253</v>
      </c>
      <c r="D539" s="8" t="s">
        <v>382</v>
      </c>
      <c r="E539" s="9" t="n">
        <v>-1.5</v>
      </c>
      <c r="F539" s="8" t="s">
        <v>20</v>
      </c>
    </row>
    <row r="540" customFormat="false" ht="15" hidden="false" customHeight="true" outlineLevel="0" collapsed="false">
      <c r="A540" s="32" t="n">
        <v>46141</v>
      </c>
      <c r="B540" s="8" t="s">
        <v>865</v>
      </c>
      <c r="C540" s="8" t="s">
        <v>269</v>
      </c>
      <c r="D540" s="8" t="s">
        <v>449</v>
      </c>
      <c r="E540" s="9" t="n">
        <v>-1233.82</v>
      </c>
      <c r="F540" s="8" t="s">
        <v>14</v>
      </c>
    </row>
    <row r="541" customFormat="false" ht="15" hidden="false" customHeight="true" outlineLevel="0" collapsed="false">
      <c r="A541" s="32" t="n">
        <v>46141</v>
      </c>
      <c r="B541" s="8" t="s">
        <v>866</v>
      </c>
      <c r="C541" s="8" t="s">
        <v>256</v>
      </c>
      <c r="D541" s="8" t="s">
        <v>432</v>
      </c>
      <c r="E541" s="9" t="n">
        <v>-15.95</v>
      </c>
      <c r="F541" s="8" t="s">
        <v>17</v>
      </c>
    </row>
    <row r="542" customFormat="false" ht="15" hidden="false" customHeight="true" outlineLevel="0" collapsed="false">
      <c r="A542" s="32" t="n">
        <v>46141</v>
      </c>
      <c r="B542" s="8" t="s">
        <v>860</v>
      </c>
      <c r="C542" s="8" t="s">
        <v>266</v>
      </c>
      <c r="D542" s="8" t="s">
        <v>295</v>
      </c>
      <c r="E542" s="9" t="n">
        <v>52200</v>
      </c>
      <c r="F542" s="8" t="s">
        <v>261</v>
      </c>
    </row>
    <row r="543" customFormat="false" ht="15" hidden="false" customHeight="true" outlineLevel="0" collapsed="false">
      <c r="A543" s="32" t="n">
        <v>46141</v>
      </c>
      <c r="B543" s="8" t="s">
        <v>862</v>
      </c>
      <c r="C543" s="8" t="s">
        <v>366</v>
      </c>
      <c r="D543" s="8" t="s">
        <v>517</v>
      </c>
      <c r="E543" s="9" t="n">
        <v>6.99</v>
      </c>
      <c r="F543" s="8" t="s">
        <v>24</v>
      </c>
    </row>
    <row r="544" customFormat="false" ht="15" hidden="false" customHeight="true" outlineLevel="0" collapsed="false">
      <c r="A544" s="32" t="n">
        <v>46141</v>
      </c>
      <c r="B544" s="8" t="s">
        <v>867</v>
      </c>
      <c r="C544" s="8" t="s">
        <v>253</v>
      </c>
      <c r="D544" s="8" t="s">
        <v>517</v>
      </c>
      <c r="E544" s="9" t="n">
        <v>-31.58</v>
      </c>
      <c r="F544" s="8" t="s">
        <v>24</v>
      </c>
    </row>
    <row r="545" customFormat="false" ht="15" hidden="false" customHeight="true" outlineLevel="0" collapsed="false">
      <c r="A545" s="32" t="n">
        <v>46141</v>
      </c>
      <c r="B545" s="8" t="s">
        <v>868</v>
      </c>
      <c r="C545" s="8" t="s">
        <v>269</v>
      </c>
      <c r="D545" s="8" t="s">
        <v>451</v>
      </c>
      <c r="E545" s="9" t="n">
        <v>-1532.23</v>
      </c>
      <c r="F545" s="8" t="s">
        <v>14</v>
      </c>
    </row>
    <row r="546" customFormat="false" ht="15" hidden="false" customHeight="true" outlineLevel="0" collapsed="false">
      <c r="A546" s="32" t="n">
        <v>46141</v>
      </c>
      <c r="B546" s="8" t="s">
        <v>869</v>
      </c>
      <c r="C546" s="8" t="s">
        <v>253</v>
      </c>
      <c r="D546" s="8" t="s">
        <v>444</v>
      </c>
      <c r="E546" s="9" t="n">
        <v>-65.54</v>
      </c>
      <c r="F546" s="8" t="s">
        <v>20</v>
      </c>
    </row>
    <row r="547" customFormat="false" ht="15" hidden="false" customHeight="true" outlineLevel="0" collapsed="false">
      <c r="A547" s="32" t="n">
        <v>46142</v>
      </c>
      <c r="B547" s="8" t="s">
        <v>870</v>
      </c>
      <c r="C547" s="8" t="s">
        <v>287</v>
      </c>
      <c r="D547" s="8" t="s">
        <v>871</v>
      </c>
      <c r="E547" s="9" t="n">
        <v>-3.99</v>
      </c>
      <c r="F547" s="8" t="s">
        <v>25</v>
      </c>
    </row>
    <row r="548" customFormat="false" ht="15" hidden="false" customHeight="true" outlineLevel="0" collapsed="false">
      <c r="A548" s="32" t="n">
        <v>46142</v>
      </c>
      <c r="B548" s="8" t="s">
        <v>870</v>
      </c>
      <c r="C548" s="8" t="s">
        <v>253</v>
      </c>
      <c r="D548" s="8" t="s">
        <v>871</v>
      </c>
      <c r="E548" s="9" t="n">
        <v>-137.77</v>
      </c>
      <c r="F548" s="8" t="s">
        <v>19</v>
      </c>
    </row>
    <row r="549" customFormat="false" ht="15" hidden="false" customHeight="true" outlineLevel="0" collapsed="false">
      <c r="A549" s="32" t="n">
        <v>46142</v>
      </c>
      <c r="B549" s="8" t="s">
        <v>872</v>
      </c>
      <c r="C549" s="8" t="s">
        <v>587</v>
      </c>
      <c r="D549" s="8" t="s">
        <v>873</v>
      </c>
      <c r="E549" s="9" t="n">
        <v>4786</v>
      </c>
      <c r="F549" s="8" t="s">
        <v>261</v>
      </c>
    </row>
    <row r="550" customFormat="false" ht="15" hidden="false" customHeight="true" outlineLevel="0" collapsed="false">
      <c r="A550" s="32" t="n">
        <v>46142</v>
      </c>
      <c r="B550" s="8" t="s">
        <v>874</v>
      </c>
      <c r="C550" s="8" t="s">
        <v>269</v>
      </c>
      <c r="D550" s="8" t="s">
        <v>323</v>
      </c>
      <c r="E550" s="9" t="n">
        <v>-2927.2</v>
      </c>
      <c r="F550" s="8" t="s">
        <v>13</v>
      </c>
    </row>
    <row r="551" customFormat="false" ht="15" hidden="false" customHeight="true" outlineLevel="0" collapsed="false">
      <c r="A551" s="32" t="n">
        <v>46142</v>
      </c>
      <c r="B551" s="8" t="s">
        <v>875</v>
      </c>
      <c r="C551" s="8" t="s">
        <v>269</v>
      </c>
      <c r="D551" s="8" t="s">
        <v>393</v>
      </c>
      <c r="E551" s="9" t="n">
        <v>-12180</v>
      </c>
      <c r="F551" s="8" t="s">
        <v>10</v>
      </c>
    </row>
    <row r="552" customFormat="false" ht="15" hidden="false" customHeight="true" outlineLevel="0" collapsed="false">
      <c r="A552" s="32" t="n">
        <v>46142</v>
      </c>
      <c r="B552" s="8" t="s">
        <v>876</v>
      </c>
      <c r="C552" s="8" t="s">
        <v>269</v>
      </c>
      <c r="D552" s="8" t="s">
        <v>877</v>
      </c>
      <c r="E552" s="9" t="n">
        <v>-3176.4</v>
      </c>
      <c r="F552" s="8" t="s">
        <v>10</v>
      </c>
    </row>
    <row r="553" customFormat="false" ht="15" hidden="false" customHeight="true" outlineLevel="0" collapsed="false">
      <c r="A553" s="32" t="n">
        <v>46142</v>
      </c>
      <c r="B553" s="8" t="s">
        <v>878</v>
      </c>
      <c r="C553" s="8" t="s">
        <v>253</v>
      </c>
      <c r="D553" s="8" t="s">
        <v>282</v>
      </c>
      <c r="E553" s="9" t="n">
        <v>-87.99</v>
      </c>
      <c r="F553" s="8" t="s">
        <v>13</v>
      </c>
    </row>
    <row r="554" customFormat="false" ht="15" hidden="false" customHeight="true" outlineLevel="0" collapsed="false">
      <c r="A554" s="32" t="n">
        <v>46142</v>
      </c>
      <c r="B554" s="8" t="s">
        <v>879</v>
      </c>
      <c r="C554" s="8" t="s">
        <v>269</v>
      </c>
      <c r="D554" s="8" t="s">
        <v>270</v>
      </c>
      <c r="E554" s="9" t="n">
        <v>-4000</v>
      </c>
      <c r="F554" s="8" t="s">
        <v>16</v>
      </c>
    </row>
    <row r="555" customFormat="false" ht="15" hidden="false" customHeight="true" outlineLevel="0" collapsed="false">
      <c r="A555" s="32" t="n">
        <v>46142</v>
      </c>
      <c r="B555" s="8" t="s">
        <v>880</v>
      </c>
      <c r="C555" s="8" t="s">
        <v>269</v>
      </c>
      <c r="D555" s="8" t="s">
        <v>317</v>
      </c>
      <c r="E555" s="9" t="n">
        <v>-13484</v>
      </c>
      <c r="F555" s="8" t="s">
        <v>10</v>
      </c>
    </row>
    <row r="556" customFormat="false" ht="15" hidden="false" customHeight="true" outlineLevel="0" collapsed="false">
      <c r="A556" s="32" t="n">
        <v>46142</v>
      </c>
      <c r="B556" s="8" t="s">
        <v>881</v>
      </c>
      <c r="C556" s="8" t="s">
        <v>269</v>
      </c>
      <c r="D556" s="8" t="s">
        <v>315</v>
      </c>
      <c r="E556" s="9" t="n">
        <v>-9244.49</v>
      </c>
      <c r="F556" s="8" t="s">
        <v>11</v>
      </c>
    </row>
    <row r="557" customFormat="false" ht="15" hidden="false" customHeight="true" outlineLevel="0" collapsed="false">
      <c r="A557" s="32" t="n">
        <v>46142</v>
      </c>
      <c r="B557" s="8" t="s">
        <v>882</v>
      </c>
      <c r="C557" s="8" t="s">
        <v>256</v>
      </c>
      <c r="D557" s="8" t="s">
        <v>547</v>
      </c>
      <c r="E557" s="9" t="n">
        <v>-63.05</v>
      </c>
      <c r="F557" s="8" t="s">
        <v>13</v>
      </c>
    </row>
    <row r="558" customFormat="false" ht="15" hidden="false" customHeight="true" outlineLevel="0" collapsed="false">
      <c r="A558" s="32" t="n">
        <v>46142</v>
      </c>
      <c r="B558" s="8" t="s">
        <v>883</v>
      </c>
      <c r="C558" s="8" t="s">
        <v>280</v>
      </c>
      <c r="D558" s="8" t="s">
        <v>270</v>
      </c>
      <c r="E558" s="9" t="n">
        <v>-1000</v>
      </c>
      <c r="F558" s="8" t="s">
        <v>16</v>
      </c>
    </row>
    <row r="559" customFormat="false" ht="15" hidden="false" customHeight="true" outlineLevel="0" collapsed="false">
      <c r="A559" s="32" t="n">
        <v>46146</v>
      </c>
      <c r="B559" s="8" t="s">
        <v>884</v>
      </c>
      <c r="C559" s="8" t="s">
        <v>253</v>
      </c>
      <c r="D559" s="8" t="s">
        <v>493</v>
      </c>
      <c r="E559" s="9" t="n">
        <v>-116</v>
      </c>
      <c r="F559" s="8" t="s">
        <v>18</v>
      </c>
    </row>
    <row r="560" customFormat="false" ht="15" hidden="false" customHeight="true" outlineLevel="0" collapsed="false">
      <c r="A560" s="32" t="n">
        <v>46146</v>
      </c>
      <c r="B560" s="8" t="s">
        <v>885</v>
      </c>
      <c r="C560" s="8" t="s">
        <v>256</v>
      </c>
      <c r="D560" s="8" t="s">
        <v>257</v>
      </c>
      <c r="E560" s="9" t="n">
        <v>-872.67</v>
      </c>
      <c r="F560" s="8" t="s">
        <v>17</v>
      </c>
    </row>
    <row r="561" customFormat="false" ht="15" hidden="false" customHeight="true" outlineLevel="0" collapsed="false">
      <c r="A561" s="32" t="n">
        <v>46146</v>
      </c>
      <c r="B561" s="8" t="s">
        <v>886</v>
      </c>
      <c r="C561" s="8" t="s">
        <v>253</v>
      </c>
      <c r="D561" s="8" t="s">
        <v>887</v>
      </c>
      <c r="E561" s="9" t="n">
        <v>-128.87</v>
      </c>
      <c r="F561" s="8" t="s">
        <v>24</v>
      </c>
    </row>
    <row r="562" customFormat="false" ht="15" hidden="false" customHeight="true" outlineLevel="0" collapsed="false">
      <c r="A562" s="32" t="n">
        <v>46146</v>
      </c>
      <c r="B562" s="8" t="s">
        <v>888</v>
      </c>
      <c r="C562" s="8" t="s">
        <v>253</v>
      </c>
      <c r="D562" s="8" t="s">
        <v>32</v>
      </c>
      <c r="E562" s="9" t="n">
        <v>-48.52</v>
      </c>
      <c r="F562" s="8" t="s">
        <v>17</v>
      </c>
    </row>
    <row r="563" customFormat="false" ht="15" hidden="false" customHeight="true" outlineLevel="0" collapsed="false">
      <c r="A563" s="32" t="n">
        <v>46146</v>
      </c>
      <c r="B563" s="8" t="s">
        <v>889</v>
      </c>
      <c r="C563" s="8" t="s">
        <v>253</v>
      </c>
      <c r="D563" s="8" t="s">
        <v>517</v>
      </c>
      <c r="E563" s="9" t="n">
        <v>-1.99</v>
      </c>
      <c r="F563" s="8" t="s">
        <v>24</v>
      </c>
    </row>
    <row r="564" customFormat="false" ht="15" hidden="false" customHeight="true" outlineLevel="0" collapsed="false">
      <c r="A564" s="32" t="n">
        <v>46146</v>
      </c>
      <c r="B564" s="8" t="s">
        <v>890</v>
      </c>
      <c r="C564" s="8" t="s">
        <v>253</v>
      </c>
      <c r="D564" s="8" t="s">
        <v>254</v>
      </c>
      <c r="E564" s="9" t="n">
        <v>-145.8</v>
      </c>
      <c r="F564" s="8" t="s">
        <v>20</v>
      </c>
    </row>
    <row r="565" customFormat="false" ht="15" hidden="false" customHeight="true" outlineLevel="0" collapsed="false">
      <c r="A565" s="32" t="n">
        <v>46146</v>
      </c>
      <c r="B565" s="8" t="s">
        <v>886</v>
      </c>
      <c r="C565" s="8" t="s">
        <v>287</v>
      </c>
      <c r="D565" s="8" t="s">
        <v>887</v>
      </c>
      <c r="E565" s="9" t="n">
        <v>-3.73</v>
      </c>
      <c r="F565" s="8" t="s">
        <v>25</v>
      </c>
    </row>
    <row r="566" customFormat="false" ht="15" hidden="false" customHeight="true" outlineLevel="0" collapsed="false">
      <c r="A566" s="32" t="n">
        <v>46146</v>
      </c>
      <c r="B566" s="8" t="s">
        <v>891</v>
      </c>
      <c r="C566" s="8" t="s">
        <v>253</v>
      </c>
      <c r="D566" s="8" t="s">
        <v>276</v>
      </c>
      <c r="E566" s="9" t="n">
        <v>-28</v>
      </c>
      <c r="F566" s="8" t="s">
        <v>18</v>
      </c>
    </row>
    <row r="567" customFormat="false" ht="15" hidden="false" customHeight="true" outlineLevel="0" collapsed="false">
      <c r="A567" s="32" t="n">
        <v>46146</v>
      </c>
      <c r="B567" s="8" t="s">
        <v>892</v>
      </c>
      <c r="C567" s="8" t="s">
        <v>253</v>
      </c>
      <c r="D567" s="8" t="s">
        <v>380</v>
      </c>
      <c r="E567" s="9" t="n">
        <v>-16.97</v>
      </c>
      <c r="F567" s="8" t="s">
        <v>19</v>
      </c>
    </row>
    <row r="568" customFormat="false" ht="15" hidden="false" customHeight="true" outlineLevel="0" collapsed="false">
      <c r="A568" s="32" t="n">
        <v>46146</v>
      </c>
      <c r="B568" s="8" t="s">
        <v>892</v>
      </c>
      <c r="C568" s="8" t="s">
        <v>287</v>
      </c>
      <c r="D568" s="8" t="s">
        <v>380</v>
      </c>
      <c r="E568" s="9" t="n">
        <v>-0.49</v>
      </c>
      <c r="F568" s="8" t="s">
        <v>25</v>
      </c>
    </row>
    <row r="569" customFormat="false" ht="15" hidden="false" customHeight="true" outlineLevel="0" collapsed="false">
      <c r="A569" s="32" t="n">
        <v>46147</v>
      </c>
      <c r="B569" s="8" t="s">
        <v>893</v>
      </c>
      <c r="C569" s="8" t="s">
        <v>269</v>
      </c>
      <c r="D569" s="8" t="s">
        <v>449</v>
      </c>
      <c r="E569" s="9" t="n">
        <v>-100</v>
      </c>
      <c r="F569" s="8" t="s">
        <v>14</v>
      </c>
    </row>
    <row r="570" customFormat="false" ht="15" hidden="false" customHeight="true" outlineLevel="0" collapsed="false">
      <c r="A570" s="32" t="n">
        <v>46147</v>
      </c>
      <c r="B570" s="8" t="s">
        <v>894</v>
      </c>
      <c r="C570" s="8" t="s">
        <v>256</v>
      </c>
      <c r="D570" s="8" t="s">
        <v>274</v>
      </c>
      <c r="E570" s="9" t="n">
        <v>-0.36</v>
      </c>
      <c r="F570" s="8" t="s">
        <v>20</v>
      </c>
    </row>
    <row r="571" customFormat="false" ht="15" hidden="false" customHeight="true" outlineLevel="0" collapsed="false">
      <c r="A571" s="32" t="n">
        <v>46147</v>
      </c>
      <c r="B571" s="8" t="s">
        <v>895</v>
      </c>
      <c r="C571" s="8" t="s">
        <v>253</v>
      </c>
      <c r="D571" s="8" t="s">
        <v>290</v>
      </c>
      <c r="E571" s="9" t="n">
        <v>-2.99</v>
      </c>
      <c r="F571" s="8" t="s">
        <v>17</v>
      </c>
    </row>
    <row r="572" customFormat="false" ht="15" hidden="false" customHeight="true" outlineLevel="0" collapsed="false">
      <c r="A572" s="32" t="n">
        <v>46147</v>
      </c>
      <c r="B572" s="8" t="s">
        <v>895</v>
      </c>
      <c r="C572" s="8" t="s">
        <v>253</v>
      </c>
      <c r="D572" s="8" t="s">
        <v>290</v>
      </c>
      <c r="E572" s="9" t="n">
        <v>-53.28</v>
      </c>
      <c r="F572" s="8" t="s">
        <v>17</v>
      </c>
    </row>
    <row r="573" customFormat="false" ht="15" hidden="false" customHeight="true" outlineLevel="0" collapsed="false">
      <c r="A573" s="32" t="n">
        <v>46147</v>
      </c>
      <c r="B573" s="8" t="s">
        <v>896</v>
      </c>
      <c r="C573" s="8" t="s">
        <v>256</v>
      </c>
      <c r="D573" s="8" t="s">
        <v>698</v>
      </c>
      <c r="E573" s="9" t="n">
        <v>-83.33</v>
      </c>
      <c r="F573" s="8" t="s">
        <v>26</v>
      </c>
    </row>
    <row r="574" customFormat="false" ht="15" hidden="false" customHeight="true" outlineLevel="0" collapsed="false">
      <c r="A574" s="32" t="n">
        <v>46147</v>
      </c>
      <c r="B574" s="8" t="s">
        <v>897</v>
      </c>
      <c r="C574" s="8" t="s">
        <v>256</v>
      </c>
      <c r="D574" s="8" t="s">
        <v>272</v>
      </c>
      <c r="E574" s="9" t="n">
        <v>-784.13</v>
      </c>
      <c r="F574" s="8" t="s">
        <v>21</v>
      </c>
    </row>
    <row r="575" customFormat="false" ht="15" hidden="false" customHeight="true" outlineLevel="0" collapsed="false">
      <c r="A575" s="32" t="n">
        <v>46147</v>
      </c>
      <c r="B575" s="8" t="s">
        <v>898</v>
      </c>
      <c r="C575" s="8" t="s">
        <v>253</v>
      </c>
      <c r="D575" s="8" t="s">
        <v>899</v>
      </c>
      <c r="E575" s="9" t="n">
        <v>-4.55</v>
      </c>
      <c r="F575" s="8" t="s">
        <v>17</v>
      </c>
    </row>
    <row r="576" customFormat="false" ht="15" hidden="false" customHeight="true" outlineLevel="0" collapsed="false">
      <c r="A576" s="32" t="n">
        <v>46148</v>
      </c>
      <c r="B576" s="8" t="s">
        <v>900</v>
      </c>
      <c r="C576" s="8" t="s">
        <v>587</v>
      </c>
      <c r="D576" s="8" t="s">
        <v>901</v>
      </c>
      <c r="E576" s="9" t="n">
        <v>8000</v>
      </c>
      <c r="F576" s="8" t="s">
        <v>261</v>
      </c>
    </row>
    <row r="577" customFormat="false" ht="15" hidden="false" customHeight="true" outlineLevel="0" collapsed="false">
      <c r="A577" s="32" t="n">
        <v>46148</v>
      </c>
      <c r="B577" s="8" t="s">
        <v>902</v>
      </c>
      <c r="C577" s="8" t="s">
        <v>253</v>
      </c>
      <c r="D577" s="8" t="s">
        <v>517</v>
      </c>
      <c r="E577" s="9" t="n">
        <v>-83.1</v>
      </c>
      <c r="F577" s="8" t="s">
        <v>24</v>
      </c>
    </row>
    <row r="578" customFormat="false" ht="15" hidden="false" customHeight="true" outlineLevel="0" collapsed="false">
      <c r="A578" s="32" t="n">
        <v>46148</v>
      </c>
      <c r="B578" s="8" t="s">
        <v>903</v>
      </c>
      <c r="C578" s="8" t="s">
        <v>253</v>
      </c>
      <c r="D578" s="8" t="s">
        <v>284</v>
      </c>
      <c r="E578" s="9" t="n">
        <v>-3.99</v>
      </c>
      <c r="F578" s="8" t="s">
        <v>20</v>
      </c>
    </row>
    <row r="579" customFormat="false" ht="15" hidden="false" customHeight="true" outlineLevel="0" collapsed="false">
      <c r="A579" s="32" t="n">
        <v>46148</v>
      </c>
      <c r="B579" s="8" t="s">
        <v>904</v>
      </c>
      <c r="C579" s="8" t="s">
        <v>253</v>
      </c>
      <c r="D579" s="8" t="s">
        <v>378</v>
      </c>
      <c r="E579" s="9" t="n">
        <v>-59.7</v>
      </c>
      <c r="F579" s="8" t="s">
        <v>29</v>
      </c>
    </row>
    <row r="580" customFormat="false" ht="15" hidden="false" customHeight="true" outlineLevel="0" collapsed="false">
      <c r="A580" s="32" t="n">
        <v>46148</v>
      </c>
      <c r="B580" s="8" t="s">
        <v>905</v>
      </c>
      <c r="C580" s="8" t="s">
        <v>256</v>
      </c>
      <c r="D580" s="8" t="s">
        <v>272</v>
      </c>
      <c r="E580" s="9" t="n">
        <v>-137.41</v>
      </c>
      <c r="F580" s="8" t="s">
        <v>21</v>
      </c>
    </row>
    <row r="581" customFormat="false" ht="15" hidden="false" customHeight="true" outlineLevel="0" collapsed="false">
      <c r="A581" s="32" t="n">
        <v>46149</v>
      </c>
      <c r="B581" s="8" t="s">
        <v>906</v>
      </c>
      <c r="C581" s="8" t="s">
        <v>253</v>
      </c>
      <c r="D581" s="8" t="s">
        <v>517</v>
      </c>
      <c r="E581" s="9" t="n">
        <v>-19.99</v>
      </c>
      <c r="F581" s="8" t="s">
        <v>24</v>
      </c>
    </row>
    <row r="582" customFormat="false" ht="15" hidden="false" customHeight="true" outlineLevel="0" collapsed="false">
      <c r="A582" s="32" t="n">
        <v>46149</v>
      </c>
      <c r="B582" s="8" t="s">
        <v>907</v>
      </c>
      <c r="C582" s="8" t="s">
        <v>300</v>
      </c>
      <c r="D582" s="8" t="s">
        <v>301</v>
      </c>
      <c r="E582" s="9" t="n">
        <v>-1.2</v>
      </c>
      <c r="F582" s="8" t="s">
        <v>25</v>
      </c>
    </row>
    <row r="583" customFormat="false" ht="15" hidden="false" customHeight="true" outlineLevel="0" collapsed="false">
      <c r="A583" s="32" t="n">
        <v>46149</v>
      </c>
      <c r="B583" s="8" t="s">
        <v>907</v>
      </c>
      <c r="C583" s="8" t="s">
        <v>266</v>
      </c>
      <c r="D583" s="8" t="s">
        <v>295</v>
      </c>
      <c r="E583" s="9" t="n">
        <v>41200</v>
      </c>
      <c r="F583" s="8" t="s">
        <v>261</v>
      </c>
    </row>
    <row r="584" customFormat="false" ht="15" hidden="false" customHeight="true" outlineLevel="0" collapsed="false">
      <c r="A584" s="32" t="n">
        <v>46149</v>
      </c>
      <c r="B584" s="8" t="s">
        <v>908</v>
      </c>
      <c r="C584" s="8" t="s">
        <v>266</v>
      </c>
      <c r="D584" s="8" t="s">
        <v>295</v>
      </c>
      <c r="E584" s="9" t="n">
        <v>18000</v>
      </c>
      <c r="F584" s="8" t="s">
        <v>261</v>
      </c>
    </row>
    <row r="585" customFormat="false" ht="15" hidden="false" customHeight="true" outlineLevel="0" collapsed="false">
      <c r="A585" s="32" t="n">
        <v>46149</v>
      </c>
      <c r="B585" s="8" t="s">
        <v>908</v>
      </c>
      <c r="C585" s="8" t="s">
        <v>300</v>
      </c>
      <c r="D585" s="8" t="s">
        <v>301</v>
      </c>
      <c r="E585" s="9" t="n">
        <v>-1.2</v>
      </c>
      <c r="F585" s="8" t="s">
        <v>25</v>
      </c>
    </row>
    <row r="586" customFormat="false" ht="15" hidden="false" customHeight="true" outlineLevel="0" collapsed="false">
      <c r="A586" s="32" t="n">
        <v>46149</v>
      </c>
      <c r="B586" s="8" t="s">
        <v>909</v>
      </c>
      <c r="C586" s="8" t="s">
        <v>253</v>
      </c>
      <c r="D586" s="8" t="s">
        <v>419</v>
      </c>
      <c r="E586" s="9" t="n">
        <v>-590.91</v>
      </c>
      <c r="F586" s="8" t="s">
        <v>19</v>
      </c>
    </row>
    <row r="587" customFormat="false" ht="15" hidden="false" customHeight="true" outlineLevel="0" collapsed="false">
      <c r="A587" s="32" t="n">
        <v>46149</v>
      </c>
      <c r="B587" s="8" t="s">
        <v>910</v>
      </c>
      <c r="C587" s="8" t="s">
        <v>253</v>
      </c>
      <c r="D587" s="8" t="s">
        <v>911</v>
      </c>
      <c r="E587" s="9" t="n">
        <v>-49.99</v>
      </c>
      <c r="F587" s="8" t="s">
        <v>24</v>
      </c>
    </row>
    <row r="588" customFormat="false" ht="15" hidden="false" customHeight="true" outlineLevel="0" collapsed="false">
      <c r="A588" s="32" t="n">
        <v>46150</v>
      </c>
      <c r="B588" s="8" t="s">
        <v>912</v>
      </c>
      <c r="C588" s="8" t="s">
        <v>587</v>
      </c>
      <c r="D588" s="8" t="s">
        <v>901</v>
      </c>
      <c r="E588" s="9" t="n">
        <v>5720</v>
      </c>
      <c r="F588" s="8" t="s">
        <v>261</v>
      </c>
    </row>
    <row r="589" customFormat="false" ht="15" hidden="false" customHeight="true" outlineLevel="0" collapsed="false">
      <c r="A589" s="32" t="n">
        <v>46153</v>
      </c>
      <c r="B589" s="8" t="s">
        <v>913</v>
      </c>
      <c r="C589" s="8" t="s">
        <v>253</v>
      </c>
      <c r="D589" s="8" t="s">
        <v>284</v>
      </c>
      <c r="E589" s="9" t="n">
        <v>-13.99</v>
      </c>
      <c r="F589" s="8" t="s">
        <v>20</v>
      </c>
    </row>
    <row r="590" customFormat="false" ht="15" hidden="false" customHeight="true" outlineLevel="0" collapsed="false">
      <c r="A590" s="32" t="n">
        <v>46153</v>
      </c>
      <c r="B590" s="8" t="s">
        <v>717</v>
      </c>
      <c r="C590" s="8" t="s">
        <v>718</v>
      </c>
      <c r="D590" s="8" t="s">
        <v>719</v>
      </c>
      <c r="E590" s="9" t="n">
        <v>-558.24</v>
      </c>
      <c r="F590" s="8" t="s">
        <v>27</v>
      </c>
    </row>
    <row r="591" customFormat="false" ht="15" hidden="false" customHeight="true" outlineLevel="0" collapsed="false">
      <c r="A591" s="32" t="n">
        <v>46153</v>
      </c>
      <c r="B591" s="8" t="s">
        <v>914</v>
      </c>
      <c r="C591" s="8" t="s">
        <v>256</v>
      </c>
      <c r="D591" s="8" t="s">
        <v>306</v>
      </c>
      <c r="E591" s="9" t="n">
        <v>-78.46</v>
      </c>
      <c r="F591" s="8" t="s">
        <v>30</v>
      </c>
    </row>
    <row r="592" customFormat="false" ht="15" hidden="false" customHeight="true" outlineLevel="0" collapsed="false">
      <c r="A592" s="32" t="n">
        <v>46153</v>
      </c>
      <c r="B592" s="8" t="s">
        <v>915</v>
      </c>
      <c r="C592" s="8" t="s">
        <v>253</v>
      </c>
      <c r="D592" s="8" t="s">
        <v>916</v>
      </c>
      <c r="E592" s="9" t="n">
        <v>-9</v>
      </c>
      <c r="F592" s="8" t="s">
        <v>18</v>
      </c>
    </row>
    <row r="593" customFormat="false" ht="15" hidden="false" customHeight="true" outlineLevel="0" collapsed="false">
      <c r="A593" s="32" t="n">
        <v>46153</v>
      </c>
      <c r="B593" s="8" t="s">
        <v>917</v>
      </c>
      <c r="C593" s="8" t="s">
        <v>253</v>
      </c>
      <c r="D593" s="8" t="s">
        <v>32</v>
      </c>
      <c r="E593" s="9" t="n">
        <v>-54.73</v>
      </c>
      <c r="F593" s="8" t="s">
        <v>17</v>
      </c>
    </row>
    <row r="594" customFormat="false" ht="15" hidden="false" customHeight="true" outlineLevel="0" collapsed="false">
      <c r="A594" s="32" t="n">
        <v>46153</v>
      </c>
      <c r="B594" s="8" t="s">
        <v>918</v>
      </c>
      <c r="C594" s="8" t="s">
        <v>253</v>
      </c>
      <c r="D594" s="8" t="s">
        <v>32</v>
      </c>
      <c r="E594" s="9" t="n">
        <v>-61.67</v>
      </c>
      <c r="F594" s="8" t="s">
        <v>17</v>
      </c>
    </row>
    <row r="595" customFormat="false" ht="15" hidden="false" customHeight="true" outlineLevel="0" collapsed="false">
      <c r="A595" s="32" t="n">
        <v>46153</v>
      </c>
      <c r="B595" s="8" t="s">
        <v>919</v>
      </c>
      <c r="C595" s="8" t="s">
        <v>269</v>
      </c>
      <c r="D595" s="8" t="s">
        <v>315</v>
      </c>
      <c r="E595" s="9" t="n">
        <v>-24150.2</v>
      </c>
      <c r="F595" s="8" t="s">
        <v>11</v>
      </c>
    </row>
    <row r="596" customFormat="false" ht="15" hidden="false" customHeight="true" outlineLevel="0" collapsed="false">
      <c r="A596" s="32" t="n">
        <v>46153</v>
      </c>
      <c r="B596" s="8" t="s">
        <v>920</v>
      </c>
      <c r="C596" s="8" t="s">
        <v>269</v>
      </c>
      <c r="D596" s="8" t="s">
        <v>329</v>
      </c>
      <c r="E596" s="9" t="n">
        <v>-6093.72</v>
      </c>
      <c r="F596" s="8" t="s">
        <v>10</v>
      </c>
    </row>
    <row r="597" customFormat="false" ht="15" hidden="false" customHeight="true" outlineLevel="0" collapsed="false">
      <c r="A597" s="32" t="n">
        <v>46153</v>
      </c>
      <c r="B597" s="8" t="s">
        <v>921</v>
      </c>
      <c r="C597" s="8" t="s">
        <v>253</v>
      </c>
      <c r="D597" s="8" t="s">
        <v>290</v>
      </c>
      <c r="E597" s="9" t="n">
        <v>-50.28</v>
      </c>
      <c r="F597" s="8" t="s">
        <v>17</v>
      </c>
    </row>
    <row r="598" customFormat="false" ht="15" hidden="false" customHeight="true" outlineLevel="0" collapsed="false">
      <c r="A598" s="32" t="n">
        <v>46153</v>
      </c>
      <c r="B598" s="8" t="s">
        <v>922</v>
      </c>
      <c r="C598" s="8" t="s">
        <v>256</v>
      </c>
      <c r="D598" s="8" t="s">
        <v>347</v>
      </c>
      <c r="E598" s="9" t="n">
        <v>-504</v>
      </c>
      <c r="F598" s="8" t="s">
        <v>23</v>
      </c>
    </row>
    <row r="599" customFormat="false" ht="15" hidden="false" customHeight="true" outlineLevel="0" collapsed="false">
      <c r="A599" s="32" t="n">
        <v>46153</v>
      </c>
      <c r="B599" s="8" t="s">
        <v>923</v>
      </c>
      <c r="C599" s="8" t="s">
        <v>269</v>
      </c>
      <c r="D599" s="8" t="s">
        <v>393</v>
      </c>
      <c r="E599" s="9" t="n">
        <v>-20000</v>
      </c>
      <c r="F599" s="8" t="s">
        <v>10</v>
      </c>
    </row>
    <row r="600" customFormat="false" ht="15" hidden="false" customHeight="true" outlineLevel="0" collapsed="false">
      <c r="A600" s="32" t="n">
        <v>46153</v>
      </c>
      <c r="B600" s="8" t="s">
        <v>924</v>
      </c>
      <c r="C600" s="8" t="s">
        <v>269</v>
      </c>
      <c r="D600" s="8" t="s">
        <v>925</v>
      </c>
      <c r="E600" s="9" t="n">
        <v>-19500.6</v>
      </c>
      <c r="F600" s="8" t="s">
        <v>10</v>
      </c>
    </row>
    <row r="601" customFormat="false" ht="15" hidden="false" customHeight="true" outlineLevel="0" collapsed="false">
      <c r="A601" s="32" t="n">
        <v>46153</v>
      </c>
      <c r="B601" s="8" t="s">
        <v>926</v>
      </c>
      <c r="C601" s="8" t="s">
        <v>256</v>
      </c>
      <c r="D601" s="8" t="s">
        <v>698</v>
      </c>
      <c r="E601" s="9" t="n">
        <v>-132.17</v>
      </c>
      <c r="F601" s="8" t="s">
        <v>26</v>
      </c>
    </row>
    <row r="602" customFormat="false" ht="15" hidden="false" customHeight="true" outlineLevel="0" collapsed="false">
      <c r="A602" s="32" t="n">
        <v>46153</v>
      </c>
      <c r="B602" s="8" t="s">
        <v>927</v>
      </c>
      <c r="C602" s="8" t="s">
        <v>287</v>
      </c>
      <c r="D602" s="8" t="s">
        <v>288</v>
      </c>
      <c r="E602" s="9" t="n">
        <v>-0.49</v>
      </c>
      <c r="F602" s="8" t="s">
        <v>25</v>
      </c>
    </row>
    <row r="603" customFormat="false" ht="15" hidden="false" customHeight="true" outlineLevel="0" collapsed="false">
      <c r="A603" s="32" t="n">
        <v>46153</v>
      </c>
      <c r="B603" s="8" t="s">
        <v>927</v>
      </c>
      <c r="C603" s="8" t="s">
        <v>253</v>
      </c>
      <c r="D603" s="8" t="s">
        <v>288</v>
      </c>
      <c r="E603" s="9" t="n">
        <v>-33.27</v>
      </c>
      <c r="F603" s="8" t="s">
        <v>20</v>
      </c>
    </row>
    <row r="604" customFormat="false" ht="15" hidden="false" customHeight="true" outlineLevel="0" collapsed="false">
      <c r="A604" s="32" t="n">
        <v>46153</v>
      </c>
      <c r="B604" s="8" t="s">
        <v>928</v>
      </c>
      <c r="C604" s="8" t="s">
        <v>256</v>
      </c>
      <c r="D604" s="8" t="s">
        <v>292</v>
      </c>
      <c r="E604" s="9" t="n">
        <v>-253.02</v>
      </c>
      <c r="F604" s="8" t="s">
        <v>26</v>
      </c>
    </row>
    <row r="605" customFormat="false" ht="15" hidden="false" customHeight="true" outlineLevel="0" collapsed="false">
      <c r="A605" s="32" t="n">
        <v>46154</v>
      </c>
      <c r="B605" s="8" t="s">
        <v>929</v>
      </c>
      <c r="C605" s="8" t="s">
        <v>253</v>
      </c>
      <c r="D605" s="8" t="s">
        <v>930</v>
      </c>
      <c r="E605" s="9" t="n">
        <v>-16.3</v>
      </c>
      <c r="F605" s="8" t="s">
        <v>31</v>
      </c>
    </row>
    <row r="606" customFormat="false" ht="15" hidden="false" customHeight="true" outlineLevel="0" collapsed="false">
      <c r="A606" s="32" t="n">
        <v>46154</v>
      </c>
      <c r="B606" s="8" t="s">
        <v>931</v>
      </c>
      <c r="C606" s="8" t="s">
        <v>253</v>
      </c>
      <c r="D606" s="8" t="s">
        <v>276</v>
      </c>
      <c r="E606" s="9" t="n">
        <v>-43</v>
      </c>
      <c r="F606" s="8" t="s">
        <v>18</v>
      </c>
    </row>
    <row r="607" customFormat="false" ht="15" hidden="false" customHeight="true" outlineLevel="0" collapsed="false">
      <c r="A607" s="32" t="n">
        <v>46155</v>
      </c>
      <c r="B607" s="8" t="s">
        <v>932</v>
      </c>
      <c r="C607" s="8" t="s">
        <v>253</v>
      </c>
      <c r="D607" s="8" t="s">
        <v>933</v>
      </c>
      <c r="E607" s="9" t="n">
        <v>-19.99</v>
      </c>
      <c r="F607" s="8" t="s">
        <v>20</v>
      </c>
    </row>
    <row r="608" customFormat="false" ht="15" hidden="false" customHeight="true" outlineLevel="0" collapsed="false">
      <c r="A608" s="32" t="n">
        <v>46155</v>
      </c>
      <c r="B608" s="8" t="s">
        <v>934</v>
      </c>
      <c r="C608" s="8" t="s">
        <v>253</v>
      </c>
      <c r="D608" s="8" t="s">
        <v>290</v>
      </c>
      <c r="E608" s="9" t="n">
        <v>-80</v>
      </c>
      <c r="F608" s="8" t="s">
        <v>17</v>
      </c>
    </row>
    <row r="609" customFormat="false" ht="15" hidden="false" customHeight="true" outlineLevel="0" collapsed="false">
      <c r="A609" s="32" t="n">
        <v>46155</v>
      </c>
      <c r="B609" s="8" t="s">
        <v>935</v>
      </c>
      <c r="C609" s="8" t="s">
        <v>253</v>
      </c>
      <c r="D609" s="8" t="s">
        <v>284</v>
      </c>
      <c r="E609" s="9" t="n">
        <v>-3.99</v>
      </c>
      <c r="F609" s="8" t="s">
        <v>20</v>
      </c>
    </row>
    <row r="610" customFormat="false" ht="15" hidden="false" customHeight="true" outlineLevel="0" collapsed="false">
      <c r="A610" s="32" t="n">
        <v>46155</v>
      </c>
      <c r="B610" s="8" t="s">
        <v>936</v>
      </c>
      <c r="C610" s="8" t="s">
        <v>253</v>
      </c>
      <c r="D610" s="8" t="s">
        <v>937</v>
      </c>
      <c r="E610" s="9" t="n">
        <v>-2529</v>
      </c>
      <c r="F610" s="8" t="s">
        <v>18</v>
      </c>
    </row>
    <row r="611" customFormat="false" ht="15" hidden="false" customHeight="true" outlineLevel="0" collapsed="false">
      <c r="A611" s="32" t="n">
        <v>46155</v>
      </c>
      <c r="B611" s="8" t="s">
        <v>938</v>
      </c>
      <c r="C611" s="8" t="s">
        <v>253</v>
      </c>
      <c r="D611" s="8" t="s">
        <v>380</v>
      </c>
      <c r="E611" s="9" t="n">
        <v>-16.93</v>
      </c>
      <c r="F611" s="8" t="s">
        <v>19</v>
      </c>
    </row>
    <row r="612" customFormat="false" ht="15" hidden="false" customHeight="true" outlineLevel="0" collapsed="false">
      <c r="A612" s="32" t="n">
        <v>46156</v>
      </c>
      <c r="B612" s="8" t="s">
        <v>939</v>
      </c>
      <c r="C612" s="8" t="s">
        <v>344</v>
      </c>
      <c r="D612" s="8" t="s">
        <v>345</v>
      </c>
      <c r="E612" s="9" t="n">
        <v>-49.35</v>
      </c>
      <c r="F612" s="8" t="s">
        <v>25</v>
      </c>
    </row>
    <row r="613" customFormat="false" ht="15" hidden="false" customHeight="true" outlineLevel="0" collapsed="false">
      <c r="A613" s="32" t="n">
        <v>46157</v>
      </c>
      <c r="B613" s="8" t="s">
        <v>940</v>
      </c>
      <c r="C613" s="8" t="s">
        <v>259</v>
      </c>
      <c r="D613" s="8" t="s">
        <v>260</v>
      </c>
      <c r="E613" s="9" t="n">
        <v>19.36</v>
      </c>
      <c r="F613" s="8" t="s">
        <v>261</v>
      </c>
    </row>
    <row r="614" customFormat="false" ht="15" hidden="false" customHeight="true" outlineLevel="0" collapsed="false">
      <c r="A614" s="32" t="n">
        <v>46157</v>
      </c>
      <c r="B614" s="8" t="s">
        <v>941</v>
      </c>
      <c r="C614" s="8" t="s">
        <v>253</v>
      </c>
      <c r="D614" s="8" t="s">
        <v>32</v>
      </c>
      <c r="E614" s="9" t="n">
        <v>-45.97</v>
      </c>
      <c r="F614" s="8" t="s">
        <v>17</v>
      </c>
    </row>
    <row r="615" customFormat="false" ht="15" hidden="false" customHeight="true" outlineLevel="0" collapsed="false">
      <c r="A615" s="32" t="n">
        <v>46157</v>
      </c>
      <c r="B615" s="8" t="s">
        <v>942</v>
      </c>
      <c r="C615" s="8" t="s">
        <v>253</v>
      </c>
      <c r="D615" s="8" t="s">
        <v>857</v>
      </c>
      <c r="E615" s="9" t="n">
        <v>-45.9</v>
      </c>
      <c r="F615" s="8" t="s">
        <v>20</v>
      </c>
    </row>
    <row r="616" customFormat="false" ht="15" hidden="false" customHeight="true" outlineLevel="0" collapsed="false">
      <c r="A616" s="32" t="n">
        <v>46157</v>
      </c>
      <c r="B616" s="8" t="s">
        <v>942</v>
      </c>
      <c r="C616" s="8" t="s">
        <v>287</v>
      </c>
      <c r="D616" s="8" t="s">
        <v>857</v>
      </c>
      <c r="E616" s="9" t="n">
        <v>-1.33</v>
      </c>
      <c r="F616" s="8" t="s">
        <v>25</v>
      </c>
    </row>
    <row r="617" customFormat="false" ht="15" hidden="false" customHeight="true" outlineLevel="0" collapsed="false">
      <c r="A617" s="32" t="n">
        <v>46157</v>
      </c>
      <c r="B617" s="8" t="s">
        <v>943</v>
      </c>
      <c r="C617" s="8" t="s">
        <v>253</v>
      </c>
      <c r="D617" s="8" t="s">
        <v>944</v>
      </c>
      <c r="E617" s="9" t="n">
        <v>-16.8</v>
      </c>
      <c r="F617" s="8" t="s">
        <v>18</v>
      </c>
    </row>
    <row r="618" customFormat="false" ht="15" hidden="false" customHeight="true" outlineLevel="0" collapsed="false">
      <c r="A618" s="32" t="n">
        <v>46157</v>
      </c>
      <c r="B618" s="8" t="s">
        <v>945</v>
      </c>
      <c r="C618" s="8" t="s">
        <v>256</v>
      </c>
      <c r="D618" s="8" t="s">
        <v>350</v>
      </c>
      <c r="E618" s="9" t="n">
        <v>-191.15</v>
      </c>
      <c r="F618" s="8" t="s">
        <v>20</v>
      </c>
    </row>
    <row r="619" customFormat="false" ht="15" hidden="false" customHeight="true" outlineLevel="0" collapsed="false">
      <c r="A619" s="32" t="n">
        <v>46157</v>
      </c>
      <c r="B619" s="8" t="s">
        <v>298</v>
      </c>
      <c r="C619" s="8" t="s">
        <v>353</v>
      </c>
      <c r="D619" s="8"/>
      <c r="E619" s="9" t="n">
        <v>-7.69</v>
      </c>
      <c r="F619" s="8" t="s">
        <v>25</v>
      </c>
    </row>
    <row r="620" customFormat="false" ht="15" hidden="false" customHeight="true" outlineLevel="0" collapsed="false">
      <c r="A620" s="32" t="n">
        <v>46157</v>
      </c>
      <c r="B620" s="8" t="s">
        <v>946</v>
      </c>
      <c r="C620" s="8" t="s">
        <v>253</v>
      </c>
      <c r="D620" s="8" t="s">
        <v>284</v>
      </c>
      <c r="E620" s="9" t="n">
        <v>-22.99</v>
      </c>
      <c r="F620" s="8" t="s">
        <v>20</v>
      </c>
    </row>
    <row r="621" customFormat="false" ht="15" hidden="false" customHeight="true" outlineLevel="0" collapsed="false">
      <c r="A621" s="32" t="n">
        <v>46157</v>
      </c>
      <c r="B621" s="8" t="s">
        <v>947</v>
      </c>
      <c r="C621" s="8" t="s">
        <v>253</v>
      </c>
      <c r="D621" s="8" t="s">
        <v>434</v>
      </c>
      <c r="E621" s="9" t="n">
        <v>-10</v>
      </c>
      <c r="F621" s="8" t="s">
        <v>20</v>
      </c>
    </row>
    <row r="622" customFormat="false" ht="15" hidden="false" customHeight="true" outlineLevel="0" collapsed="false">
      <c r="A622" s="32" t="n">
        <v>46157</v>
      </c>
      <c r="B622" s="8" t="s">
        <v>948</v>
      </c>
      <c r="C622" s="8" t="s">
        <v>269</v>
      </c>
      <c r="D622" s="8" t="s">
        <v>451</v>
      </c>
      <c r="E622" s="9" t="n">
        <v>-900</v>
      </c>
      <c r="F622" s="8" t="s">
        <v>14</v>
      </c>
    </row>
    <row r="623" customFormat="false" ht="15" hidden="false" customHeight="true" outlineLevel="0" collapsed="false">
      <c r="A623" s="32" t="n">
        <v>46160</v>
      </c>
      <c r="B623" s="8" t="s">
        <v>949</v>
      </c>
      <c r="C623" s="8" t="s">
        <v>256</v>
      </c>
      <c r="D623" s="8" t="s">
        <v>364</v>
      </c>
      <c r="E623" s="9" t="n">
        <v>-2943</v>
      </c>
      <c r="F623" s="8" t="s">
        <v>15</v>
      </c>
    </row>
    <row r="624" customFormat="false" ht="15" hidden="false" customHeight="true" outlineLevel="0" collapsed="false">
      <c r="A624" s="32" t="n">
        <v>46160</v>
      </c>
      <c r="B624" s="8" t="s">
        <v>950</v>
      </c>
      <c r="C624" s="8" t="s">
        <v>253</v>
      </c>
      <c r="D624" s="8" t="s">
        <v>282</v>
      </c>
      <c r="E624" s="9" t="n">
        <v>-22.19</v>
      </c>
      <c r="F624" s="8" t="s">
        <v>13</v>
      </c>
    </row>
    <row r="625" customFormat="false" ht="15" hidden="false" customHeight="true" outlineLevel="0" collapsed="false">
      <c r="A625" s="32" t="n">
        <v>46160</v>
      </c>
      <c r="B625" s="8" t="s">
        <v>951</v>
      </c>
      <c r="C625" s="8" t="s">
        <v>253</v>
      </c>
      <c r="D625" s="8" t="s">
        <v>517</v>
      </c>
      <c r="E625" s="9" t="n">
        <v>-89.29</v>
      </c>
      <c r="F625" s="8" t="s">
        <v>24</v>
      </c>
    </row>
    <row r="626" customFormat="false" ht="15" hidden="false" customHeight="true" outlineLevel="0" collapsed="false">
      <c r="A626" s="32" t="n">
        <v>46160</v>
      </c>
      <c r="B626" s="8" t="s">
        <v>952</v>
      </c>
      <c r="C626" s="8" t="s">
        <v>953</v>
      </c>
      <c r="D626" s="8"/>
      <c r="E626" s="9" t="n">
        <v>303.6</v>
      </c>
      <c r="F626" s="8" t="s">
        <v>261</v>
      </c>
    </row>
    <row r="627" customFormat="false" ht="15" hidden="false" customHeight="true" outlineLevel="0" collapsed="false">
      <c r="A627" s="32" t="n">
        <v>46160</v>
      </c>
      <c r="B627" s="8" t="s">
        <v>954</v>
      </c>
      <c r="C627" s="8" t="s">
        <v>256</v>
      </c>
      <c r="D627" s="8" t="s">
        <v>955</v>
      </c>
      <c r="E627" s="9" t="n">
        <v>-144.1</v>
      </c>
      <c r="F627" s="8" t="s">
        <v>17</v>
      </c>
    </row>
    <row r="628" customFormat="false" ht="15" hidden="false" customHeight="true" outlineLevel="0" collapsed="false">
      <c r="A628" s="32" t="n">
        <v>46160</v>
      </c>
      <c r="B628" s="8" t="s">
        <v>956</v>
      </c>
      <c r="C628" s="8" t="s">
        <v>957</v>
      </c>
      <c r="D628" s="8" t="s">
        <v>958</v>
      </c>
      <c r="E628" s="9" t="n">
        <v>-100</v>
      </c>
      <c r="F628" s="8" t="s">
        <v>28</v>
      </c>
    </row>
    <row r="629" customFormat="false" ht="15" hidden="false" customHeight="true" outlineLevel="0" collapsed="false">
      <c r="A629" s="32" t="n">
        <v>46160</v>
      </c>
      <c r="B629" s="8" t="s">
        <v>959</v>
      </c>
      <c r="C629" s="8" t="s">
        <v>259</v>
      </c>
      <c r="D629" s="8" t="s">
        <v>260</v>
      </c>
      <c r="E629" s="9" t="n">
        <v>39.13</v>
      </c>
      <c r="F629" s="8" t="s">
        <v>261</v>
      </c>
    </row>
    <row r="630" customFormat="false" ht="15" hidden="false" customHeight="true" outlineLevel="0" collapsed="false">
      <c r="A630" s="32" t="n">
        <v>46161</v>
      </c>
      <c r="B630" s="8" t="s">
        <v>960</v>
      </c>
      <c r="C630" s="8" t="s">
        <v>269</v>
      </c>
      <c r="D630" s="8" t="s">
        <v>449</v>
      </c>
      <c r="E630" s="9" t="n">
        <v>-1000</v>
      </c>
      <c r="F630" s="8" t="s">
        <v>14</v>
      </c>
    </row>
    <row r="631" customFormat="false" ht="15" hidden="false" customHeight="true" outlineLevel="0" collapsed="false">
      <c r="A631" s="32" t="n">
        <v>46161</v>
      </c>
      <c r="B631" s="8" t="s">
        <v>961</v>
      </c>
      <c r="C631" s="8" t="s">
        <v>253</v>
      </c>
      <c r="D631" s="8" t="s">
        <v>284</v>
      </c>
      <c r="E631" s="9" t="n">
        <v>-669</v>
      </c>
      <c r="F631" s="8" t="s">
        <v>20</v>
      </c>
    </row>
    <row r="632" customFormat="false" ht="15" hidden="false" customHeight="true" outlineLevel="0" collapsed="false">
      <c r="A632" s="32" t="n">
        <v>46161</v>
      </c>
      <c r="B632" s="8" t="s">
        <v>962</v>
      </c>
      <c r="C632" s="8" t="s">
        <v>253</v>
      </c>
      <c r="D632" s="8" t="s">
        <v>290</v>
      </c>
      <c r="E632" s="9" t="n">
        <v>-60</v>
      </c>
      <c r="F632" s="8" t="s">
        <v>17</v>
      </c>
    </row>
    <row r="633" customFormat="false" ht="15" hidden="false" customHeight="true" outlineLevel="0" collapsed="false">
      <c r="A633" s="32" t="n">
        <v>46161</v>
      </c>
      <c r="B633" s="8" t="s">
        <v>963</v>
      </c>
      <c r="C633" s="8" t="s">
        <v>253</v>
      </c>
      <c r="D633" s="8" t="s">
        <v>964</v>
      </c>
      <c r="E633" s="9" t="n">
        <v>-0.8</v>
      </c>
      <c r="F633" s="8" t="s">
        <v>17</v>
      </c>
    </row>
    <row r="634" customFormat="false" ht="15" hidden="false" customHeight="true" outlineLevel="0" collapsed="false">
      <c r="A634" s="32" t="n">
        <v>46161</v>
      </c>
      <c r="B634" s="8" t="s">
        <v>965</v>
      </c>
      <c r="C634" s="8" t="s">
        <v>253</v>
      </c>
      <c r="D634" s="8" t="s">
        <v>290</v>
      </c>
      <c r="E634" s="9" t="n">
        <v>-65.57</v>
      </c>
      <c r="F634" s="8" t="s">
        <v>17</v>
      </c>
    </row>
    <row r="635" customFormat="false" ht="15" hidden="false" customHeight="true" outlineLevel="0" collapsed="false">
      <c r="A635" s="32" t="n">
        <v>46162</v>
      </c>
      <c r="B635" s="8" t="s">
        <v>966</v>
      </c>
      <c r="C635" s="8" t="s">
        <v>253</v>
      </c>
      <c r="D635" s="8" t="s">
        <v>284</v>
      </c>
      <c r="E635" s="9" t="n">
        <v>-3.99</v>
      </c>
      <c r="F635" s="8" t="s">
        <v>20</v>
      </c>
    </row>
    <row r="636" customFormat="false" ht="15" hidden="false" customHeight="true" outlineLevel="0" collapsed="false">
      <c r="A636" s="32" t="n">
        <v>46162</v>
      </c>
      <c r="B636" s="8" t="s">
        <v>967</v>
      </c>
      <c r="C636" s="8" t="s">
        <v>253</v>
      </c>
      <c r="D636" s="8" t="s">
        <v>282</v>
      </c>
      <c r="E636" s="9" t="n">
        <v>-23.48</v>
      </c>
      <c r="F636" s="8" t="s">
        <v>13</v>
      </c>
    </row>
    <row r="637" customFormat="false" ht="15" hidden="false" customHeight="true" outlineLevel="0" collapsed="false">
      <c r="A637" s="32" t="n">
        <v>46162</v>
      </c>
      <c r="B637" s="8" t="s">
        <v>968</v>
      </c>
      <c r="C637" s="8" t="s">
        <v>253</v>
      </c>
      <c r="D637" s="8" t="s">
        <v>517</v>
      </c>
      <c r="E637" s="9" t="n">
        <v>-34.9</v>
      </c>
      <c r="F637" s="8" t="s">
        <v>24</v>
      </c>
    </row>
    <row r="638" customFormat="false" ht="15" hidden="false" customHeight="true" outlineLevel="0" collapsed="false">
      <c r="A638" s="32" t="n">
        <v>46162</v>
      </c>
      <c r="B638" s="8" t="s">
        <v>969</v>
      </c>
      <c r="C638" s="8" t="s">
        <v>253</v>
      </c>
      <c r="D638" s="8" t="s">
        <v>282</v>
      </c>
      <c r="E638" s="9" t="n">
        <v>-7.56</v>
      </c>
      <c r="F638" s="8" t="s">
        <v>13</v>
      </c>
    </row>
    <row r="639" customFormat="false" ht="15" hidden="false" customHeight="true" outlineLevel="0" collapsed="false">
      <c r="A639" s="32" t="n">
        <v>46163</v>
      </c>
      <c r="B639" s="8" t="s">
        <v>970</v>
      </c>
      <c r="C639" s="8" t="s">
        <v>253</v>
      </c>
      <c r="D639" s="8" t="s">
        <v>971</v>
      </c>
      <c r="E639" s="9" t="n">
        <v>-12.08</v>
      </c>
      <c r="F639" s="8" t="s">
        <v>29</v>
      </c>
    </row>
    <row r="640" customFormat="false" ht="15" hidden="false" customHeight="true" outlineLevel="0" collapsed="false">
      <c r="A640" s="32" t="n">
        <v>46163</v>
      </c>
      <c r="B640" s="8" t="s">
        <v>972</v>
      </c>
      <c r="C640" s="8" t="s">
        <v>300</v>
      </c>
      <c r="D640" s="8" t="s">
        <v>301</v>
      </c>
      <c r="E640" s="9" t="n">
        <v>-1.2</v>
      </c>
      <c r="F640" s="8" t="s">
        <v>25</v>
      </c>
    </row>
    <row r="641" customFormat="false" ht="15" hidden="false" customHeight="true" outlineLevel="0" collapsed="false">
      <c r="A641" s="32" t="n">
        <v>46163</v>
      </c>
      <c r="B641" s="8" t="s">
        <v>973</v>
      </c>
      <c r="C641" s="8" t="s">
        <v>402</v>
      </c>
      <c r="D641" s="8" t="s">
        <v>403</v>
      </c>
      <c r="E641" s="9" t="n">
        <v>-236</v>
      </c>
      <c r="F641" s="8" t="s">
        <v>15</v>
      </c>
    </row>
    <row r="642" customFormat="false" ht="15" hidden="false" customHeight="true" outlineLevel="0" collapsed="false">
      <c r="A642" s="32" t="n">
        <v>46163</v>
      </c>
      <c r="B642" s="8" t="s">
        <v>972</v>
      </c>
      <c r="C642" s="8" t="s">
        <v>266</v>
      </c>
      <c r="D642" s="8" t="s">
        <v>974</v>
      </c>
      <c r="E642" s="9" t="n">
        <v>39712</v>
      </c>
      <c r="F642" s="8" t="s">
        <v>261</v>
      </c>
    </row>
    <row r="643" customFormat="false" ht="15" hidden="false" customHeight="true" outlineLevel="0" collapsed="false">
      <c r="A643" s="32" t="n">
        <v>46163</v>
      </c>
      <c r="B643" s="8" t="s">
        <v>972</v>
      </c>
      <c r="C643" s="8" t="s">
        <v>529</v>
      </c>
      <c r="D643" s="8" t="s">
        <v>530</v>
      </c>
      <c r="E643" s="9" t="n">
        <v>-14.64</v>
      </c>
      <c r="F643" s="8" t="s">
        <v>25</v>
      </c>
    </row>
    <row r="644" customFormat="false" ht="15" hidden="false" customHeight="true" outlineLevel="0" collapsed="false">
      <c r="A644" s="32" t="n">
        <v>46164</v>
      </c>
      <c r="B644" s="8" t="s">
        <v>975</v>
      </c>
      <c r="C644" s="8" t="s">
        <v>324</v>
      </c>
      <c r="D644" s="8" t="s">
        <v>576</v>
      </c>
      <c r="E644" s="9" t="n">
        <v>-3057.38</v>
      </c>
      <c r="F644" s="8" t="s">
        <v>12</v>
      </c>
    </row>
    <row r="645" customFormat="false" ht="15" hidden="false" customHeight="true" outlineLevel="0" collapsed="false">
      <c r="A645" s="32" t="n">
        <v>46164</v>
      </c>
      <c r="B645" s="8" t="s">
        <v>976</v>
      </c>
      <c r="C645" s="8" t="s">
        <v>280</v>
      </c>
      <c r="D645" s="8" t="s">
        <v>270</v>
      </c>
      <c r="E645" s="9" t="n">
        <v>-1000</v>
      </c>
      <c r="F645" s="8" t="s">
        <v>16</v>
      </c>
    </row>
    <row r="646" customFormat="false" ht="15" hidden="false" customHeight="true" outlineLevel="0" collapsed="false">
      <c r="A646" s="32" t="n">
        <v>46164</v>
      </c>
      <c r="B646" s="8" t="s">
        <v>975</v>
      </c>
      <c r="C646" s="8" t="s">
        <v>330</v>
      </c>
      <c r="D646" s="8"/>
      <c r="E646" s="9" t="n">
        <v>-17</v>
      </c>
      <c r="F646" s="8" t="s">
        <v>25</v>
      </c>
    </row>
    <row r="647" customFormat="false" ht="15" hidden="false" customHeight="true" outlineLevel="0" collapsed="false">
      <c r="A647" s="32" t="n">
        <v>46164</v>
      </c>
      <c r="B647" s="8" t="s">
        <v>977</v>
      </c>
      <c r="C647" s="8" t="s">
        <v>269</v>
      </c>
      <c r="D647" s="8" t="s">
        <v>270</v>
      </c>
      <c r="E647" s="9" t="n">
        <v>-4000</v>
      </c>
      <c r="F647" s="8" t="s">
        <v>16</v>
      </c>
    </row>
    <row r="648" customFormat="false" ht="15" hidden="false" customHeight="true" outlineLevel="0" collapsed="false">
      <c r="A648" s="32" t="n">
        <v>46164</v>
      </c>
      <c r="B648" s="8" t="s">
        <v>978</v>
      </c>
      <c r="C648" s="8" t="s">
        <v>253</v>
      </c>
      <c r="D648" s="8" t="s">
        <v>32</v>
      </c>
      <c r="E648" s="9" t="n">
        <v>-13.4</v>
      </c>
      <c r="F648" s="8" t="s">
        <v>17</v>
      </c>
    </row>
    <row r="649" customFormat="false" ht="15" hidden="false" customHeight="true" outlineLevel="0" collapsed="false">
      <c r="A649" s="32" t="n">
        <v>46164</v>
      </c>
      <c r="B649" s="8" t="s">
        <v>975</v>
      </c>
      <c r="C649" s="8" t="s">
        <v>300</v>
      </c>
      <c r="D649" s="8" t="s">
        <v>301</v>
      </c>
      <c r="E649" s="9" t="n">
        <v>-1.2</v>
      </c>
      <c r="F649" s="8" t="s">
        <v>25</v>
      </c>
    </row>
    <row r="650" customFormat="false" ht="15" hidden="false" customHeight="true" outlineLevel="0" collapsed="false">
      <c r="A650" s="32" t="n">
        <v>46164</v>
      </c>
      <c r="B650" s="8" t="s">
        <v>975</v>
      </c>
      <c r="C650" s="8" t="s">
        <v>308</v>
      </c>
      <c r="D650" s="8" t="s">
        <v>309</v>
      </c>
      <c r="E650" s="9" t="n">
        <v>-15.6</v>
      </c>
      <c r="F650" s="8" t="s">
        <v>25</v>
      </c>
    </row>
    <row r="651" customFormat="false" ht="15" hidden="false" customHeight="true" outlineLevel="0" collapsed="false">
      <c r="A651" s="32" t="n">
        <v>46164</v>
      </c>
      <c r="B651" s="8" t="s">
        <v>975</v>
      </c>
      <c r="C651" s="8" t="s">
        <v>326</v>
      </c>
      <c r="D651" s="8" t="s">
        <v>327</v>
      </c>
      <c r="E651" s="9" t="n">
        <v>-28.8</v>
      </c>
      <c r="F651" s="8" t="s">
        <v>25</v>
      </c>
    </row>
    <row r="652" customFormat="false" ht="15" hidden="false" customHeight="true" outlineLevel="0" collapsed="false">
      <c r="A652" s="32" t="n">
        <v>46164</v>
      </c>
      <c r="B652" s="8" t="s">
        <v>979</v>
      </c>
      <c r="C652" s="8" t="s">
        <v>253</v>
      </c>
      <c r="D652" s="8" t="s">
        <v>276</v>
      </c>
      <c r="E652" s="9" t="n">
        <v>-43</v>
      </c>
      <c r="F652" s="8" t="s">
        <v>18</v>
      </c>
    </row>
    <row r="653" customFormat="false" ht="15" hidden="false" customHeight="true" outlineLevel="0" collapsed="false">
      <c r="A653" s="32" t="n">
        <v>46164</v>
      </c>
      <c r="B653" s="8" t="s">
        <v>980</v>
      </c>
      <c r="C653" s="8" t="s">
        <v>253</v>
      </c>
      <c r="D653" s="8" t="s">
        <v>32</v>
      </c>
      <c r="E653" s="9" t="n">
        <v>-46.96</v>
      </c>
      <c r="F653" s="8" t="s">
        <v>17</v>
      </c>
    </row>
    <row r="654" customFormat="false" ht="15" hidden="false" customHeight="true" outlineLevel="0" collapsed="false">
      <c r="A654" s="32" t="n">
        <v>46164</v>
      </c>
      <c r="B654" s="8" t="s">
        <v>981</v>
      </c>
      <c r="C654" s="8" t="s">
        <v>253</v>
      </c>
      <c r="D654" s="8" t="s">
        <v>710</v>
      </c>
      <c r="E654" s="9" t="n">
        <v>-20</v>
      </c>
      <c r="F654" s="8" t="s">
        <v>18</v>
      </c>
    </row>
    <row r="655" customFormat="false" ht="15" hidden="false" customHeight="true" outlineLevel="0" collapsed="false">
      <c r="A655" s="32" t="n">
        <v>46167</v>
      </c>
      <c r="B655" s="8" t="s">
        <v>982</v>
      </c>
      <c r="C655" s="8" t="s">
        <v>253</v>
      </c>
      <c r="D655" s="8" t="s">
        <v>32</v>
      </c>
      <c r="E655" s="9" t="n">
        <v>-66.4</v>
      </c>
      <c r="F655" s="8" t="s">
        <v>17</v>
      </c>
    </row>
    <row r="656" customFormat="false" ht="15" hidden="false" customHeight="true" outlineLevel="0" collapsed="false">
      <c r="A656" s="32" t="n">
        <v>46167</v>
      </c>
      <c r="B656" s="8" t="s">
        <v>983</v>
      </c>
      <c r="C656" s="8" t="s">
        <v>253</v>
      </c>
      <c r="D656" s="8" t="s">
        <v>378</v>
      </c>
      <c r="E656" s="9" t="n">
        <v>-26.5</v>
      </c>
      <c r="F656" s="8" t="s">
        <v>29</v>
      </c>
    </row>
    <row r="657" customFormat="false" ht="15" hidden="false" customHeight="true" outlineLevel="0" collapsed="false">
      <c r="A657" s="32" t="n">
        <v>46167</v>
      </c>
      <c r="B657" s="8" t="s">
        <v>984</v>
      </c>
      <c r="C657" s="8" t="s">
        <v>266</v>
      </c>
      <c r="D657" s="8" t="s">
        <v>974</v>
      </c>
      <c r="E657" s="9" t="n">
        <v>7002</v>
      </c>
      <c r="F657" s="8" t="s">
        <v>261</v>
      </c>
    </row>
    <row r="658" customFormat="false" ht="15" hidden="false" customHeight="true" outlineLevel="0" collapsed="false">
      <c r="A658" s="32" t="n">
        <v>46167</v>
      </c>
      <c r="B658" s="8" t="s">
        <v>984</v>
      </c>
      <c r="C658" s="8" t="s">
        <v>300</v>
      </c>
      <c r="D658" s="8" t="s">
        <v>301</v>
      </c>
      <c r="E658" s="9" t="n">
        <v>-1.2</v>
      </c>
      <c r="F658" s="8" t="s">
        <v>25</v>
      </c>
    </row>
    <row r="659" customFormat="false" ht="15" hidden="false" customHeight="true" outlineLevel="0" collapsed="false">
      <c r="A659" s="32" t="n">
        <v>46167</v>
      </c>
      <c r="B659" s="8" t="s">
        <v>985</v>
      </c>
      <c r="C659" s="8" t="s">
        <v>253</v>
      </c>
      <c r="D659" s="8" t="s">
        <v>282</v>
      </c>
      <c r="E659" s="9" t="n">
        <v>-46.99</v>
      </c>
      <c r="F659" s="8" t="s">
        <v>13</v>
      </c>
    </row>
    <row r="660" customFormat="false" ht="15" hidden="false" customHeight="true" outlineLevel="0" collapsed="false">
      <c r="A660" s="32" t="n">
        <v>46167</v>
      </c>
      <c r="B660" s="8" t="s">
        <v>984</v>
      </c>
      <c r="C660" s="8" t="s">
        <v>529</v>
      </c>
      <c r="D660" s="8" t="s">
        <v>530</v>
      </c>
      <c r="E660" s="9" t="n">
        <v>-14.64</v>
      </c>
      <c r="F660" s="8" t="s">
        <v>25</v>
      </c>
    </row>
    <row r="661" customFormat="false" ht="15" hidden="false" customHeight="true" outlineLevel="0" collapsed="false">
      <c r="A661" s="32" t="n">
        <v>46168</v>
      </c>
      <c r="B661" s="8" t="s">
        <v>986</v>
      </c>
      <c r="C661" s="8" t="s">
        <v>253</v>
      </c>
      <c r="D661" s="8" t="s">
        <v>290</v>
      </c>
      <c r="E661" s="9" t="n">
        <v>-67.82</v>
      </c>
      <c r="F661" s="8" t="s">
        <v>17</v>
      </c>
    </row>
    <row r="662" customFormat="false" ht="15" hidden="false" customHeight="true" outlineLevel="0" collapsed="false">
      <c r="A662" s="32" t="n">
        <v>46168</v>
      </c>
      <c r="B662" s="8" t="s">
        <v>987</v>
      </c>
      <c r="C662" s="8" t="s">
        <v>269</v>
      </c>
      <c r="D662" s="8" t="s">
        <v>315</v>
      </c>
      <c r="E662" s="9" t="n">
        <v>-2406.3</v>
      </c>
      <c r="F662" s="8" t="s">
        <v>11</v>
      </c>
    </row>
    <row r="663" customFormat="false" ht="15" hidden="false" customHeight="true" outlineLevel="0" collapsed="false">
      <c r="A663" s="32" t="n">
        <v>46168</v>
      </c>
      <c r="B663" s="8" t="s">
        <v>988</v>
      </c>
      <c r="C663" s="8" t="s">
        <v>269</v>
      </c>
      <c r="D663" s="8" t="s">
        <v>393</v>
      </c>
      <c r="E663" s="9" t="n">
        <v>-14580</v>
      </c>
      <c r="F663" s="8" t="s">
        <v>10</v>
      </c>
    </row>
    <row r="664" customFormat="false" ht="15" hidden="false" customHeight="true" outlineLevel="0" collapsed="false">
      <c r="A664" s="32" t="n">
        <v>46168</v>
      </c>
      <c r="B664" s="8" t="s">
        <v>989</v>
      </c>
      <c r="C664" s="8" t="s">
        <v>256</v>
      </c>
      <c r="D664" s="8" t="s">
        <v>350</v>
      </c>
      <c r="E664" s="9" t="n">
        <v>-451.67</v>
      </c>
      <c r="F664" s="8" t="s">
        <v>20</v>
      </c>
    </row>
    <row r="665" customFormat="false" ht="15" hidden="false" customHeight="true" outlineLevel="0" collapsed="false">
      <c r="A665" s="32" t="n">
        <v>46168</v>
      </c>
      <c r="B665" s="8" t="s">
        <v>990</v>
      </c>
      <c r="C665" s="8" t="s">
        <v>256</v>
      </c>
      <c r="D665" s="8" t="s">
        <v>364</v>
      </c>
      <c r="E665" s="9" t="n">
        <v>-95</v>
      </c>
      <c r="F665" s="8" t="s">
        <v>15</v>
      </c>
    </row>
    <row r="666" customFormat="false" ht="15" hidden="false" customHeight="true" outlineLevel="0" collapsed="false">
      <c r="A666" s="32" t="n">
        <v>46168</v>
      </c>
      <c r="B666" s="8" t="s">
        <v>991</v>
      </c>
      <c r="C666" s="8" t="s">
        <v>269</v>
      </c>
      <c r="D666" s="8" t="s">
        <v>323</v>
      </c>
      <c r="E666" s="9" t="n">
        <v>-7826.85</v>
      </c>
      <c r="F666" s="8" t="s">
        <v>13</v>
      </c>
    </row>
    <row r="667" customFormat="false" ht="15" hidden="false" customHeight="true" outlineLevel="0" collapsed="false">
      <c r="A667" s="32" t="n">
        <v>46169</v>
      </c>
      <c r="B667" s="8" t="s">
        <v>992</v>
      </c>
      <c r="C667" s="8" t="s">
        <v>253</v>
      </c>
      <c r="D667" s="8" t="s">
        <v>434</v>
      </c>
      <c r="E667" s="9" t="n">
        <v>-13</v>
      </c>
      <c r="F667" s="8" t="s">
        <v>20</v>
      </c>
    </row>
    <row r="668" customFormat="false" ht="15" hidden="false" customHeight="true" outlineLevel="0" collapsed="false">
      <c r="A668" s="32" t="n">
        <v>46169</v>
      </c>
      <c r="B668" s="8" t="s">
        <v>993</v>
      </c>
      <c r="C668" s="8" t="s">
        <v>253</v>
      </c>
      <c r="D668" s="8" t="s">
        <v>32</v>
      </c>
      <c r="E668" s="9" t="n">
        <v>-59.76</v>
      </c>
      <c r="F668" s="8" t="s">
        <v>17</v>
      </c>
    </row>
    <row r="669" customFormat="false" ht="15" hidden="false" customHeight="true" outlineLevel="0" collapsed="false">
      <c r="A669" s="32" t="n">
        <v>46169</v>
      </c>
      <c r="B669" s="8" t="s">
        <v>994</v>
      </c>
      <c r="C669" s="8" t="s">
        <v>269</v>
      </c>
      <c r="D669" s="8" t="s">
        <v>995</v>
      </c>
      <c r="E669" s="9" t="n">
        <v>-1281.61</v>
      </c>
      <c r="F669" s="8" t="s">
        <v>14</v>
      </c>
    </row>
    <row r="670" customFormat="false" ht="15" hidden="false" customHeight="true" outlineLevel="0" collapsed="false">
      <c r="A670" s="32" t="n">
        <v>46169</v>
      </c>
      <c r="B670" s="8" t="s">
        <v>572</v>
      </c>
      <c r="C670" s="8" t="s">
        <v>269</v>
      </c>
      <c r="D670" s="8" t="s">
        <v>996</v>
      </c>
      <c r="E670" s="9" t="n">
        <v>-2432</v>
      </c>
      <c r="F670" s="8" t="s">
        <v>10</v>
      </c>
    </row>
    <row r="671" customFormat="false" ht="15" hidden="false" customHeight="true" outlineLevel="0" collapsed="false">
      <c r="A671" s="32" t="n">
        <v>46169</v>
      </c>
      <c r="B671" s="8" t="s">
        <v>997</v>
      </c>
      <c r="C671" s="8" t="s">
        <v>269</v>
      </c>
      <c r="D671" s="8" t="s">
        <v>456</v>
      </c>
      <c r="E671" s="9" t="n">
        <v>-2465.38</v>
      </c>
      <c r="F671" s="8" t="s">
        <v>14</v>
      </c>
    </row>
    <row r="672" customFormat="false" ht="15" hidden="false" customHeight="true" outlineLevel="0" collapsed="false">
      <c r="A672" s="32" t="n">
        <v>46169</v>
      </c>
      <c r="B672" s="8" t="s">
        <v>998</v>
      </c>
      <c r="C672" s="8" t="s">
        <v>253</v>
      </c>
      <c r="D672" s="8" t="s">
        <v>999</v>
      </c>
      <c r="E672" s="9" t="n">
        <v>-20.4</v>
      </c>
      <c r="F672" s="8" t="s">
        <v>29</v>
      </c>
    </row>
    <row r="673" customFormat="false" ht="15" hidden="false" customHeight="true" outlineLevel="0" collapsed="false">
      <c r="A673" s="32" t="n">
        <v>46169</v>
      </c>
      <c r="B673" s="8" t="s">
        <v>1000</v>
      </c>
      <c r="C673" s="8" t="s">
        <v>253</v>
      </c>
      <c r="D673" s="8" t="s">
        <v>284</v>
      </c>
      <c r="E673" s="9" t="n">
        <v>-3.99</v>
      </c>
      <c r="F673" s="8" t="s">
        <v>20</v>
      </c>
    </row>
    <row r="674" customFormat="false" ht="15" hidden="false" customHeight="true" outlineLevel="0" collapsed="false">
      <c r="A674" s="32" t="n">
        <v>46169</v>
      </c>
      <c r="B674" s="8" t="s">
        <v>1001</v>
      </c>
      <c r="C674" s="8" t="s">
        <v>269</v>
      </c>
      <c r="D674" s="8" t="s">
        <v>449</v>
      </c>
      <c r="E674" s="9" t="n">
        <v>-729.82</v>
      </c>
      <c r="F674" s="8" t="s">
        <v>14</v>
      </c>
    </row>
    <row r="675" customFormat="false" ht="15" hidden="false" customHeight="true" outlineLevel="0" collapsed="false">
      <c r="A675" s="32" t="n">
        <v>46169</v>
      </c>
      <c r="B675" s="8" t="s">
        <v>1002</v>
      </c>
      <c r="C675" s="8" t="s">
        <v>253</v>
      </c>
      <c r="D675" s="8" t="s">
        <v>911</v>
      </c>
      <c r="E675" s="9" t="n">
        <v>-648.99</v>
      </c>
      <c r="F675" s="8" t="s">
        <v>24</v>
      </c>
    </row>
    <row r="676" customFormat="false" ht="15" hidden="false" customHeight="true" outlineLevel="0" collapsed="false">
      <c r="A676" s="32" t="n">
        <v>46169</v>
      </c>
      <c r="B676" s="8" t="s">
        <v>1003</v>
      </c>
      <c r="C676" s="8" t="s">
        <v>269</v>
      </c>
      <c r="D676" s="8" t="s">
        <v>451</v>
      </c>
      <c r="E676" s="9" t="n">
        <v>-637.51</v>
      </c>
      <c r="F676" s="8" t="s">
        <v>14</v>
      </c>
    </row>
    <row r="677" customFormat="false" ht="15" hidden="false" customHeight="true" outlineLevel="0" collapsed="false">
      <c r="A677" s="32" t="n">
        <v>46170</v>
      </c>
      <c r="B677" s="8" t="s">
        <v>1004</v>
      </c>
      <c r="C677" s="8" t="s">
        <v>587</v>
      </c>
      <c r="D677" s="8" t="s">
        <v>1005</v>
      </c>
      <c r="E677" s="9" t="n">
        <v>4900</v>
      </c>
      <c r="F677" s="8" t="s">
        <v>261</v>
      </c>
    </row>
    <row r="678" customFormat="false" ht="15" hidden="false" customHeight="true" outlineLevel="0" collapsed="false">
      <c r="A678" s="32" t="n">
        <v>46170</v>
      </c>
      <c r="B678" s="8" t="s">
        <v>1006</v>
      </c>
      <c r="C678" s="8" t="s">
        <v>256</v>
      </c>
      <c r="D678" s="8" t="s">
        <v>428</v>
      </c>
      <c r="E678" s="9" t="n">
        <v>-551.35</v>
      </c>
      <c r="F678" s="8" t="s">
        <v>15</v>
      </c>
    </row>
    <row r="679" customFormat="false" ht="15" hidden="false" customHeight="true" outlineLevel="0" collapsed="false">
      <c r="A679" s="32" t="n">
        <v>46170</v>
      </c>
      <c r="B679" s="8" t="s">
        <v>1007</v>
      </c>
      <c r="C679" s="8" t="s">
        <v>259</v>
      </c>
      <c r="D679" s="8" t="s">
        <v>260</v>
      </c>
      <c r="E679" s="9" t="n">
        <v>116.74</v>
      </c>
      <c r="F679" s="8" t="s">
        <v>261</v>
      </c>
    </row>
    <row r="680" customFormat="false" ht="15" hidden="false" customHeight="true" outlineLevel="0" collapsed="false">
      <c r="A680" s="32" t="n">
        <v>46170</v>
      </c>
      <c r="B680" s="8" t="s">
        <v>1008</v>
      </c>
      <c r="C680" s="8" t="s">
        <v>256</v>
      </c>
      <c r="D680" s="8" t="s">
        <v>432</v>
      </c>
      <c r="E680" s="9" t="n">
        <v>-15.95</v>
      </c>
      <c r="F680" s="8" t="s">
        <v>17</v>
      </c>
    </row>
    <row r="681" customFormat="false" ht="15" hidden="false" customHeight="true" outlineLevel="0" collapsed="false">
      <c r="A681" s="32" t="n">
        <v>46170</v>
      </c>
      <c r="B681" s="8" t="s">
        <v>1009</v>
      </c>
      <c r="C681" s="8" t="s">
        <v>253</v>
      </c>
      <c r="D681" s="8" t="s">
        <v>517</v>
      </c>
      <c r="E681" s="9" t="n">
        <v>-2.99</v>
      </c>
      <c r="F681" s="8" t="s">
        <v>24</v>
      </c>
    </row>
    <row r="682" customFormat="false" ht="15" hidden="false" customHeight="true" outlineLevel="0" collapsed="false">
      <c r="A682" s="32" t="n">
        <v>46170</v>
      </c>
      <c r="B682" s="8" t="s">
        <v>1010</v>
      </c>
      <c r="C682" s="8" t="s">
        <v>253</v>
      </c>
      <c r="D682" s="8" t="s">
        <v>1011</v>
      </c>
      <c r="E682" s="9" t="n">
        <v>-285.08</v>
      </c>
      <c r="F682" s="8" t="s">
        <v>22</v>
      </c>
    </row>
    <row r="683" customFormat="false" ht="15" hidden="false" customHeight="true" outlineLevel="0" collapsed="false">
      <c r="A683" s="32" t="n">
        <v>46170</v>
      </c>
      <c r="B683" s="8" t="s">
        <v>1012</v>
      </c>
      <c r="C683" s="8" t="s">
        <v>253</v>
      </c>
      <c r="D683" s="8" t="s">
        <v>1013</v>
      </c>
      <c r="E683" s="9" t="n">
        <v>-79.47</v>
      </c>
      <c r="F683" s="8" t="s">
        <v>29</v>
      </c>
    </row>
    <row r="684" customFormat="false" ht="15" hidden="false" customHeight="true" outlineLevel="0" collapsed="false">
      <c r="A684" s="32" t="n">
        <v>46171</v>
      </c>
      <c r="B684" s="8" t="s">
        <v>1014</v>
      </c>
      <c r="C684" s="8" t="s">
        <v>587</v>
      </c>
      <c r="D684" s="8" t="s">
        <v>873</v>
      </c>
      <c r="E684" s="9" t="n">
        <v>2095</v>
      </c>
      <c r="F684" s="8" t="s">
        <v>261</v>
      </c>
    </row>
    <row r="685" customFormat="false" ht="15" hidden="false" customHeight="true" outlineLevel="0" collapsed="false">
      <c r="A685" s="32" t="n">
        <v>46171</v>
      </c>
      <c r="B685" s="8" t="s">
        <v>1015</v>
      </c>
      <c r="C685" s="8" t="s">
        <v>253</v>
      </c>
      <c r="D685" s="8" t="s">
        <v>857</v>
      </c>
      <c r="E685" s="9" t="n">
        <v>-21.6</v>
      </c>
      <c r="F685" s="8" t="s">
        <v>20</v>
      </c>
    </row>
    <row r="686" customFormat="false" ht="15" hidden="false" customHeight="true" outlineLevel="0" collapsed="false">
      <c r="A686" s="32" t="n">
        <v>46171</v>
      </c>
      <c r="B686" s="8" t="s">
        <v>1016</v>
      </c>
      <c r="C686" s="8" t="s">
        <v>256</v>
      </c>
      <c r="D686" s="8" t="s">
        <v>547</v>
      </c>
      <c r="E686" s="9" t="n">
        <v>-196.21</v>
      </c>
      <c r="F686" s="8" t="s">
        <v>13</v>
      </c>
    </row>
    <row r="687" customFormat="false" ht="15" hidden="false" customHeight="true" outlineLevel="0" collapsed="false">
      <c r="A687" s="32" t="n">
        <v>46171</v>
      </c>
      <c r="B687" s="8" t="s">
        <v>1017</v>
      </c>
      <c r="C687" s="8" t="s">
        <v>253</v>
      </c>
      <c r="D687" s="8" t="s">
        <v>444</v>
      </c>
      <c r="E687" s="9" t="n">
        <v>-65.54</v>
      </c>
      <c r="F687" s="8" t="s">
        <v>20</v>
      </c>
    </row>
    <row r="688" customFormat="false" ht="15" hidden="false" customHeight="true" outlineLevel="0" collapsed="false">
      <c r="A688" s="32" t="n">
        <v>46171</v>
      </c>
      <c r="B688" s="8" t="s">
        <v>1018</v>
      </c>
      <c r="C688" s="8" t="s">
        <v>587</v>
      </c>
      <c r="D688" s="8" t="s">
        <v>677</v>
      </c>
      <c r="E688" s="9" t="n">
        <v>5100</v>
      </c>
      <c r="F688" s="8" t="s">
        <v>261</v>
      </c>
    </row>
    <row r="689" customFormat="false" ht="15" hidden="false" customHeight="true" outlineLevel="0" collapsed="false">
      <c r="A689" s="32" t="n">
        <v>46171</v>
      </c>
      <c r="B689" s="8" t="s">
        <v>1019</v>
      </c>
      <c r="C689" s="8" t="s">
        <v>253</v>
      </c>
      <c r="D689" s="8" t="s">
        <v>32</v>
      </c>
      <c r="E689" s="9" t="n">
        <v>-62.8</v>
      </c>
      <c r="F689" s="8" t="s">
        <v>17</v>
      </c>
    </row>
    <row r="690" customFormat="false" ht="15" hidden="false" customHeight="true" outlineLevel="0" collapsed="false">
      <c r="A690" s="32" t="n">
        <v>46171</v>
      </c>
      <c r="B690" s="8" t="s">
        <v>1015</v>
      </c>
      <c r="C690" s="8" t="s">
        <v>287</v>
      </c>
      <c r="D690" s="8" t="s">
        <v>857</v>
      </c>
      <c r="E690" s="9" t="n">
        <v>-0.62</v>
      </c>
      <c r="F690" s="8" t="s">
        <v>25</v>
      </c>
    </row>
    <row r="691" customFormat="false" ht="15" hidden="false" customHeight="true" outlineLevel="0" collapsed="false">
      <c r="A691" s="32" t="n">
        <v>46174</v>
      </c>
      <c r="B691" s="8" t="s">
        <v>1020</v>
      </c>
      <c r="C691" s="8" t="s">
        <v>256</v>
      </c>
      <c r="D691" s="8" t="s">
        <v>257</v>
      </c>
      <c r="E691" s="9" t="n">
        <v>-872.67</v>
      </c>
      <c r="F691" s="8" t="s">
        <v>17</v>
      </c>
    </row>
    <row r="692" customFormat="false" ht="15" hidden="false" customHeight="true" outlineLevel="0" collapsed="false">
      <c r="A692" s="32" t="n">
        <v>46174</v>
      </c>
      <c r="B692" s="8" t="s">
        <v>1021</v>
      </c>
      <c r="C692" s="8" t="s">
        <v>256</v>
      </c>
      <c r="D692" s="8" t="s">
        <v>272</v>
      </c>
      <c r="E692" s="9" t="n">
        <v>-424.09</v>
      </c>
      <c r="F692" s="8" t="s">
        <v>21</v>
      </c>
    </row>
    <row r="693" customFormat="false" ht="15" hidden="false" customHeight="true" outlineLevel="0" collapsed="false">
      <c r="A693" s="32" t="n">
        <v>46174</v>
      </c>
      <c r="B693" s="8" t="s">
        <v>1022</v>
      </c>
      <c r="C693" s="8" t="s">
        <v>253</v>
      </c>
      <c r="D693" s="8" t="s">
        <v>517</v>
      </c>
      <c r="E693" s="9" t="n">
        <v>-249.9</v>
      </c>
      <c r="F693" s="8" t="s">
        <v>24</v>
      </c>
    </row>
    <row r="694" customFormat="false" ht="15" hidden="false" customHeight="true" outlineLevel="0" collapsed="false">
      <c r="A694" s="32" t="n">
        <v>46174</v>
      </c>
      <c r="B694" s="8" t="s">
        <v>1023</v>
      </c>
      <c r="C694" s="8" t="s">
        <v>253</v>
      </c>
      <c r="D694" s="8" t="s">
        <v>282</v>
      </c>
      <c r="E694" s="9" t="n">
        <v>-23.39</v>
      </c>
      <c r="F694" s="8" t="s">
        <v>13</v>
      </c>
    </row>
    <row r="695" customFormat="false" ht="15" hidden="false" customHeight="true" outlineLevel="0" collapsed="false">
      <c r="A695" s="32" t="n">
        <v>46174</v>
      </c>
      <c r="B695" s="8" t="s">
        <v>1024</v>
      </c>
      <c r="C695" s="8" t="s">
        <v>253</v>
      </c>
      <c r="D695" s="8" t="s">
        <v>1025</v>
      </c>
      <c r="E695" s="9" t="n">
        <v>-280.49</v>
      </c>
      <c r="F695" s="8" t="s">
        <v>24</v>
      </c>
    </row>
    <row r="696" customFormat="false" ht="15" hidden="false" customHeight="true" outlineLevel="0" collapsed="false">
      <c r="A696" s="32" t="n">
        <v>46174</v>
      </c>
      <c r="B696" s="8" t="s">
        <v>1026</v>
      </c>
      <c r="C696" s="8" t="s">
        <v>253</v>
      </c>
      <c r="D696" s="8" t="s">
        <v>517</v>
      </c>
      <c r="E696" s="9" t="n">
        <v>-1.99</v>
      </c>
      <c r="F696" s="8" t="s">
        <v>24</v>
      </c>
    </row>
    <row r="697" customFormat="false" ht="15" hidden="false" customHeight="true" outlineLevel="0" collapsed="false">
      <c r="A697" s="32" t="n">
        <v>46174</v>
      </c>
      <c r="B697" s="8" t="s">
        <v>1027</v>
      </c>
      <c r="C697" s="8" t="s">
        <v>587</v>
      </c>
      <c r="D697" s="8" t="s">
        <v>1028</v>
      </c>
      <c r="E697" s="9" t="n">
        <v>624</v>
      </c>
      <c r="F697" s="8" t="s">
        <v>261</v>
      </c>
    </row>
    <row r="698" customFormat="false" ht="15" hidden="false" customHeight="true" outlineLevel="0" collapsed="false">
      <c r="A698" s="32" t="n">
        <v>46175</v>
      </c>
      <c r="B698" s="8" t="s">
        <v>717</v>
      </c>
      <c r="C698" s="8" t="s">
        <v>1029</v>
      </c>
      <c r="D698" s="8" t="s">
        <v>1030</v>
      </c>
      <c r="E698" s="9" t="n">
        <v>4.9</v>
      </c>
      <c r="F698" s="8" t="s">
        <v>25</v>
      </c>
    </row>
    <row r="699" customFormat="false" ht="15" hidden="false" customHeight="true" outlineLevel="0" collapsed="false">
      <c r="A699" s="32" t="n">
        <v>46175</v>
      </c>
      <c r="B699" s="8" t="s">
        <v>1031</v>
      </c>
      <c r="C699" s="8" t="s">
        <v>253</v>
      </c>
      <c r="D699" s="8" t="s">
        <v>1032</v>
      </c>
      <c r="E699" s="9" t="n">
        <v>-56.29</v>
      </c>
      <c r="F699" s="8" t="s">
        <v>17</v>
      </c>
    </row>
    <row r="700" customFormat="false" ht="15" hidden="false" customHeight="true" outlineLevel="0" collapsed="false">
      <c r="A700" s="32" t="n">
        <v>46175</v>
      </c>
      <c r="B700" s="8" t="s">
        <v>1033</v>
      </c>
      <c r="C700" s="8" t="s">
        <v>253</v>
      </c>
      <c r="D700" s="8" t="s">
        <v>254</v>
      </c>
      <c r="E700" s="9" t="n">
        <v>-152.06</v>
      </c>
      <c r="F700" s="8" t="s">
        <v>20</v>
      </c>
    </row>
    <row r="701" customFormat="false" ht="15" hidden="false" customHeight="true" outlineLevel="0" collapsed="false">
      <c r="A701" s="32" t="n">
        <v>46176</v>
      </c>
      <c r="B701" s="8" t="s">
        <v>1034</v>
      </c>
      <c r="C701" s="8" t="s">
        <v>330</v>
      </c>
      <c r="D701" s="8"/>
      <c r="E701" s="9" t="n">
        <v>-17</v>
      </c>
      <c r="F701" s="8" t="s">
        <v>25</v>
      </c>
    </row>
    <row r="702" customFormat="false" ht="15" hidden="false" customHeight="true" outlineLevel="0" collapsed="false">
      <c r="A702" s="32" t="n">
        <v>46176</v>
      </c>
      <c r="B702" s="8" t="s">
        <v>1035</v>
      </c>
      <c r="C702" s="8" t="s">
        <v>253</v>
      </c>
      <c r="D702" s="8" t="s">
        <v>284</v>
      </c>
      <c r="E702" s="9" t="n">
        <v>-869</v>
      </c>
      <c r="F702" s="8" t="s">
        <v>20</v>
      </c>
    </row>
    <row r="703" customFormat="false" ht="15" hidden="false" customHeight="true" outlineLevel="0" collapsed="false">
      <c r="A703" s="32" t="n">
        <v>46176</v>
      </c>
      <c r="B703" s="8" t="s">
        <v>1036</v>
      </c>
      <c r="C703" s="8" t="s">
        <v>253</v>
      </c>
      <c r="D703" s="8" t="s">
        <v>276</v>
      </c>
      <c r="E703" s="9" t="n">
        <v>-28</v>
      </c>
      <c r="F703" s="8" t="s">
        <v>18</v>
      </c>
    </row>
    <row r="704" customFormat="false" ht="15" hidden="false" customHeight="true" outlineLevel="0" collapsed="false">
      <c r="A704" s="32" t="n">
        <v>46176</v>
      </c>
      <c r="B704" s="8" t="s">
        <v>1037</v>
      </c>
      <c r="C704" s="8" t="s">
        <v>253</v>
      </c>
      <c r="D704" s="8" t="s">
        <v>517</v>
      </c>
      <c r="E704" s="9" t="n">
        <v>-11.98</v>
      </c>
      <c r="F704" s="8" t="s">
        <v>24</v>
      </c>
    </row>
    <row r="705" customFormat="false" ht="15" hidden="false" customHeight="true" outlineLevel="0" collapsed="false">
      <c r="A705" s="32" t="n">
        <v>46176</v>
      </c>
      <c r="B705" s="8" t="s">
        <v>1034</v>
      </c>
      <c r="C705" s="8" t="s">
        <v>326</v>
      </c>
      <c r="D705" s="8" t="s">
        <v>327</v>
      </c>
      <c r="E705" s="9" t="n">
        <v>-28.8</v>
      </c>
      <c r="F705" s="8" t="s">
        <v>25</v>
      </c>
    </row>
    <row r="706" customFormat="false" ht="15" hidden="false" customHeight="true" outlineLevel="0" collapsed="false">
      <c r="A706" s="32" t="n">
        <v>46176</v>
      </c>
      <c r="B706" s="8" t="s">
        <v>1034</v>
      </c>
      <c r="C706" s="8" t="s">
        <v>308</v>
      </c>
      <c r="D706" s="8" t="s">
        <v>309</v>
      </c>
      <c r="E706" s="9" t="n">
        <v>-15.6</v>
      </c>
      <c r="F706" s="8" t="s">
        <v>25</v>
      </c>
    </row>
    <row r="707" customFormat="false" ht="15" hidden="false" customHeight="true" outlineLevel="0" collapsed="false">
      <c r="A707" s="32" t="n">
        <v>46176</v>
      </c>
      <c r="B707" s="8" t="s">
        <v>1034</v>
      </c>
      <c r="C707" s="8" t="s">
        <v>300</v>
      </c>
      <c r="D707" s="8" t="s">
        <v>301</v>
      </c>
      <c r="E707" s="9" t="n">
        <v>-1.2</v>
      </c>
      <c r="F707" s="8" t="s">
        <v>25</v>
      </c>
    </row>
    <row r="708" customFormat="false" ht="15" hidden="false" customHeight="true" outlineLevel="0" collapsed="false">
      <c r="A708" s="32" t="n">
        <v>46176</v>
      </c>
      <c r="B708" s="8" t="s">
        <v>1034</v>
      </c>
      <c r="C708" s="8" t="s">
        <v>324</v>
      </c>
      <c r="D708" s="8" t="s">
        <v>576</v>
      </c>
      <c r="E708" s="9" t="n">
        <v>-4578.1</v>
      </c>
      <c r="F708" s="8" t="s">
        <v>12</v>
      </c>
    </row>
    <row r="709" customFormat="false" ht="15" hidden="false" customHeight="true" outlineLevel="0" collapsed="false">
      <c r="A709" s="32" t="n">
        <v>46176</v>
      </c>
      <c r="B709" s="8" t="s">
        <v>1038</v>
      </c>
      <c r="C709" s="8" t="s">
        <v>253</v>
      </c>
      <c r="D709" s="8" t="s">
        <v>290</v>
      </c>
      <c r="E709" s="9" t="n">
        <v>-54.26</v>
      </c>
      <c r="F709" s="8" t="s">
        <v>17</v>
      </c>
    </row>
    <row r="710" customFormat="false" ht="15" hidden="false" customHeight="true" outlineLevel="0" collapsed="false">
      <c r="A710" s="32" t="n">
        <v>46176</v>
      </c>
      <c r="B710" s="8" t="s">
        <v>1039</v>
      </c>
      <c r="C710" s="8" t="s">
        <v>253</v>
      </c>
      <c r="D710" s="8" t="s">
        <v>395</v>
      </c>
      <c r="E710" s="9" t="n">
        <v>-11.9</v>
      </c>
      <c r="F710" s="8" t="s">
        <v>17</v>
      </c>
    </row>
    <row r="711" customFormat="false" ht="15" hidden="false" customHeight="true" outlineLevel="0" collapsed="false">
      <c r="A711" s="32" t="n">
        <v>46177</v>
      </c>
      <c r="B711" s="8" t="s">
        <v>1040</v>
      </c>
      <c r="C711" s="8" t="s">
        <v>253</v>
      </c>
      <c r="D711" s="8" t="s">
        <v>423</v>
      </c>
      <c r="E711" s="9" t="n">
        <v>-85.52</v>
      </c>
      <c r="F711" s="8" t="s">
        <v>17</v>
      </c>
    </row>
    <row r="712" customFormat="false" ht="15" hidden="false" customHeight="true" outlineLevel="0" collapsed="false">
      <c r="A712" s="32" t="n">
        <v>46177</v>
      </c>
      <c r="B712" s="8" t="s">
        <v>1041</v>
      </c>
      <c r="C712" s="8" t="s">
        <v>253</v>
      </c>
      <c r="D712" s="8" t="s">
        <v>1042</v>
      </c>
      <c r="E712" s="9" t="n">
        <v>-8.5</v>
      </c>
      <c r="F712" s="8" t="s">
        <v>18</v>
      </c>
    </row>
    <row r="713" customFormat="false" ht="15" hidden="false" customHeight="true" outlineLevel="0" collapsed="false">
      <c r="A713" s="32" t="n">
        <v>46177</v>
      </c>
      <c r="B713" s="8" t="s">
        <v>1043</v>
      </c>
      <c r="C713" s="8" t="s">
        <v>253</v>
      </c>
      <c r="D713" s="8" t="s">
        <v>1044</v>
      </c>
      <c r="E713" s="9" t="n">
        <v>-49.5</v>
      </c>
      <c r="F713" s="8" t="s">
        <v>18</v>
      </c>
    </row>
    <row r="714" customFormat="false" ht="15" hidden="false" customHeight="true" outlineLevel="0" collapsed="false">
      <c r="A714" s="32" t="n">
        <v>46177</v>
      </c>
      <c r="B714" s="8" t="s">
        <v>1045</v>
      </c>
      <c r="C714" s="8" t="s">
        <v>253</v>
      </c>
      <c r="D714" s="8" t="s">
        <v>380</v>
      </c>
      <c r="E714" s="9" t="n">
        <v>-15.98</v>
      </c>
      <c r="F714" s="8" t="s">
        <v>19</v>
      </c>
    </row>
    <row r="715" customFormat="false" ht="15" hidden="false" customHeight="true" outlineLevel="0" collapsed="false">
      <c r="A715" s="32" t="n">
        <v>46177</v>
      </c>
      <c r="B715" s="8" t="s">
        <v>1046</v>
      </c>
      <c r="C715" s="8" t="s">
        <v>253</v>
      </c>
      <c r="D715" s="8" t="s">
        <v>378</v>
      </c>
      <c r="E715" s="9" t="n">
        <v>-79.42</v>
      </c>
      <c r="F715" s="8" t="s">
        <v>29</v>
      </c>
    </row>
    <row r="716" customFormat="false" ht="15" hidden="false" customHeight="true" outlineLevel="0" collapsed="false">
      <c r="A716" s="32" t="n">
        <v>46177</v>
      </c>
      <c r="B716" s="8" t="s">
        <v>1047</v>
      </c>
      <c r="C716" s="8" t="s">
        <v>266</v>
      </c>
      <c r="D716" s="8" t="s">
        <v>295</v>
      </c>
      <c r="E716" s="9" t="n">
        <v>20000</v>
      </c>
      <c r="F716" s="8" t="s">
        <v>261</v>
      </c>
    </row>
    <row r="717" customFormat="false" ht="15" hidden="false" customHeight="true" outlineLevel="0" collapsed="false">
      <c r="A717" s="32" t="n">
        <v>46177</v>
      </c>
      <c r="B717" s="8" t="s">
        <v>1047</v>
      </c>
      <c r="C717" s="8" t="s">
        <v>300</v>
      </c>
      <c r="D717" s="8" t="s">
        <v>301</v>
      </c>
      <c r="E717" s="9" t="n">
        <v>-1.2</v>
      </c>
      <c r="F717" s="8" t="s">
        <v>25</v>
      </c>
    </row>
    <row r="718" customFormat="false" ht="15" hidden="false" customHeight="true" outlineLevel="0" collapsed="false">
      <c r="A718" s="32" t="n">
        <v>46177</v>
      </c>
      <c r="B718" s="8" t="s">
        <v>1048</v>
      </c>
      <c r="C718" s="8" t="s">
        <v>253</v>
      </c>
      <c r="D718" s="8" t="s">
        <v>419</v>
      </c>
      <c r="E718" s="9" t="n">
        <v>-757.12</v>
      </c>
      <c r="F718" s="8" t="s">
        <v>19</v>
      </c>
    </row>
    <row r="719" customFormat="false" ht="15" hidden="false" customHeight="true" outlineLevel="0" collapsed="false">
      <c r="A719" s="32" t="n">
        <v>46177</v>
      </c>
      <c r="B719" s="8" t="s">
        <v>1049</v>
      </c>
      <c r="C719" s="8" t="s">
        <v>256</v>
      </c>
      <c r="D719" s="8" t="s">
        <v>272</v>
      </c>
      <c r="E719" s="9" t="n">
        <v>-101.4</v>
      </c>
      <c r="F719" s="8" t="s">
        <v>21</v>
      </c>
    </row>
    <row r="720" customFormat="false" ht="15" hidden="false" customHeight="true" outlineLevel="0" collapsed="false">
      <c r="A720" s="32" t="n">
        <v>46177</v>
      </c>
      <c r="B720" s="8" t="s">
        <v>1050</v>
      </c>
      <c r="C720" s="8" t="s">
        <v>256</v>
      </c>
      <c r="D720" s="8" t="s">
        <v>274</v>
      </c>
      <c r="E720" s="9" t="n">
        <v>-0.36</v>
      </c>
      <c r="F720" s="8" t="s">
        <v>20</v>
      </c>
    </row>
    <row r="721" customFormat="false" ht="15" hidden="false" customHeight="true" outlineLevel="0" collapsed="false">
      <c r="A721" s="32" t="n">
        <v>46178</v>
      </c>
      <c r="B721" s="8" t="s">
        <v>1051</v>
      </c>
      <c r="C721" s="8" t="s">
        <v>253</v>
      </c>
      <c r="D721" s="8" t="s">
        <v>1052</v>
      </c>
      <c r="E721" s="9" t="n">
        <v>-44.7</v>
      </c>
      <c r="F721" s="8" t="s">
        <v>31</v>
      </c>
    </row>
    <row r="722" customFormat="false" ht="15" hidden="false" customHeight="true" outlineLevel="0" collapsed="false">
      <c r="A722" s="32" t="n">
        <v>46178</v>
      </c>
      <c r="B722" s="8" t="s">
        <v>1053</v>
      </c>
      <c r="C722" s="8" t="s">
        <v>253</v>
      </c>
      <c r="D722" s="8" t="s">
        <v>1054</v>
      </c>
      <c r="E722" s="9" t="n">
        <v>-121.17</v>
      </c>
      <c r="F722" s="8" t="s">
        <v>24</v>
      </c>
    </row>
    <row r="723" customFormat="false" ht="15" hidden="false" customHeight="true" outlineLevel="0" collapsed="false">
      <c r="A723" s="32" t="n">
        <v>46178</v>
      </c>
      <c r="B723" s="8" t="s">
        <v>1055</v>
      </c>
      <c r="C723" s="8" t="s">
        <v>253</v>
      </c>
      <c r="D723" s="8" t="s">
        <v>338</v>
      </c>
      <c r="E723" s="9" t="n">
        <v>-14.69</v>
      </c>
      <c r="F723" s="8" t="s">
        <v>31</v>
      </c>
    </row>
    <row r="724" customFormat="false" ht="15" hidden="false" customHeight="true" outlineLevel="0" collapsed="false">
      <c r="A724" s="32" t="n">
        <v>46178</v>
      </c>
      <c r="B724" s="8" t="s">
        <v>1056</v>
      </c>
      <c r="C724" s="8" t="s">
        <v>256</v>
      </c>
      <c r="D724" s="8" t="s">
        <v>698</v>
      </c>
      <c r="E724" s="9" t="n">
        <v>-83.33</v>
      </c>
      <c r="F724" s="8" t="s">
        <v>26</v>
      </c>
    </row>
    <row r="725" customFormat="false" ht="15" hidden="false" customHeight="true" outlineLevel="0" collapsed="false">
      <c r="A725" s="32" t="n">
        <v>46178</v>
      </c>
      <c r="B725" s="8" t="s">
        <v>1057</v>
      </c>
      <c r="C725" s="8" t="s">
        <v>253</v>
      </c>
      <c r="D725" s="8" t="s">
        <v>639</v>
      </c>
      <c r="E725" s="9" t="n">
        <v>-354.79</v>
      </c>
      <c r="F725" s="8" t="s">
        <v>19</v>
      </c>
    </row>
    <row r="726" customFormat="false" ht="15" hidden="false" customHeight="true" outlineLevel="0" collapsed="false">
      <c r="A726" s="32" t="n">
        <v>46178</v>
      </c>
      <c r="B726" s="8" t="s">
        <v>1058</v>
      </c>
      <c r="C726" s="8" t="s">
        <v>253</v>
      </c>
      <c r="D726" s="8" t="s">
        <v>1054</v>
      </c>
      <c r="E726" s="9" t="n">
        <v>-159.53</v>
      </c>
      <c r="F726" s="8" t="s">
        <v>24</v>
      </c>
    </row>
    <row r="727" customFormat="false" ht="15" hidden="false" customHeight="true" outlineLevel="0" collapsed="false">
      <c r="A727" s="32" t="n">
        <v>46178</v>
      </c>
      <c r="B727" s="8" t="s">
        <v>1059</v>
      </c>
      <c r="C727" s="8" t="s">
        <v>253</v>
      </c>
      <c r="D727" s="8" t="s">
        <v>380</v>
      </c>
      <c r="E727" s="9" t="n">
        <v>-42.39</v>
      </c>
      <c r="F727" s="8" t="s">
        <v>19</v>
      </c>
    </row>
    <row r="728" customFormat="false" ht="15" hidden="false" customHeight="true" outlineLevel="0" collapsed="false">
      <c r="A728" s="32" t="n">
        <v>46178</v>
      </c>
      <c r="B728" s="8" t="s">
        <v>1060</v>
      </c>
      <c r="C728" s="8" t="s">
        <v>253</v>
      </c>
      <c r="D728" s="8" t="s">
        <v>282</v>
      </c>
      <c r="E728" s="9" t="n">
        <v>-11.19</v>
      </c>
      <c r="F728" s="8" t="s">
        <v>13</v>
      </c>
    </row>
    <row r="729" customFormat="false" ht="15" hidden="false" customHeight="true" outlineLevel="0" collapsed="false">
      <c r="A729" s="32" t="n">
        <v>46178</v>
      </c>
      <c r="B729" s="8" t="s">
        <v>1061</v>
      </c>
      <c r="C729" s="8" t="s">
        <v>253</v>
      </c>
      <c r="D729" s="8" t="s">
        <v>1062</v>
      </c>
      <c r="E729" s="9" t="n">
        <v>-26.11</v>
      </c>
      <c r="F729" s="8" t="s">
        <v>31</v>
      </c>
    </row>
    <row r="730" customFormat="false" ht="15" hidden="false" customHeight="true" outlineLevel="0" collapsed="false">
      <c r="A730" s="32" t="n">
        <v>46178</v>
      </c>
      <c r="B730" s="8" t="s">
        <v>1063</v>
      </c>
      <c r="C730" s="8" t="s">
        <v>253</v>
      </c>
      <c r="D730" s="8" t="s">
        <v>1054</v>
      </c>
      <c r="E730" s="9" t="n">
        <v>-159.53</v>
      </c>
      <c r="F730" s="8" t="s">
        <v>24</v>
      </c>
    </row>
    <row r="731" customFormat="false" ht="15" hidden="false" customHeight="true" outlineLevel="0" collapsed="false">
      <c r="A731" s="32" t="n">
        <v>46178</v>
      </c>
      <c r="B731" s="8" t="s">
        <v>1064</v>
      </c>
      <c r="C731" s="8" t="s">
        <v>253</v>
      </c>
      <c r="D731" s="8" t="s">
        <v>517</v>
      </c>
      <c r="E731" s="9" t="n">
        <v>-105.29</v>
      </c>
      <c r="F731" s="8" t="s">
        <v>24</v>
      </c>
    </row>
    <row r="732" customFormat="false" ht="15" hidden="false" customHeight="true" outlineLevel="0" collapsed="false">
      <c r="A732" s="32" t="n">
        <v>46181</v>
      </c>
      <c r="B732" s="8" t="s">
        <v>1065</v>
      </c>
      <c r="C732" s="8" t="s">
        <v>253</v>
      </c>
      <c r="D732" s="8" t="s">
        <v>1066</v>
      </c>
      <c r="E732" s="9" t="n">
        <v>-350</v>
      </c>
      <c r="F732" s="8" t="s">
        <v>19</v>
      </c>
    </row>
    <row r="733" customFormat="false" ht="15" hidden="false" customHeight="true" outlineLevel="0" collapsed="false">
      <c r="A733" s="32" t="n">
        <v>46181</v>
      </c>
      <c r="B733" s="8" t="s">
        <v>1067</v>
      </c>
      <c r="C733" s="8" t="s">
        <v>253</v>
      </c>
      <c r="D733" s="8" t="s">
        <v>380</v>
      </c>
      <c r="E733" s="9" t="n">
        <v>-20.4</v>
      </c>
      <c r="F733" s="8" t="s">
        <v>19</v>
      </c>
    </row>
    <row r="734" customFormat="false" ht="15" hidden="false" customHeight="true" outlineLevel="0" collapsed="false">
      <c r="A734" s="32" t="n">
        <v>46181</v>
      </c>
      <c r="B734" s="8" t="s">
        <v>1068</v>
      </c>
      <c r="C734" s="8" t="s">
        <v>253</v>
      </c>
      <c r="D734" s="8" t="s">
        <v>1069</v>
      </c>
      <c r="E734" s="9" t="n">
        <v>-5.9</v>
      </c>
      <c r="F734" s="8" t="s">
        <v>31</v>
      </c>
    </row>
    <row r="735" customFormat="false" ht="15" hidden="false" customHeight="true" outlineLevel="0" collapsed="false">
      <c r="A735" s="32" t="n">
        <v>46181</v>
      </c>
      <c r="B735" s="8" t="s">
        <v>1070</v>
      </c>
      <c r="C735" s="8" t="s">
        <v>287</v>
      </c>
      <c r="D735" s="8" t="s">
        <v>288</v>
      </c>
      <c r="E735" s="9" t="n">
        <v>-0.5</v>
      </c>
      <c r="F735" s="8" t="s">
        <v>25</v>
      </c>
    </row>
    <row r="736" customFormat="false" ht="15" hidden="false" customHeight="true" outlineLevel="0" collapsed="false">
      <c r="A736" s="32" t="n">
        <v>46181</v>
      </c>
      <c r="B736" s="8" t="s">
        <v>1071</v>
      </c>
      <c r="C736" s="8" t="s">
        <v>587</v>
      </c>
      <c r="D736" s="8" t="s">
        <v>901</v>
      </c>
      <c r="E736" s="9" t="n">
        <v>5000</v>
      </c>
      <c r="F736" s="8" t="s">
        <v>261</v>
      </c>
    </row>
    <row r="737" customFormat="false" ht="15" hidden="false" customHeight="true" outlineLevel="0" collapsed="false">
      <c r="A737" s="32" t="n">
        <v>46181</v>
      </c>
      <c r="B737" s="8" t="s">
        <v>1072</v>
      </c>
      <c r="C737" s="8" t="s">
        <v>253</v>
      </c>
      <c r="D737" s="8" t="s">
        <v>1073</v>
      </c>
      <c r="E737" s="9" t="n">
        <v>-13.7</v>
      </c>
      <c r="F737" s="8" t="s">
        <v>31</v>
      </c>
    </row>
    <row r="738" customFormat="false" ht="15" hidden="false" customHeight="true" outlineLevel="0" collapsed="false">
      <c r="A738" s="32" t="n">
        <v>46181</v>
      </c>
      <c r="B738" s="8" t="s">
        <v>1074</v>
      </c>
      <c r="C738" s="8" t="s">
        <v>253</v>
      </c>
      <c r="D738" s="8" t="s">
        <v>380</v>
      </c>
      <c r="E738" s="9" t="n">
        <v>-21.49</v>
      </c>
      <c r="F738" s="8" t="s">
        <v>19</v>
      </c>
    </row>
    <row r="739" customFormat="false" ht="15" hidden="false" customHeight="true" outlineLevel="0" collapsed="false">
      <c r="A739" s="32" t="n">
        <v>46181</v>
      </c>
      <c r="B739" s="8" t="s">
        <v>1075</v>
      </c>
      <c r="C739" s="8" t="s">
        <v>253</v>
      </c>
      <c r="D739" s="8" t="s">
        <v>517</v>
      </c>
      <c r="E739" s="9" t="n">
        <v>-19.99</v>
      </c>
      <c r="F739" s="8" t="s">
        <v>24</v>
      </c>
    </row>
    <row r="740" customFormat="false" ht="15" hidden="false" customHeight="true" outlineLevel="0" collapsed="false">
      <c r="A740" s="32" t="n">
        <v>46181</v>
      </c>
      <c r="B740" s="8" t="s">
        <v>1076</v>
      </c>
      <c r="C740" s="8" t="s">
        <v>253</v>
      </c>
      <c r="D740" s="8" t="s">
        <v>1077</v>
      </c>
      <c r="E740" s="9" t="n">
        <v>-7.35</v>
      </c>
      <c r="F740" s="8" t="s">
        <v>17</v>
      </c>
    </row>
    <row r="741" customFormat="false" ht="15" hidden="false" customHeight="true" outlineLevel="0" collapsed="false">
      <c r="A741" s="32" t="n">
        <v>46181</v>
      </c>
      <c r="B741" s="8" t="s">
        <v>1078</v>
      </c>
      <c r="C741" s="8" t="s">
        <v>253</v>
      </c>
      <c r="D741" s="8" t="s">
        <v>1079</v>
      </c>
      <c r="E741" s="9" t="n">
        <v>-122</v>
      </c>
      <c r="F741" s="8" t="s">
        <v>19</v>
      </c>
    </row>
    <row r="742" customFormat="false" ht="15" hidden="false" customHeight="true" outlineLevel="0" collapsed="false">
      <c r="A742" s="32" t="n">
        <v>46181</v>
      </c>
      <c r="B742" s="8" t="s">
        <v>1080</v>
      </c>
      <c r="C742" s="8" t="s">
        <v>253</v>
      </c>
      <c r="D742" s="8" t="s">
        <v>380</v>
      </c>
      <c r="E742" s="9" t="n">
        <v>-28.9</v>
      </c>
      <c r="F742" s="8" t="s">
        <v>19</v>
      </c>
    </row>
    <row r="743" customFormat="false" ht="15" hidden="false" customHeight="true" outlineLevel="0" collapsed="false">
      <c r="A743" s="32" t="n">
        <v>46181</v>
      </c>
      <c r="B743" s="8" t="s">
        <v>1081</v>
      </c>
      <c r="C743" s="8" t="s">
        <v>253</v>
      </c>
      <c r="D743" s="8" t="s">
        <v>380</v>
      </c>
      <c r="E743" s="9" t="n">
        <v>-85.9</v>
      </c>
      <c r="F743" s="8" t="s">
        <v>19</v>
      </c>
    </row>
    <row r="744" customFormat="false" ht="15" hidden="false" customHeight="true" outlineLevel="0" collapsed="false">
      <c r="A744" s="32" t="n">
        <v>46181</v>
      </c>
      <c r="B744" s="8" t="s">
        <v>793</v>
      </c>
      <c r="C744" s="8" t="s">
        <v>253</v>
      </c>
      <c r="D744" s="8" t="s">
        <v>1082</v>
      </c>
      <c r="E744" s="9" t="n">
        <v>-5.9</v>
      </c>
      <c r="F744" s="8" t="s">
        <v>18</v>
      </c>
    </row>
    <row r="745" customFormat="false" ht="15" hidden="false" customHeight="true" outlineLevel="0" collapsed="false">
      <c r="A745" s="32" t="n">
        <v>46181</v>
      </c>
      <c r="B745" s="8" t="s">
        <v>1083</v>
      </c>
      <c r="C745" s="8" t="s">
        <v>253</v>
      </c>
      <c r="D745" s="8" t="s">
        <v>1084</v>
      </c>
      <c r="E745" s="9" t="n">
        <v>-6</v>
      </c>
      <c r="F745" s="8" t="s">
        <v>18</v>
      </c>
    </row>
    <row r="746" customFormat="false" ht="15" hidden="false" customHeight="true" outlineLevel="0" collapsed="false">
      <c r="A746" s="32" t="n">
        <v>46181</v>
      </c>
      <c r="B746" s="8" t="s">
        <v>1067</v>
      </c>
      <c r="C746" s="8" t="s">
        <v>253</v>
      </c>
      <c r="D746" s="8" t="s">
        <v>380</v>
      </c>
      <c r="E746" s="9" t="n">
        <v>-16.7</v>
      </c>
      <c r="F746" s="8" t="s">
        <v>19</v>
      </c>
    </row>
    <row r="747" customFormat="false" ht="15" hidden="false" customHeight="true" outlineLevel="0" collapsed="false">
      <c r="A747" s="32" t="n">
        <v>46181</v>
      </c>
      <c r="B747" s="8" t="s">
        <v>1080</v>
      </c>
      <c r="C747" s="8" t="s">
        <v>253</v>
      </c>
      <c r="D747" s="8" t="s">
        <v>380</v>
      </c>
      <c r="E747" s="9" t="n">
        <v>-28.9</v>
      </c>
      <c r="F747" s="8" t="s">
        <v>19</v>
      </c>
    </row>
    <row r="748" customFormat="false" ht="15" hidden="false" customHeight="true" outlineLevel="0" collapsed="false">
      <c r="A748" s="32" t="n">
        <v>46181</v>
      </c>
      <c r="B748" s="8" t="s">
        <v>1085</v>
      </c>
      <c r="C748" s="8" t="s">
        <v>253</v>
      </c>
      <c r="D748" s="8" t="s">
        <v>380</v>
      </c>
      <c r="E748" s="9" t="n">
        <v>-29.43</v>
      </c>
      <c r="F748" s="8" t="s">
        <v>19</v>
      </c>
    </row>
    <row r="749" customFormat="false" ht="15" hidden="false" customHeight="true" outlineLevel="0" collapsed="false">
      <c r="A749" s="32" t="n">
        <v>46181</v>
      </c>
      <c r="B749" s="8" t="s">
        <v>1086</v>
      </c>
      <c r="C749" s="8" t="s">
        <v>253</v>
      </c>
      <c r="D749" s="8" t="s">
        <v>380</v>
      </c>
      <c r="E749" s="9" t="n">
        <v>-37.03</v>
      </c>
      <c r="F749" s="8" t="s">
        <v>19</v>
      </c>
    </row>
    <row r="750" customFormat="false" ht="15" hidden="false" customHeight="true" outlineLevel="0" collapsed="false">
      <c r="A750" s="32" t="n">
        <v>46181</v>
      </c>
      <c r="B750" s="8" t="s">
        <v>1087</v>
      </c>
      <c r="C750" s="8" t="s">
        <v>253</v>
      </c>
      <c r="D750" s="8" t="s">
        <v>284</v>
      </c>
      <c r="E750" s="9" t="n">
        <v>-13.99</v>
      </c>
      <c r="F750" s="8" t="s">
        <v>20</v>
      </c>
    </row>
    <row r="751" customFormat="false" ht="15" hidden="false" customHeight="true" outlineLevel="0" collapsed="false">
      <c r="A751" s="32" t="n">
        <v>46181</v>
      </c>
      <c r="B751" s="8" t="s">
        <v>1088</v>
      </c>
      <c r="C751" s="8" t="s">
        <v>253</v>
      </c>
      <c r="D751" s="8" t="s">
        <v>517</v>
      </c>
      <c r="E751" s="9" t="n">
        <v>-77.94</v>
      </c>
      <c r="F751" s="8" t="s">
        <v>24</v>
      </c>
    </row>
    <row r="752" customFormat="false" ht="15" hidden="false" customHeight="true" outlineLevel="0" collapsed="false">
      <c r="A752" s="32" t="n">
        <v>46181</v>
      </c>
      <c r="B752" s="8" t="s">
        <v>1070</v>
      </c>
      <c r="C752" s="8" t="s">
        <v>253</v>
      </c>
      <c r="D752" s="8" t="s">
        <v>288</v>
      </c>
      <c r="E752" s="9" t="n">
        <v>-33.87</v>
      </c>
      <c r="F752" s="8" t="s">
        <v>20</v>
      </c>
    </row>
    <row r="753" customFormat="false" ht="15" hidden="false" customHeight="true" outlineLevel="0" collapsed="false">
      <c r="A753" s="32" t="n">
        <v>46182</v>
      </c>
      <c r="B753" s="8" t="s">
        <v>1089</v>
      </c>
      <c r="C753" s="8" t="s">
        <v>253</v>
      </c>
      <c r="D753" s="8" t="s">
        <v>290</v>
      </c>
      <c r="E753" s="9" t="n">
        <v>-80</v>
      </c>
      <c r="F753" s="8" t="s">
        <v>17</v>
      </c>
    </row>
    <row r="754" customFormat="false" ht="15" hidden="false" customHeight="true" outlineLevel="0" collapsed="false">
      <c r="A754" s="32" t="n">
        <v>46182</v>
      </c>
      <c r="B754" s="8" t="s">
        <v>717</v>
      </c>
      <c r="C754" s="8" t="s">
        <v>718</v>
      </c>
      <c r="D754" s="8" t="s">
        <v>719</v>
      </c>
      <c r="E754" s="9" t="n">
        <v>-558.24</v>
      </c>
      <c r="F754" s="8" t="s">
        <v>27</v>
      </c>
    </row>
    <row r="755" customFormat="false" ht="15" hidden="false" customHeight="true" outlineLevel="0" collapsed="false">
      <c r="A755" s="32" t="n">
        <v>46183</v>
      </c>
      <c r="B755" s="8" t="s">
        <v>1090</v>
      </c>
      <c r="C755" s="8" t="s">
        <v>269</v>
      </c>
      <c r="D755" s="8" t="s">
        <v>393</v>
      </c>
      <c r="E755" s="9" t="n">
        <v>-11335</v>
      </c>
      <c r="F755" s="8" t="s">
        <v>10</v>
      </c>
    </row>
    <row r="756" customFormat="false" ht="15" hidden="false" customHeight="true" outlineLevel="0" collapsed="false">
      <c r="A756" s="32" t="n">
        <v>46183</v>
      </c>
      <c r="B756" s="8" t="s">
        <v>1091</v>
      </c>
      <c r="C756" s="8" t="s">
        <v>256</v>
      </c>
      <c r="D756" s="8" t="s">
        <v>306</v>
      </c>
      <c r="E756" s="9" t="n">
        <v>-78.46</v>
      </c>
      <c r="F756" s="8" t="s">
        <v>30</v>
      </c>
    </row>
    <row r="757" customFormat="false" ht="15" hidden="false" customHeight="true" outlineLevel="0" collapsed="false">
      <c r="A757" s="32" t="n">
        <v>46183</v>
      </c>
      <c r="B757" s="8" t="s">
        <v>1092</v>
      </c>
      <c r="C757" s="8" t="s">
        <v>256</v>
      </c>
      <c r="D757" s="8" t="s">
        <v>292</v>
      </c>
      <c r="E757" s="9" t="n">
        <v>-253.02</v>
      </c>
      <c r="F757" s="8" t="s">
        <v>26</v>
      </c>
    </row>
    <row r="758" customFormat="false" ht="15" hidden="false" customHeight="true" outlineLevel="0" collapsed="false">
      <c r="A758" s="32" t="n">
        <v>46183</v>
      </c>
      <c r="B758" s="8" t="s">
        <v>1093</v>
      </c>
      <c r="C758" s="8" t="s">
        <v>269</v>
      </c>
      <c r="D758" s="8" t="s">
        <v>315</v>
      </c>
      <c r="E758" s="9" t="n">
        <v>-4740.86</v>
      </c>
      <c r="F758" s="8" t="s">
        <v>11</v>
      </c>
    </row>
    <row r="759" customFormat="false" ht="15" hidden="false" customHeight="true" outlineLevel="0" collapsed="false">
      <c r="A759" s="32" t="n">
        <v>46183</v>
      </c>
      <c r="B759" s="8" t="s">
        <v>1094</v>
      </c>
      <c r="C759" s="8" t="s">
        <v>256</v>
      </c>
      <c r="D759" s="8" t="s">
        <v>698</v>
      </c>
      <c r="E759" s="9" t="n">
        <v>-132.17</v>
      </c>
      <c r="F759" s="8" t="s">
        <v>26</v>
      </c>
    </row>
    <row r="760" customFormat="false" ht="15" hidden="false" customHeight="true" outlineLevel="0" collapsed="false">
      <c r="A760" s="32" t="n">
        <v>46184</v>
      </c>
      <c r="B760" s="8" t="s">
        <v>1095</v>
      </c>
      <c r="C760" s="8" t="s">
        <v>253</v>
      </c>
      <c r="D760" s="8" t="s">
        <v>139</v>
      </c>
      <c r="E760" s="9" t="n">
        <v>-84</v>
      </c>
      <c r="F760" s="8" t="s">
        <v>18</v>
      </c>
    </row>
    <row r="761" customFormat="false" ht="15" hidden="false" customHeight="true" outlineLevel="0" collapsed="false">
      <c r="A761" s="32" t="n">
        <v>46184</v>
      </c>
      <c r="B761" s="8" t="s">
        <v>1096</v>
      </c>
      <c r="C761" s="8" t="s">
        <v>253</v>
      </c>
      <c r="D761" s="8" t="s">
        <v>32</v>
      </c>
      <c r="E761" s="9" t="n">
        <v>-58.98</v>
      </c>
      <c r="F761" s="8" t="s">
        <v>17</v>
      </c>
    </row>
    <row r="762" customFormat="false" ht="15" hidden="false" customHeight="true" outlineLevel="0" collapsed="false">
      <c r="A762" s="32" t="n">
        <v>46184</v>
      </c>
      <c r="B762" s="8" t="s">
        <v>1097</v>
      </c>
      <c r="C762" s="8" t="s">
        <v>253</v>
      </c>
      <c r="D762" s="8" t="s">
        <v>1098</v>
      </c>
      <c r="E762" s="9" t="n">
        <v>-142</v>
      </c>
      <c r="F762" s="8" t="s">
        <v>22</v>
      </c>
    </row>
    <row r="763" customFormat="false" ht="15" hidden="false" customHeight="true" outlineLevel="0" collapsed="false">
      <c r="A763" s="32" t="n">
        <v>46184</v>
      </c>
      <c r="B763" s="8" t="s">
        <v>1099</v>
      </c>
      <c r="C763" s="8" t="s">
        <v>253</v>
      </c>
      <c r="D763" s="8" t="s">
        <v>290</v>
      </c>
      <c r="E763" s="9" t="n">
        <v>-40</v>
      </c>
      <c r="F763" s="8" t="s">
        <v>17</v>
      </c>
    </row>
    <row r="764" customFormat="false" ht="15" hidden="false" customHeight="true" outlineLevel="0" collapsed="false">
      <c r="A764" s="32" t="n">
        <v>46184</v>
      </c>
      <c r="B764" s="8" t="s">
        <v>1100</v>
      </c>
      <c r="C764" s="8" t="s">
        <v>253</v>
      </c>
      <c r="D764" s="8" t="s">
        <v>32</v>
      </c>
      <c r="E764" s="9" t="n">
        <v>-11.9</v>
      </c>
      <c r="F764" s="8" t="s">
        <v>17</v>
      </c>
    </row>
    <row r="765" customFormat="false" ht="15" hidden="false" customHeight="true" outlineLevel="0" collapsed="false">
      <c r="A765" s="32" t="n">
        <v>46185</v>
      </c>
      <c r="B765" s="8" t="s">
        <v>1101</v>
      </c>
      <c r="C765" s="8" t="s">
        <v>253</v>
      </c>
      <c r="D765" s="8" t="s">
        <v>282</v>
      </c>
      <c r="E765" s="9" t="n">
        <v>-67.99</v>
      </c>
      <c r="F765" s="8" t="s">
        <v>13</v>
      </c>
    </row>
    <row r="766" customFormat="false" ht="15" hidden="false" customHeight="true" outlineLevel="0" collapsed="false">
      <c r="A766" s="32" t="n">
        <v>46188</v>
      </c>
      <c r="B766" s="8" t="s">
        <v>1102</v>
      </c>
      <c r="C766" s="8" t="s">
        <v>253</v>
      </c>
      <c r="D766" s="8" t="s">
        <v>382</v>
      </c>
      <c r="E766" s="9" t="n">
        <v>-1.5</v>
      </c>
      <c r="F766" s="8" t="s">
        <v>20</v>
      </c>
    </row>
    <row r="767" customFormat="false" ht="15" hidden="false" customHeight="true" outlineLevel="0" collapsed="false">
      <c r="A767" s="32" t="n">
        <v>46188</v>
      </c>
      <c r="B767" s="8" t="s">
        <v>1103</v>
      </c>
      <c r="C767" s="8" t="s">
        <v>253</v>
      </c>
      <c r="D767" s="8" t="s">
        <v>284</v>
      </c>
      <c r="E767" s="9" t="n">
        <v>-22.99</v>
      </c>
      <c r="F767" s="8" t="s">
        <v>20</v>
      </c>
    </row>
    <row r="768" customFormat="false" ht="15" hidden="false" customHeight="true" outlineLevel="0" collapsed="false">
      <c r="A768" s="32" t="n">
        <v>46188</v>
      </c>
      <c r="B768" s="8" t="s">
        <v>1104</v>
      </c>
      <c r="C768" s="8" t="s">
        <v>253</v>
      </c>
      <c r="D768" s="8" t="s">
        <v>434</v>
      </c>
      <c r="E768" s="9" t="n">
        <v>-10</v>
      </c>
      <c r="F768" s="8" t="s">
        <v>20</v>
      </c>
    </row>
    <row r="769" customFormat="false" ht="15" hidden="false" customHeight="true" outlineLevel="0" collapsed="false">
      <c r="A769" s="32" t="n">
        <v>46188</v>
      </c>
      <c r="B769" s="8" t="s">
        <v>1105</v>
      </c>
      <c r="C769" s="8" t="s">
        <v>256</v>
      </c>
      <c r="D769" s="8" t="s">
        <v>347</v>
      </c>
      <c r="E769" s="9" t="n">
        <v>-504</v>
      </c>
      <c r="F769" s="8" t="s">
        <v>23</v>
      </c>
    </row>
    <row r="770" customFormat="false" ht="15" hidden="false" customHeight="true" outlineLevel="0" collapsed="false">
      <c r="A770" s="32" t="n">
        <v>46188</v>
      </c>
      <c r="B770" s="8" t="s">
        <v>1106</v>
      </c>
      <c r="C770" s="8" t="s">
        <v>259</v>
      </c>
      <c r="D770" s="8" t="s">
        <v>260</v>
      </c>
      <c r="E770" s="9" t="n">
        <v>45.93</v>
      </c>
      <c r="F770" s="8" t="s">
        <v>261</v>
      </c>
    </row>
    <row r="771" customFormat="false" ht="15" hidden="false" customHeight="true" outlineLevel="0" collapsed="false">
      <c r="A771" s="32" t="n">
        <v>46188</v>
      </c>
      <c r="B771" s="8" t="s">
        <v>1107</v>
      </c>
      <c r="C771" s="8" t="s">
        <v>300</v>
      </c>
      <c r="D771" s="8" t="s">
        <v>301</v>
      </c>
      <c r="E771" s="9" t="n">
        <v>-1.2</v>
      </c>
      <c r="F771" s="8" t="s">
        <v>25</v>
      </c>
    </row>
    <row r="772" customFormat="false" ht="15" hidden="false" customHeight="true" outlineLevel="0" collapsed="false">
      <c r="A772" s="32" t="n">
        <v>46188</v>
      </c>
      <c r="B772" s="8" t="s">
        <v>1108</v>
      </c>
      <c r="C772" s="8" t="s">
        <v>253</v>
      </c>
      <c r="D772" s="8" t="s">
        <v>382</v>
      </c>
      <c r="E772" s="9" t="n">
        <v>-1.5</v>
      </c>
      <c r="F772" s="8" t="s">
        <v>20</v>
      </c>
    </row>
    <row r="773" customFormat="false" ht="15" hidden="false" customHeight="true" outlineLevel="0" collapsed="false">
      <c r="A773" s="32" t="n">
        <v>46188</v>
      </c>
      <c r="B773" s="8" t="s">
        <v>1109</v>
      </c>
      <c r="C773" s="8" t="s">
        <v>253</v>
      </c>
      <c r="D773" s="8" t="s">
        <v>395</v>
      </c>
      <c r="E773" s="9" t="n">
        <v>-11.9</v>
      </c>
      <c r="F773" s="8" t="s">
        <v>17</v>
      </c>
    </row>
    <row r="774" customFormat="false" ht="15" hidden="false" customHeight="true" outlineLevel="0" collapsed="false">
      <c r="A774" s="32" t="n">
        <v>46188</v>
      </c>
      <c r="B774" s="8" t="s">
        <v>1110</v>
      </c>
      <c r="C774" s="8" t="s">
        <v>253</v>
      </c>
      <c r="D774" s="8" t="s">
        <v>1111</v>
      </c>
      <c r="E774" s="9" t="n">
        <v>-3</v>
      </c>
      <c r="F774" s="8" t="s">
        <v>31</v>
      </c>
    </row>
    <row r="775" customFormat="false" ht="15" hidden="false" customHeight="true" outlineLevel="0" collapsed="false">
      <c r="A775" s="32" t="n">
        <v>46188</v>
      </c>
      <c r="B775" s="8" t="s">
        <v>1112</v>
      </c>
      <c r="C775" s="8" t="s">
        <v>253</v>
      </c>
      <c r="D775" s="8" t="s">
        <v>290</v>
      </c>
      <c r="E775" s="9" t="n">
        <v>-54.34</v>
      </c>
      <c r="F775" s="8" t="s">
        <v>17</v>
      </c>
    </row>
    <row r="776" customFormat="false" ht="15" hidden="false" customHeight="true" outlineLevel="0" collapsed="false">
      <c r="A776" s="32" t="n">
        <v>46188</v>
      </c>
      <c r="B776" s="8" t="s">
        <v>1113</v>
      </c>
      <c r="C776" s="8" t="s">
        <v>256</v>
      </c>
      <c r="D776" s="8" t="s">
        <v>350</v>
      </c>
      <c r="E776" s="9" t="n">
        <v>-90.99</v>
      </c>
      <c r="F776" s="8" t="s">
        <v>20</v>
      </c>
    </row>
    <row r="777" customFormat="false" ht="15" hidden="false" customHeight="true" outlineLevel="0" collapsed="false">
      <c r="A777" s="32" t="n">
        <v>46188</v>
      </c>
      <c r="B777" s="8" t="s">
        <v>1107</v>
      </c>
      <c r="C777" s="8" t="s">
        <v>266</v>
      </c>
      <c r="D777" s="8" t="s">
        <v>297</v>
      </c>
      <c r="E777" s="9" t="n">
        <v>25158.4</v>
      </c>
      <c r="F777" s="8" t="s">
        <v>261</v>
      </c>
    </row>
    <row r="778" customFormat="false" ht="15" hidden="false" customHeight="true" outlineLevel="0" collapsed="false">
      <c r="A778" s="32" t="n">
        <v>46188</v>
      </c>
      <c r="B778" s="8" t="s">
        <v>1114</v>
      </c>
      <c r="C778" s="8" t="s">
        <v>253</v>
      </c>
      <c r="D778" s="8" t="s">
        <v>1115</v>
      </c>
      <c r="E778" s="9" t="n">
        <v>-170.7</v>
      </c>
      <c r="F778" s="8" t="s">
        <v>19</v>
      </c>
    </row>
    <row r="779" customFormat="false" ht="15" hidden="false" customHeight="true" outlineLevel="0" collapsed="false">
      <c r="A779" s="32" t="n">
        <v>46188</v>
      </c>
      <c r="B779" s="8" t="s">
        <v>1114</v>
      </c>
      <c r="C779" s="8" t="s">
        <v>287</v>
      </c>
      <c r="D779" s="8" t="s">
        <v>1115</v>
      </c>
      <c r="E779" s="9" t="n">
        <v>-4.95</v>
      </c>
      <c r="F779" s="8" t="s">
        <v>25</v>
      </c>
    </row>
    <row r="780" customFormat="false" ht="15" hidden="false" customHeight="true" outlineLevel="0" collapsed="false">
      <c r="A780" s="32" t="n">
        <v>46188</v>
      </c>
      <c r="B780" s="8" t="s">
        <v>1116</v>
      </c>
      <c r="C780" s="8" t="s">
        <v>253</v>
      </c>
      <c r="D780" s="8" t="s">
        <v>382</v>
      </c>
      <c r="E780" s="9" t="n">
        <v>-1.5</v>
      </c>
      <c r="F780" s="8" t="s">
        <v>20</v>
      </c>
    </row>
    <row r="781" customFormat="false" ht="15" hidden="false" customHeight="true" outlineLevel="0" collapsed="false">
      <c r="A781" s="32" t="n">
        <v>46189</v>
      </c>
      <c r="B781" s="8" t="s">
        <v>1117</v>
      </c>
      <c r="C781" s="8" t="s">
        <v>253</v>
      </c>
      <c r="D781" s="8" t="s">
        <v>32</v>
      </c>
      <c r="E781" s="9" t="n">
        <v>-67.18</v>
      </c>
      <c r="F781" s="8" t="s">
        <v>17</v>
      </c>
    </row>
    <row r="782" customFormat="false" ht="15" hidden="false" customHeight="true" outlineLevel="0" collapsed="false">
      <c r="A782" s="32" t="n">
        <v>46189</v>
      </c>
      <c r="B782" s="8" t="s">
        <v>1118</v>
      </c>
      <c r="C782" s="8" t="s">
        <v>253</v>
      </c>
      <c r="D782" s="8" t="s">
        <v>1115</v>
      </c>
      <c r="E782" s="9" t="n">
        <v>-681.17</v>
      </c>
      <c r="F782" s="8" t="s">
        <v>19</v>
      </c>
    </row>
    <row r="783" customFormat="false" ht="15" hidden="false" customHeight="true" outlineLevel="0" collapsed="false">
      <c r="A783" s="32" t="n">
        <v>46189</v>
      </c>
      <c r="B783" s="8" t="s">
        <v>1119</v>
      </c>
      <c r="C783" s="8" t="s">
        <v>344</v>
      </c>
      <c r="D783" s="8" t="s">
        <v>345</v>
      </c>
      <c r="E783" s="9" t="n">
        <v>-49.35</v>
      </c>
      <c r="F783" s="8" t="s">
        <v>25</v>
      </c>
    </row>
    <row r="784" customFormat="false" ht="15" hidden="false" customHeight="true" outlineLevel="0" collapsed="false">
      <c r="A784" s="32" t="n">
        <v>46189</v>
      </c>
      <c r="B784" s="8" t="s">
        <v>1118</v>
      </c>
      <c r="C784" s="8" t="s">
        <v>287</v>
      </c>
      <c r="D784" s="8" t="s">
        <v>1115</v>
      </c>
      <c r="E784" s="9" t="n">
        <v>-19.75</v>
      </c>
      <c r="F784" s="8" t="s">
        <v>25</v>
      </c>
    </row>
    <row r="785" customFormat="false" ht="15" hidden="false" customHeight="true" outlineLevel="0" collapsed="false">
      <c r="A785" s="32" t="n">
        <v>46189</v>
      </c>
      <c r="B785" s="8" t="s">
        <v>1120</v>
      </c>
      <c r="C785" s="8" t="s">
        <v>269</v>
      </c>
      <c r="D785" s="8" t="s">
        <v>451</v>
      </c>
      <c r="E785" s="9" t="n">
        <v>-1200</v>
      </c>
      <c r="F785" s="8" t="s">
        <v>14</v>
      </c>
    </row>
    <row r="786" customFormat="false" ht="15" hidden="false" customHeight="true" outlineLevel="0" collapsed="false">
      <c r="A786" s="32" t="n">
        <v>46189</v>
      </c>
      <c r="B786" s="8" t="s">
        <v>298</v>
      </c>
      <c r="C786" s="8" t="s">
        <v>353</v>
      </c>
      <c r="D786" s="8"/>
      <c r="E786" s="9" t="n">
        <v>-7.69</v>
      </c>
      <c r="F786" s="8" t="s">
        <v>25</v>
      </c>
    </row>
    <row r="787" customFormat="false" ht="15" hidden="false" customHeight="true" outlineLevel="0" collapsed="false">
      <c r="A787" s="32" t="n">
        <v>46189</v>
      </c>
      <c r="B787" s="8" t="s">
        <v>1121</v>
      </c>
      <c r="C787" s="8" t="s">
        <v>256</v>
      </c>
      <c r="D787" s="8" t="s">
        <v>364</v>
      </c>
      <c r="E787" s="9" t="n">
        <v>-3212</v>
      </c>
      <c r="F787" s="8" t="s">
        <v>15</v>
      </c>
    </row>
    <row r="788" customFormat="false" ht="15" hidden="false" customHeight="true" outlineLevel="0" collapsed="false">
      <c r="A788" s="32" t="n">
        <v>46190</v>
      </c>
      <c r="B788" s="8" t="s">
        <v>1122</v>
      </c>
      <c r="C788" s="8" t="s">
        <v>269</v>
      </c>
      <c r="D788" s="8" t="s">
        <v>315</v>
      </c>
      <c r="E788" s="9" t="n">
        <v>-9483.31</v>
      </c>
      <c r="F788" s="8" t="s">
        <v>11</v>
      </c>
    </row>
    <row r="789" customFormat="false" ht="15" hidden="false" customHeight="true" outlineLevel="0" collapsed="false">
      <c r="A789" s="32" t="n">
        <v>46190</v>
      </c>
      <c r="B789" s="8" t="s">
        <v>1123</v>
      </c>
      <c r="C789" s="8" t="s">
        <v>256</v>
      </c>
      <c r="D789" s="8" t="s">
        <v>955</v>
      </c>
      <c r="E789" s="9" t="n">
        <v>-107.1</v>
      </c>
      <c r="F789" s="8" t="s">
        <v>17</v>
      </c>
    </row>
    <row r="790" customFormat="false" ht="15" hidden="false" customHeight="true" outlineLevel="0" collapsed="false">
      <c r="A790" s="32" t="n">
        <v>46190</v>
      </c>
      <c r="B790" s="8" t="s">
        <v>956</v>
      </c>
      <c r="C790" s="8" t="s">
        <v>1124</v>
      </c>
      <c r="D790" s="8" t="s">
        <v>1125</v>
      </c>
      <c r="E790" s="9" t="n">
        <v>-1875</v>
      </c>
      <c r="F790" s="8" t="s">
        <v>28</v>
      </c>
    </row>
    <row r="791" customFormat="false" ht="15" hidden="false" customHeight="true" outlineLevel="0" collapsed="false">
      <c r="A791" s="32" t="n">
        <v>46190</v>
      </c>
      <c r="B791" s="8" t="s">
        <v>1126</v>
      </c>
      <c r="C791" s="8" t="s">
        <v>253</v>
      </c>
      <c r="D791" s="8" t="s">
        <v>282</v>
      </c>
      <c r="E791" s="9" t="n">
        <v>-60.8</v>
      </c>
      <c r="F791" s="8" t="s">
        <v>13</v>
      </c>
    </row>
    <row r="792" customFormat="false" ht="15" hidden="false" customHeight="true" outlineLevel="0" collapsed="false">
      <c r="A792" s="32" t="n">
        <v>46190</v>
      </c>
      <c r="B792" s="8" t="s">
        <v>268</v>
      </c>
      <c r="C792" s="8" t="s">
        <v>269</v>
      </c>
      <c r="D792" s="8" t="s">
        <v>393</v>
      </c>
      <c r="E792" s="9" t="n">
        <v>-10000</v>
      </c>
      <c r="F792" s="8" t="s">
        <v>10</v>
      </c>
    </row>
    <row r="793" customFormat="false" ht="15" hidden="false" customHeight="true" outlineLevel="0" collapsed="false">
      <c r="A793" s="32" t="n">
        <v>46191</v>
      </c>
      <c r="B793" s="8" t="s">
        <v>1127</v>
      </c>
      <c r="C793" s="8" t="s">
        <v>253</v>
      </c>
      <c r="D793" s="8" t="s">
        <v>282</v>
      </c>
      <c r="E793" s="9" t="n">
        <v>-57.77</v>
      </c>
      <c r="F793" s="8" t="s">
        <v>13</v>
      </c>
    </row>
    <row r="794" customFormat="false" ht="15" hidden="false" customHeight="true" outlineLevel="0" collapsed="false">
      <c r="A794" s="32" t="n">
        <v>46191</v>
      </c>
      <c r="B794" s="8" t="s">
        <v>1128</v>
      </c>
      <c r="C794" s="8" t="s">
        <v>259</v>
      </c>
      <c r="D794" s="8" t="s">
        <v>260</v>
      </c>
      <c r="E794" s="9" t="n">
        <v>45.11</v>
      </c>
      <c r="F794" s="8" t="s">
        <v>261</v>
      </c>
    </row>
    <row r="795" customFormat="false" ht="15" hidden="false" customHeight="true" outlineLevel="0" collapsed="false">
      <c r="A795" s="32" t="n">
        <v>46192</v>
      </c>
      <c r="B795" s="8" t="s">
        <v>1129</v>
      </c>
      <c r="C795" s="8" t="s">
        <v>259</v>
      </c>
      <c r="D795" s="8" t="s">
        <v>260</v>
      </c>
      <c r="E795" s="9" t="n">
        <v>52.48</v>
      </c>
      <c r="F795" s="8" t="s">
        <v>261</v>
      </c>
    </row>
    <row r="796" customFormat="false" ht="15" hidden="false" customHeight="true" outlineLevel="0" collapsed="false">
      <c r="A796" s="32" t="n">
        <v>46195</v>
      </c>
      <c r="B796" s="8" t="s">
        <v>1130</v>
      </c>
      <c r="C796" s="8" t="s">
        <v>253</v>
      </c>
      <c r="D796" s="8" t="s">
        <v>290</v>
      </c>
      <c r="E796" s="9" t="n">
        <v>-57.09</v>
      </c>
      <c r="F796" s="8" t="s">
        <v>17</v>
      </c>
    </row>
    <row r="797" customFormat="false" ht="15" hidden="false" customHeight="true" outlineLevel="0" collapsed="false">
      <c r="A797" s="32" t="n">
        <v>46195</v>
      </c>
      <c r="B797" s="8" t="s">
        <v>1131</v>
      </c>
      <c r="C797" s="8" t="s">
        <v>287</v>
      </c>
      <c r="D797" s="8" t="s">
        <v>1115</v>
      </c>
      <c r="E797" s="9" t="n">
        <v>-27.71</v>
      </c>
      <c r="F797" s="8" t="s">
        <v>25</v>
      </c>
    </row>
    <row r="798" customFormat="false" ht="15" hidden="false" customHeight="true" outlineLevel="0" collapsed="false">
      <c r="A798" s="32" t="n">
        <v>46195</v>
      </c>
      <c r="B798" s="8" t="s">
        <v>1131</v>
      </c>
      <c r="C798" s="8" t="s">
        <v>253</v>
      </c>
      <c r="D798" s="8" t="s">
        <v>1115</v>
      </c>
      <c r="E798" s="9" t="n">
        <v>-955.73</v>
      </c>
      <c r="F798" s="8" t="s">
        <v>19</v>
      </c>
    </row>
    <row r="799" customFormat="false" ht="15" hidden="false" customHeight="true" outlineLevel="0" collapsed="false">
      <c r="A799" s="32" t="n">
        <v>46195</v>
      </c>
      <c r="B799" s="8" t="s">
        <v>1132</v>
      </c>
      <c r="C799" s="8" t="s">
        <v>253</v>
      </c>
      <c r="D799" s="8" t="s">
        <v>1133</v>
      </c>
      <c r="E799" s="9" t="n">
        <v>-80.73</v>
      </c>
      <c r="F799" s="8" t="s">
        <v>20</v>
      </c>
    </row>
    <row r="800" customFormat="false" ht="15" hidden="false" customHeight="true" outlineLevel="0" collapsed="false">
      <c r="A800" s="32" t="n">
        <v>46195</v>
      </c>
      <c r="B800" s="8" t="s">
        <v>1134</v>
      </c>
      <c r="C800" s="8" t="s">
        <v>253</v>
      </c>
      <c r="D800" s="8" t="s">
        <v>282</v>
      </c>
      <c r="E800" s="9" t="n">
        <v>-7.59</v>
      </c>
      <c r="F800" s="8" t="s">
        <v>13</v>
      </c>
    </row>
    <row r="801" customFormat="false" ht="15" hidden="false" customHeight="true" outlineLevel="0" collapsed="false">
      <c r="A801" s="32" t="n">
        <v>46195</v>
      </c>
      <c r="B801" s="8" t="s">
        <v>1135</v>
      </c>
      <c r="C801" s="8" t="s">
        <v>253</v>
      </c>
      <c r="D801" s="8" t="s">
        <v>1136</v>
      </c>
      <c r="E801" s="9" t="n">
        <v>-63.67</v>
      </c>
      <c r="F801" s="8" t="s">
        <v>18</v>
      </c>
    </row>
    <row r="802" customFormat="false" ht="15" hidden="false" customHeight="true" outlineLevel="0" collapsed="false">
      <c r="A802" s="32" t="n">
        <v>46196</v>
      </c>
      <c r="B802" s="8" t="s">
        <v>1137</v>
      </c>
      <c r="C802" s="8" t="s">
        <v>256</v>
      </c>
      <c r="D802" s="8" t="s">
        <v>364</v>
      </c>
      <c r="E802" s="9" t="n">
        <v>-166</v>
      </c>
      <c r="F802" s="8" t="s">
        <v>15</v>
      </c>
    </row>
    <row r="803" customFormat="false" ht="15" hidden="false" customHeight="true" outlineLevel="0" collapsed="false">
      <c r="A803" s="32" t="n">
        <v>46196</v>
      </c>
      <c r="B803" s="8" t="s">
        <v>1138</v>
      </c>
      <c r="C803" s="8" t="s">
        <v>259</v>
      </c>
      <c r="D803" s="8" t="s">
        <v>260</v>
      </c>
      <c r="E803" s="9" t="n">
        <v>26.24</v>
      </c>
      <c r="F803" s="8" t="s">
        <v>261</v>
      </c>
    </row>
    <row r="804" customFormat="false" ht="15" hidden="false" customHeight="true" outlineLevel="0" collapsed="false">
      <c r="A804" s="32" t="n">
        <v>46196</v>
      </c>
      <c r="B804" s="8" t="s">
        <v>1139</v>
      </c>
      <c r="C804" s="8" t="s">
        <v>402</v>
      </c>
      <c r="D804" s="8" t="s">
        <v>403</v>
      </c>
      <c r="E804" s="9" t="n">
        <v>-236</v>
      </c>
      <c r="F804" s="8" t="s">
        <v>15</v>
      </c>
    </row>
    <row r="805" customFormat="false" ht="15" hidden="false" customHeight="true" outlineLevel="0" collapsed="false">
      <c r="A805" s="32" t="n">
        <v>46197</v>
      </c>
      <c r="B805" s="8" t="s">
        <v>1140</v>
      </c>
      <c r="C805" s="8" t="s">
        <v>253</v>
      </c>
      <c r="D805" s="8" t="s">
        <v>32</v>
      </c>
      <c r="E805" s="9" t="n">
        <v>-45.45</v>
      </c>
      <c r="F805" s="8" t="s">
        <v>17</v>
      </c>
    </row>
    <row r="806" customFormat="false" ht="15" hidden="false" customHeight="true" outlineLevel="0" collapsed="false">
      <c r="A806" s="32" t="n">
        <v>46197</v>
      </c>
      <c r="B806" s="8" t="s">
        <v>1141</v>
      </c>
      <c r="C806" s="8" t="s">
        <v>529</v>
      </c>
      <c r="D806" s="8" t="s">
        <v>530</v>
      </c>
      <c r="E806" s="9" t="n">
        <v>-14.64</v>
      </c>
      <c r="F806" s="8" t="s">
        <v>25</v>
      </c>
    </row>
    <row r="807" customFormat="false" ht="15" hidden="false" customHeight="true" outlineLevel="0" collapsed="false">
      <c r="A807" s="32" t="n">
        <v>46197</v>
      </c>
      <c r="B807" s="8" t="s">
        <v>1141</v>
      </c>
      <c r="C807" s="8" t="s">
        <v>300</v>
      </c>
      <c r="D807" s="8" t="s">
        <v>301</v>
      </c>
      <c r="E807" s="9" t="n">
        <v>-1.2</v>
      </c>
      <c r="F807" s="8" t="s">
        <v>25</v>
      </c>
    </row>
    <row r="808" customFormat="false" ht="15" hidden="false" customHeight="true" outlineLevel="0" collapsed="false">
      <c r="A808" s="32" t="n">
        <v>46197</v>
      </c>
      <c r="B808" s="8" t="s">
        <v>1141</v>
      </c>
      <c r="C808" s="8" t="s">
        <v>266</v>
      </c>
      <c r="D808" s="8" t="s">
        <v>974</v>
      </c>
      <c r="E808" s="9" t="n">
        <v>49675</v>
      </c>
      <c r="F808" s="8" t="s">
        <v>261</v>
      </c>
    </row>
    <row r="809" customFormat="false" ht="15" hidden="false" customHeight="true" outlineLevel="0" collapsed="false">
      <c r="A809" s="32" t="n">
        <v>46198</v>
      </c>
      <c r="B809" s="8" t="s">
        <v>1142</v>
      </c>
      <c r="C809" s="8" t="s">
        <v>256</v>
      </c>
      <c r="D809" s="8" t="s">
        <v>428</v>
      </c>
      <c r="E809" s="9" t="n">
        <v>-619.86</v>
      </c>
      <c r="F809" s="8" t="s">
        <v>15</v>
      </c>
    </row>
    <row r="810" customFormat="false" ht="15" hidden="false" customHeight="true" outlineLevel="0" collapsed="false">
      <c r="A810" s="32" t="n">
        <v>46198</v>
      </c>
      <c r="B810" s="8" t="s">
        <v>1143</v>
      </c>
      <c r="C810" s="8" t="s">
        <v>266</v>
      </c>
      <c r="D810" s="8" t="s">
        <v>295</v>
      </c>
      <c r="E810" s="9" t="n">
        <v>64800</v>
      </c>
      <c r="F810" s="8" t="s">
        <v>261</v>
      </c>
    </row>
    <row r="811" customFormat="false" ht="15" hidden="false" customHeight="true" outlineLevel="0" collapsed="false">
      <c r="A811" s="32" t="n">
        <v>46198</v>
      </c>
      <c r="B811" s="8" t="s">
        <v>1144</v>
      </c>
      <c r="C811" s="8" t="s">
        <v>253</v>
      </c>
      <c r="D811" s="8" t="s">
        <v>406</v>
      </c>
      <c r="E811" s="9" t="n">
        <v>-61.83</v>
      </c>
      <c r="F811" s="8" t="s">
        <v>17</v>
      </c>
    </row>
    <row r="812" customFormat="false" ht="15" hidden="false" customHeight="true" outlineLevel="0" collapsed="false">
      <c r="A812" s="32" t="n">
        <v>46198</v>
      </c>
      <c r="B812" s="8" t="s">
        <v>1145</v>
      </c>
      <c r="C812" s="8" t="s">
        <v>266</v>
      </c>
      <c r="D812" s="8" t="s">
        <v>295</v>
      </c>
      <c r="E812" s="9" t="n">
        <v>10000</v>
      </c>
      <c r="F812" s="8" t="s">
        <v>261</v>
      </c>
    </row>
    <row r="813" customFormat="false" ht="15" hidden="false" customHeight="true" outlineLevel="0" collapsed="false">
      <c r="A813" s="32" t="n">
        <v>46198</v>
      </c>
      <c r="B813" s="8" t="s">
        <v>1146</v>
      </c>
      <c r="C813" s="8" t="s">
        <v>259</v>
      </c>
      <c r="D813" s="8" t="s">
        <v>260</v>
      </c>
      <c r="E813" s="9" t="n">
        <v>26.24</v>
      </c>
      <c r="F813" s="8" t="s">
        <v>261</v>
      </c>
    </row>
    <row r="814" customFormat="false" ht="15" hidden="false" customHeight="true" outlineLevel="0" collapsed="false">
      <c r="A814" s="32" t="n">
        <v>46198</v>
      </c>
      <c r="B814" s="8" t="s">
        <v>1145</v>
      </c>
      <c r="C814" s="8" t="s">
        <v>300</v>
      </c>
      <c r="D814" s="8" t="s">
        <v>301</v>
      </c>
      <c r="E814" s="9" t="n">
        <v>-1.2</v>
      </c>
      <c r="F814" s="8" t="s">
        <v>25</v>
      </c>
    </row>
    <row r="815" customFormat="false" ht="15" hidden="false" customHeight="true" outlineLevel="0" collapsed="false">
      <c r="A815" s="32" t="n">
        <v>46198</v>
      </c>
      <c r="B815" s="8" t="s">
        <v>1147</v>
      </c>
      <c r="C815" s="8" t="s">
        <v>253</v>
      </c>
      <c r="D815" s="8" t="s">
        <v>378</v>
      </c>
      <c r="E815" s="9" t="n">
        <v>-79.06</v>
      </c>
      <c r="F815" s="8" t="s">
        <v>29</v>
      </c>
    </row>
    <row r="816" customFormat="false" ht="15" hidden="false" customHeight="true" outlineLevel="0" collapsed="false">
      <c r="A816" s="32" t="n">
        <v>46198</v>
      </c>
      <c r="B816" s="8" t="s">
        <v>1148</v>
      </c>
      <c r="C816" s="8" t="s">
        <v>253</v>
      </c>
      <c r="D816" s="8" t="s">
        <v>282</v>
      </c>
      <c r="E816" s="9" t="n">
        <v>-14.99</v>
      </c>
      <c r="F816" s="8" t="s">
        <v>13</v>
      </c>
    </row>
    <row r="817" customFormat="false" ht="15" hidden="false" customHeight="true" outlineLevel="0" collapsed="false">
      <c r="A817" s="32" t="n">
        <v>46198</v>
      </c>
      <c r="B817" s="8" t="s">
        <v>1149</v>
      </c>
      <c r="C817" s="8" t="s">
        <v>253</v>
      </c>
      <c r="D817" s="8" t="s">
        <v>32</v>
      </c>
      <c r="E817" s="9" t="n">
        <v>-11.9</v>
      </c>
      <c r="F817" s="8" t="s">
        <v>17</v>
      </c>
    </row>
    <row r="818" customFormat="false" ht="15" hidden="false" customHeight="true" outlineLevel="0" collapsed="false">
      <c r="A818" s="32" t="n">
        <v>46198</v>
      </c>
      <c r="B818" s="8" t="s">
        <v>1150</v>
      </c>
      <c r="C818" s="8" t="s">
        <v>269</v>
      </c>
      <c r="D818" s="8" t="s">
        <v>317</v>
      </c>
      <c r="E818" s="9" t="n">
        <v>-53363</v>
      </c>
      <c r="F818" s="8" t="s">
        <v>10</v>
      </c>
    </row>
    <row r="819" customFormat="false" ht="15" hidden="false" customHeight="true" outlineLevel="0" collapsed="false">
      <c r="A819" s="32" t="n">
        <v>46198</v>
      </c>
      <c r="B819" s="8" t="s">
        <v>1151</v>
      </c>
      <c r="C819" s="8" t="s">
        <v>256</v>
      </c>
      <c r="D819" s="8" t="s">
        <v>350</v>
      </c>
      <c r="E819" s="9" t="n">
        <v>-442.75</v>
      </c>
      <c r="F819" s="8" t="s">
        <v>20</v>
      </c>
    </row>
    <row r="820" customFormat="false" ht="15" hidden="false" customHeight="true" outlineLevel="0" collapsed="false">
      <c r="A820" s="32" t="n">
        <v>46198</v>
      </c>
      <c r="B820" s="8" t="s">
        <v>1143</v>
      </c>
      <c r="C820" s="8" t="s">
        <v>300</v>
      </c>
      <c r="D820" s="8" t="s">
        <v>301</v>
      </c>
      <c r="E820" s="9" t="n">
        <v>-1.2</v>
      </c>
      <c r="F820" s="8" t="s">
        <v>25</v>
      </c>
    </row>
    <row r="821" customFormat="false" ht="15" hidden="false" customHeight="true" outlineLevel="0" collapsed="false">
      <c r="A821" s="32" t="n">
        <v>46199</v>
      </c>
      <c r="B821" s="8" t="s">
        <v>1152</v>
      </c>
      <c r="C821" s="8" t="s">
        <v>269</v>
      </c>
      <c r="D821" s="8" t="s">
        <v>877</v>
      </c>
      <c r="E821" s="9" t="n">
        <v>-2651.61</v>
      </c>
      <c r="F821" s="8" t="s">
        <v>10</v>
      </c>
    </row>
    <row r="822" customFormat="false" ht="15" hidden="false" customHeight="true" outlineLevel="0" collapsed="false">
      <c r="A822" s="32" t="n">
        <v>46199</v>
      </c>
      <c r="B822" s="8" t="s">
        <v>1153</v>
      </c>
      <c r="C822" s="8" t="s">
        <v>269</v>
      </c>
      <c r="D822" s="8" t="s">
        <v>1154</v>
      </c>
      <c r="E822" s="9" t="n">
        <v>-1738.5</v>
      </c>
      <c r="F822" s="8" t="s">
        <v>10</v>
      </c>
    </row>
    <row r="823" customFormat="false" ht="15" hidden="false" customHeight="true" outlineLevel="0" collapsed="false">
      <c r="A823" s="32" t="n">
        <v>46199</v>
      </c>
      <c r="B823" s="8" t="s">
        <v>1155</v>
      </c>
      <c r="C823" s="8" t="s">
        <v>253</v>
      </c>
      <c r="D823" s="8" t="s">
        <v>639</v>
      </c>
      <c r="E823" s="9" t="n">
        <v>-640.95</v>
      </c>
      <c r="F823" s="8" t="s">
        <v>19</v>
      </c>
    </row>
    <row r="824" customFormat="false" ht="15" hidden="false" customHeight="true" outlineLevel="0" collapsed="false">
      <c r="A824" s="32" t="n">
        <v>46199</v>
      </c>
      <c r="B824" s="8" t="s">
        <v>1156</v>
      </c>
      <c r="C824" s="8" t="s">
        <v>269</v>
      </c>
      <c r="D824" s="8" t="s">
        <v>315</v>
      </c>
      <c r="E824" s="9" t="n">
        <v>-41340.73</v>
      </c>
      <c r="F824" s="8" t="s">
        <v>11</v>
      </c>
    </row>
    <row r="825" customFormat="false" ht="15" hidden="false" customHeight="true" outlineLevel="0" collapsed="false">
      <c r="A825" s="32" t="n">
        <v>46199</v>
      </c>
      <c r="B825" s="8" t="s">
        <v>1157</v>
      </c>
      <c r="C825" s="8" t="s">
        <v>269</v>
      </c>
      <c r="D825" s="8" t="s">
        <v>995</v>
      </c>
      <c r="E825" s="9" t="n">
        <v>-1387.53</v>
      </c>
      <c r="F825" s="8" t="s">
        <v>14</v>
      </c>
    </row>
    <row r="826" customFormat="false" ht="15" hidden="false" customHeight="true" outlineLevel="0" collapsed="false">
      <c r="A826" s="32" t="n">
        <v>46199</v>
      </c>
      <c r="B826" s="8" t="s">
        <v>1158</v>
      </c>
      <c r="C826" s="8" t="s">
        <v>269</v>
      </c>
      <c r="D826" s="8" t="s">
        <v>393</v>
      </c>
      <c r="E826" s="9" t="n">
        <v>-4860</v>
      </c>
      <c r="F826" s="8" t="s">
        <v>10</v>
      </c>
    </row>
    <row r="827" customFormat="false" ht="15" hidden="false" customHeight="true" outlineLevel="0" collapsed="false">
      <c r="A827" s="32" t="n">
        <v>46199</v>
      </c>
      <c r="B827" s="8" t="s">
        <v>1159</v>
      </c>
      <c r="C827" s="8" t="s">
        <v>253</v>
      </c>
      <c r="D827" s="8" t="s">
        <v>276</v>
      </c>
      <c r="E827" s="9" t="n">
        <v>-43</v>
      </c>
      <c r="F827" s="8" t="s">
        <v>18</v>
      </c>
    </row>
    <row r="828" customFormat="false" ht="15" hidden="false" customHeight="true" outlineLevel="0" collapsed="false">
      <c r="A828" s="32" t="n">
        <v>46199</v>
      </c>
      <c r="B828" s="8" t="s">
        <v>1160</v>
      </c>
      <c r="C828" s="8" t="s">
        <v>269</v>
      </c>
      <c r="D828" s="8" t="s">
        <v>456</v>
      </c>
      <c r="E828" s="9" t="n">
        <v>-2465.38</v>
      </c>
      <c r="F828" s="8" t="s">
        <v>14</v>
      </c>
    </row>
    <row r="829" customFormat="false" ht="15" hidden="false" customHeight="true" outlineLevel="0" collapsed="false">
      <c r="A829" s="32" t="n">
        <v>46199</v>
      </c>
      <c r="B829" s="8" t="s">
        <v>1161</v>
      </c>
      <c r="C829" s="8" t="s">
        <v>269</v>
      </c>
      <c r="D829" s="8" t="s">
        <v>1162</v>
      </c>
      <c r="E829" s="9" t="n">
        <v>-6837.75</v>
      </c>
      <c r="F829" s="8" t="s">
        <v>10</v>
      </c>
    </row>
    <row r="830" customFormat="false" ht="15" hidden="false" customHeight="true" outlineLevel="0" collapsed="false">
      <c r="A830" s="32" t="n">
        <v>46199</v>
      </c>
      <c r="B830" s="8" t="s">
        <v>1163</v>
      </c>
      <c r="C830" s="8" t="s">
        <v>269</v>
      </c>
      <c r="D830" s="8" t="s">
        <v>323</v>
      </c>
      <c r="E830" s="9" t="n">
        <v>-10798.46</v>
      </c>
      <c r="F830" s="8" t="s">
        <v>13</v>
      </c>
    </row>
    <row r="831" customFormat="false" ht="15" hidden="false" customHeight="true" outlineLevel="0" collapsed="false">
      <c r="A831" s="32" t="n">
        <v>46199</v>
      </c>
      <c r="B831" s="8" t="s">
        <v>1164</v>
      </c>
      <c r="C831" s="8" t="s">
        <v>269</v>
      </c>
      <c r="D831" s="8" t="s">
        <v>1165</v>
      </c>
      <c r="E831" s="9" t="n">
        <v>-281.6</v>
      </c>
      <c r="F831" s="8" t="s">
        <v>18</v>
      </c>
    </row>
    <row r="832" customFormat="false" ht="15" hidden="false" customHeight="true" outlineLevel="0" collapsed="false">
      <c r="A832" s="32" t="n">
        <v>46199</v>
      </c>
      <c r="B832" s="8" t="s">
        <v>1166</v>
      </c>
      <c r="C832" s="8" t="s">
        <v>269</v>
      </c>
      <c r="D832" s="8" t="s">
        <v>449</v>
      </c>
      <c r="E832" s="9" t="n">
        <v>-975.89</v>
      </c>
      <c r="F832" s="8" t="s">
        <v>14</v>
      </c>
    </row>
    <row r="833" customFormat="false" ht="15" hidden="false" customHeight="true" outlineLevel="0" collapsed="false">
      <c r="A833" s="32" t="n">
        <v>46199</v>
      </c>
      <c r="B833" s="8" t="s">
        <v>1167</v>
      </c>
      <c r="C833" s="8" t="s">
        <v>269</v>
      </c>
      <c r="D833" s="8" t="s">
        <v>451</v>
      </c>
      <c r="E833" s="9" t="n">
        <v>-332.23</v>
      </c>
      <c r="F833" s="8" t="s">
        <v>14</v>
      </c>
    </row>
    <row r="834" customFormat="false" ht="15" hidden="false" customHeight="true" outlineLevel="0" collapsed="false">
      <c r="A834" s="32" t="n">
        <v>46202</v>
      </c>
      <c r="B834" s="8" t="s">
        <v>1168</v>
      </c>
      <c r="C834" s="8" t="s">
        <v>253</v>
      </c>
      <c r="D834" s="8" t="s">
        <v>517</v>
      </c>
      <c r="E834" s="9" t="n">
        <v>-11.99</v>
      </c>
      <c r="F834" s="8" t="s">
        <v>24</v>
      </c>
    </row>
    <row r="835" customFormat="false" ht="15" hidden="false" customHeight="true" outlineLevel="0" collapsed="false">
      <c r="A835" s="32" t="n">
        <v>46202</v>
      </c>
      <c r="B835" s="8" t="s">
        <v>1169</v>
      </c>
      <c r="C835" s="8" t="s">
        <v>253</v>
      </c>
      <c r="D835" s="8" t="s">
        <v>444</v>
      </c>
      <c r="E835" s="9" t="n">
        <v>-65.54</v>
      </c>
      <c r="F835" s="8" t="s">
        <v>20</v>
      </c>
    </row>
    <row r="836" customFormat="false" ht="15" hidden="false" customHeight="true" outlineLevel="0" collapsed="false">
      <c r="A836" s="32" t="n">
        <v>46202</v>
      </c>
      <c r="B836" s="8" t="s">
        <v>1170</v>
      </c>
      <c r="C836" s="8" t="s">
        <v>253</v>
      </c>
      <c r="D836" s="8" t="s">
        <v>32</v>
      </c>
      <c r="E836" s="9" t="n">
        <v>-41.63</v>
      </c>
      <c r="F836" s="8" t="s">
        <v>17</v>
      </c>
    </row>
    <row r="837" customFormat="false" ht="15" hidden="false" customHeight="true" outlineLevel="0" collapsed="false">
      <c r="A837" s="32" t="n">
        <v>46202</v>
      </c>
      <c r="B837" s="8" t="s">
        <v>1171</v>
      </c>
      <c r="C837" s="8" t="s">
        <v>253</v>
      </c>
      <c r="D837" s="8" t="s">
        <v>434</v>
      </c>
      <c r="E837" s="9" t="n">
        <v>-13</v>
      </c>
      <c r="F837" s="8" t="s">
        <v>20</v>
      </c>
    </row>
    <row r="838" customFormat="false" ht="15" hidden="false" customHeight="true" outlineLevel="0" collapsed="false">
      <c r="A838" s="32" t="n">
        <v>46202</v>
      </c>
      <c r="B838" s="8" t="s">
        <v>1172</v>
      </c>
      <c r="C838" s="8" t="s">
        <v>253</v>
      </c>
      <c r="D838" s="8" t="s">
        <v>32</v>
      </c>
      <c r="E838" s="9" t="n">
        <v>-72.69</v>
      </c>
      <c r="F838" s="8" t="s">
        <v>17</v>
      </c>
    </row>
    <row r="839" customFormat="false" ht="15" hidden="false" customHeight="true" outlineLevel="0" collapsed="false">
      <c r="A839" s="32" t="n">
        <v>46202</v>
      </c>
      <c r="B839" s="8" t="s">
        <v>1173</v>
      </c>
      <c r="C839" s="8" t="s">
        <v>256</v>
      </c>
      <c r="D839" s="8" t="s">
        <v>432</v>
      </c>
      <c r="E839" s="9" t="n">
        <v>-15.95</v>
      </c>
      <c r="F839" s="8" t="s">
        <v>17</v>
      </c>
    </row>
    <row r="840" customFormat="false" ht="15" hidden="false" customHeight="true" outlineLevel="0" collapsed="false">
      <c r="A840" s="32" t="n">
        <v>46203</v>
      </c>
      <c r="B840" s="8" t="s">
        <v>1174</v>
      </c>
      <c r="C840" s="8" t="s">
        <v>287</v>
      </c>
      <c r="D840" s="8" t="s">
        <v>857</v>
      </c>
      <c r="E840" s="9" t="n">
        <v>-0.62</v>
      </c>
      <c r="F840" s="8" t="s">
        <v>25</v>
      </c>
    </row>
    <row r="841" customFormat="false" ht="15" hidden="false" customHeight="true" outlineLevel="0" collapsed="false">
      <c r="A841" s="32" t="n">
        <v>46203</v>
      </c>
      <c r="B841" s="8" t="s">
        <v>1174</v>
      </c>
      <c r="C841" s="8" t="s">
        <v>253</v>
      </c>
      <c r="D841" s="8" t="s">
        <v>857</v>
      </c>
      <c r="E841" s="9" t="n">
        <v>-21.6</v>
      </c>
      <c r="F841" s="8" t="s">
        <v>20</v>
      </c>
    </row>
    <row r="842" customFormat="false" ht="15" hidden="false" customHeight="true" outlineLevel="0" collapsed="false">
      <c r="A842" s="32" t="n">
        <v>46203</v>
      </c>
      <c r="B842" s="8" t="s">
        <v>298</v>
      </c>
      <c r="C842" s="8" t="s">
        <v>656</v>
      </c>
      <c r="D842" s="8" t="s">
        <v>657</v>
      </c>
      <c r="E842" s="9" t="n">
        <v>-74.4</v>
      </c>
      <c r="F842" s="8" t="s">
        <v>25</v>
      </c>
    </row>
    <row r="843" customFormat="false" ht="15" hidden="false" customHeight="true" outlineLevel="0" collapsed="false">
      <c r="A843" s="32" t="n">
        <v>46203</v>
      </c>
      <c r="B843" s="8" t="s">
        <v>1175</v>
      </c>
      <c r="C843" s="8" t="s">
        <v>256</v>
      </c>
      <c r="D843" s="8" t="s">
        <v>547</v>
      </c>
      <c r="E843" s="9" t="n">
        <v>-231.49</v>
      </c>
      <c r="F843" s="8" t="s">
        <v>13</v>
      </c>
    </row>
    <row r="844" customFormat="false" ht="15" hidden="false" customHeight="true" outlineLevel="0" collapsed="false">
      <c r="A844" s="32" t="n">
        <v>46204</v>
      </c>
      <c r="B844" s="8" t="s">
        <v>1176</v>
      </c>
      <c r="C844" s="8" t="s">
        <v>253</v>
      </c>
      <c r="D844" s="8" t="s">
        <v>32</v>
      </c>
      <c r="E844" s="9" t="n">
        <v>-4.89</v>
      </c>
      <c r="F844" s="8" t="s">
        <v>17</v>
      </c>
    </row>
    <row r="845" customFormat="false" ht="15" hidden="false" customHeight="true" outlineLevel="0" collapsed="false">
      <c r="A845" s="32" t="n">
        <v>46204</v>
      </c>
      <c r="B845" s="8" t="s">
        <v>1177</v>
      </c>
      <c r="C845" s="8" t="s">
        <v>300</v>
      </c>
      <c r="D845" s="8" t="s">
        <v>301</v>
      </c>
      <c r="E845" s="9" t="n">
        <v>-1.2</v>
      </c>
      <c r="F845" s="8" t="s">
        <v>25</v>
      </c>
    </row>
    <row r="846" customFormat="false" ht="15" hidden="false" customHeight="true" outlineLevel="0" collapsed="false">
      <c r="A846" s="32" t="n">
        <v>46204</v>
      </c>
      <c r="B846" s="8" t="s">
        <v>1178</v>
      </c>
      <c r="C846" s="8" t="s">
        <v>256</v>
      </c>
      <c r="D846" s="8" t="s">
        <v>257</v>
      </c>
      <c r="E846" s="9" t="n">
        <v>-872.67</v>
      </c>
      <c r="F846" s="8" t="s">
        <v>17</v>
      </c>
    </row>
    <row r="847" customFormat="false" ht="15" hidden="false" customHeight="true" outlineLevel="0" collapsed="false">
      <c r="A847" s="32" t="n">
        <v>46204</v>
      </c>
      <c r="B847" s="8" t="s">
        <v>1179</v>
      </c>
      <c r="C847" s="8" t="s">
        <v>253</v>
      </c>
      <c r="D847" s="8" t="s">
        <v>517</v>
      </c>
      <c r="E847" s="9" t="n">
        <v>-1.99</v>
      </c>
      <c r="F847" s="8" t="s">
        <v>24</v>
      </c>
    </row>
    <row r="848" customFormat="false" ht="15" hidden="false" customHeight="true" outlineLevel="0" collapsed="false">
      <c r="A848" s="32" t="n">
        <v>46204</v>
      </c>
      <c r="B848" s="8" t="s">
        <v>1180</v>
      </c>
      <c r="C848" s="8" t="s">
        <v>253</v>
      </c>
      <c r="D848" s="8" t="s">
        <v>32</v>
      </c>
      <c r="E848" s="9" t="n">
        <v>-62.51</v>
      </c>
      <c r="F848" s="8" t="s">
        <v>17</v>
      </c>
    </row>
    <row r="849" customFormat="false" ht="15" hidden="false" customHeight="true" outlineLevel="0" collapsed="false">
      <c r="A849" s="32" t="n">
        <v>46204</v>
      </c>
      <c r="B849" s="8" t="s">
        <v>1177</v>
      </c>
      <c r="C849" s="8" t="s">
        <v>266</v>
      </c>
      <c r="D849" s="8" t="s">
        <v>295</v>
      </c>
      <c r="E849" s="9" t="n">
        <v>20000</v>
      </c>
      <c r="F849" s="8" t="s">
        <v>261</v>
      </c>
    </row>
    <row r="850" customFormat="false" ht="15" hidden="false" customHeight="true" outlineLevel="0" collapsed="false">
      <c r="A850" s="32" t="n">
        <v>46204</v>
      </c>
      <c r="B850" s="8" t="s">
        <v>1181</v>
      </c>
      <c r="C850" s="8" t="s">
        <v>280</v>
      </c>
      <c r="D850" s="8" t="s">
        <v>1182</v>
      </c>
      <c r="E850" s="9" t="n">
        <v>-60</v>
      </c>
      <c r="F850" s="8" t="s">
        <v>18</v>
      </c>
    </row>
    <row r="851" customFormat="false" ht="15" hidden="false" customHeight="true" outlineLevel="0" collapsed="false">
      <c r="A851" s="32" t="n">
        <v>46204</v>
      </c>
      <c r="B851" s="8" t="s">
        <v>1183</v>
      </c>
      <c r="C851" s="8" t="s">
        <v>256</v>
      </c>
      <c r="D851" s="8" t="s">
        <v>272</v>
      </c>
      <c r="E851" s="9" t="n">
        <v>-332.68</v>
      </c>
      <c r="F851" s="8" t="s">
        <v>21</v>
      </c>
    </row>
    <row r="852" customFormat="false" ht="15" hidden="false" customHeight="true" outlineLevel="0" collapsed="false">
      <c r="A852" s="32" t="n">
        <v>46205</v>
      </c>
      <c r="B852" s="8" t="s">
        <v>1184</v>
      </c>
      <c r="C852" s="8" t="s">
        <v>259</v>
      </c>
      <c r="D852" s="8" t="s">
        <v>260</v>
      </c>
      <c r="E852" s="9" t="n">
        <v>50.97</v>
      </c>
      <c r="F852" s="8" t="s">
        <v>261</v>
      </c>
    </row>
    <row r="853" customFormat="false" ht="15" hidden="false" customHeight="true" outlineLevel="0" collapsed="false">
      <c r="A853" s="32" t="n">
        <v>46205</v>
      </c>
      <c r="B853" s="8" t="s">
        <v>1185</v>
      </c>
      <c r="C853" s="8" t="s">
        <v>253</v>
      </c>
      <c r="D853" s="8" t="s">
        <v>254</v>
      </c>
      <c r="E853" s="9" t="n">
        <v>-155.52</v>
      </c>
      <c r="F853" s="8" t="s">
        <v>20</v>
      </c>
    </row>
    <row r="854" customFormat="false" ht="15" hidden="false" customHeight="true" outlineLevel="0" collapsed="false">
      <c r="A854" s="32" t="n">
        <v>46205</v>
      </c>
      <c r="B854" s="8" t="s">
        <v>1186</v>
      </c>
      <c r="C854" s="8" t="s">
        <v>253</v>
      </c>
      <c r="D854" s="8" t="s">
        <v>282</v>
      </c>
      <c r="E854" s="9" t="n">
        <v>-35.87</v>
      </c>
      <c r="F854" s="8" t="s">
        <v>13</v>
      </c>
    </row>
    <row r="855" customFormat="false" ht="15" hidden="false" customHeight="true" outlineLevel="0" collapsed="false">
      <c r="A855" s="32" t="n">
        <v>46206</v>
      </c>
      <c r="B855" s="8" t="s">
        <v>1187</v>
      </c>
      <c r="C855" s="8" t="s">
        <v>269</v>
      </c>
      <c r="D855" s="8" t="s">
        <v>270</v>
      </c>
      <c r="E855" s="9" t="n">
        <v>-3000</v>
      </c>
      <c r="F855" s="8" t="s">
        <v>16</v>
      </c>
    </row>
    <row r="856" customFormat="false" ht="15" hidden="false" customHeight="true" outlineLevel="0" collapsed="false">
      <c r="A856" s="32" t="n">
        <v>46206</v>
      </c>
      <c r="B856" s="8" t="s">
        <v>1131</v>
      </c>
      <c r="C856" s="8" t="s">
        <v>287</v>
      </c>
      <c r="D856" s="8" t="s">
        <v>1115</v>
      </c>
      <c r="E856" s="9" t="n">
        <v>-4.73</v>
      </c>
      <c r="F856" s="8" t="s">
        <v>25</v>
      </c>
    </row>
    <row r="857" customFormat="false" ht="15" hidden="false" customHeight="true" outlineLevel="0" collapsed="false">
      <c r="A857" s="32" t="n">
        <v>46206</v>
      </c>
      <c r="B857" s="8" t="s">
        <v>1131</v>
      </c>
      <c r="C857" s="8" t="s">
        <v>366</v>
      </c>
      <c r="D857" s="8" t="s">
        <v>1115</v>
      </c>
      <c r="E857" s="9" t="n">
        <v>163.16</v>
      </c>
      <c r="F857" s="8" t="s">
        <v>19</v>
      </c>
    </row>
    <row r="858" customFormat="false" ht="15" hidden="false" customHeight="true" outlineLevel="0" collapsed="false">
      <c r="A858" s="32" t="n">
        <v>46206</v>
      </c>
      <c r="B858" s="8" t="s">
        <v>1188</v>
      </c>
      <c r="C858" s="8" t="s">
        <v>280</v>
      </c>
      <c r="D858" s="8" t="s">
        <v>270</v>
      </c>
      <c r="E858" s="9" t="n">
        <v>-1000</v>
      </c>
      <c r="F858" s="8" t="s">
        <v>16</v>
      </c>
    </row>
    <row r="859" customFormat="false" ht="15" hidden="false" customHeight="true" outlineLevel="0" collapsed="false">
      <c r="A859" s="32" t="n">
        <v>46206</v>
      </c>
      <c r="B859" s="8" t="s">
        <v>1189</v>
      </c>
      <c r="C859" s="8" t="s">
        <v>259</v>
      </c>
      <c r="D859" s="8" t="s">
        <v>260</v>
      </c>
      <c r="E859" s="9" t="n">
        <v>45.93</v>
      </c>
      <c r="F859" s="8" t="s">
        <v>261</v>
      </c>
    </row>
    <row r="860" customFormat="false" ht="15" hidden="false" customHeight="true" outlineLevel="0" collapsed="false">
      <c r="A860" s="32" t="n">
        <v>46206</v>
      </c>
      <c r="B860" s="8" t="s">
        <v>1190</v>
      </c>
      <c r="C860" s="8" t="s">
        <v>253</v>
      </c>
      <c r="D860" s="8" t="s">
        <v>639</v>
      </c>
      <c r="E860" s="9" t="n">
        <v>-24</v>
      </c>
      <c r="F860" s="8" t="s">
        <v>19</v>
      </c>
    </row>
    <row r="861" customFormat="false" ht="15" hidden="false" customHeight="true" outlineLevel="0" collapsed="false">
      <c r="A861" s="32" t="n">
        <v>46209</v>
      </c>
      <c r="B861" s="8" t="s">
        <v>1191</v>
      </c>
      <c r="C861" s="8" t="s">
        <v>256</v>
      </c>
      <c r="D861" s="8" t="s">
        <v>698</v>
      </c>
      <c r="E861" s="9" t="n">
        <v>-83.33</v>
      </c>
      <c r="F861" s="8" t="s">
        <v>26</v>
      </c>
    </row>
    <row r="862" customFormat="false" ht="15" hidden="false" customHeight="true" outlineLevel="0" collapsed="false">
      <c r="A862" s="32" t="n">
        <v>46209</v>
      </c>
      <c r="B862" s="8" t="s">
        <v>1192</v>
      </c>
      <c r="C862" s="8" t="s">
        <v>253</v>
      </c>
      <c r="D862" s="8" t="s">
        <v>1193</v>
      </c>
      <c r="E862" s="9" t="n">
        <v>-40.33</v>
      </c>
      <c r="F862" s="8" t="s">
        <v>24</v>
      </c>
    </row>
    <row r="863" customFormat="false" ht="15" hidden="false" customHeight="true" outlineLevel="0" collapsed="false">
      <c r="A863" s="32" t="n">
        <v>46209</v>
      </c>
      <c r="B863" s="8" t="s">
        <v>1194</v>
      </c>
      <c r="C863" s="8" t="s">
        <v>256</v>
      </c>
      <c r="D863" s="8" t="s">
        <v>272</v>
      </c>
      <c r="E863" s="9" t="n">
        <v>-114.02</v>
      </c>
      <c r="F863" s="8" t="s">
        <v>21</v>
      </c>
    </row>
    <row r="864" customFormat="false" ht="15" hidden="false" customHeight="true" outlineLevel="0" collapsed="false">
      <c r="A864" s="32" t="n">
        <v>46209</v>
      </c>
      <c r="B864" s="8" t="s">
        <v>1195</v>
      </c>
      <c r="C864" s="8" t="s">
        <v>259</v>
      </c>
      <c r="D864" s="8" t="s">
        <v>260</v>
      </c>
      <c r="E864" s="9" t="n">
        <v>156.63</v>
      </c>
      <c r="F864" s="8" t="s">
        <v>261</v>
      </c>
    </row>
    <row r="865" customFormat="false" ht="15" hidden="false" customHeight="true" outlineLevel="0" collapsed="false">
      <c r="A865" s="32" t="n">
        <v>46209</v>
      </c>
      <c r="B865" s="8" t="s">
        <v>1196</v>
      </c>
      <c r="C865" s="8" t="s">
        <v>253</v>
      </c>
      <c r="D865" s="8" t="s">
        <v>1197</v>
      </c>
      <c r="E865" s="9" t="n">
        <v>-2</v>
      </c>
      <c r="F865" s="8" t="s">
        <v>17</v>
      </c>
    </row>
    <row r="866" customFormat="false" ht="15" hidden="false" customHeight="true" outlineLevel="0" collapsed="false">
      <c r="A866" s="32" t="n">
        <v>46209</v>
      </c>
      <c r="B866" s="8" t="s">
        <v>1198</v>
      </c>
      <c r="C866" s="8" t="s">
        <v>253</v>
      </c>
      <c r="D866" s="8" t="s">
        <v>1199</v>
      </c>
      <c r="E866" s="9" t="n">
        <v>-6.5</v>
      </c>
      <c r="F866" s="8" t="s">
        <v>17</v>
      </c>
    </row>
    <row r="867" customFormat="false" ht="15" hidden="false" customHeight="true" outlineLevel="0" collapsed="false">
      <c r="A867" s="32" t="n">
        <v>46209</v>
      </c>
      <c r="B867" s="8" t="s">
        <v>1200</v>
      </c>
      <c r="C867" s="8" t="s">
        <v>256</v>
      </c>
      <c r="D867" s="8" t="s">
        <v>274</v>
      </c>
      <c r="E867" s="9" t="n">
        <v>-0.36</v>
      </c>
      <c r="F867" s="8" t="s">
        <v>20</v>
      </c>
    </row>
    <row r="868" customFormat="false" ht="15" hidden="false" customHeight="true" outlineLevel="0" collapsed="false">
      <c r="A868" s="32" t="n">
        <v>46209</v>
      </c>
      <c r="B868" s="8" t="s">
        <v>1201</v>
      </c>
      <c r="C868" s="8" t="s">
        <v>253</v>
      </c>
      <c r="D868" s="8" t="s">
        <v>1025</v>
      </c>
      <c r="E868" s="9" t="n">
        <v>-195.96</v>
      </c>
      <c r="F868" s="8" t="s">
        <v>24</v>
      </c>
    </row>
    <row r="869" customFormat="false" ht="15" hidden="false" customHeight="true" outlineLevel="0" collapsed="false">
      <c r="A869" s="32" t="n">
        <v>46211</v>
      </c>
      <c r="B869" s="8" t="s">
        <v>1202</v>
      </c>
      <c r="C869" s="8" t="s">
        <v>266</v>
      </c>
      <c r="D869" s="8" t="s">
        <v>1203</v>
      </c>
      <c r="E869" s="9" t="n">
        <v>10142</v>
      </c>
      <c r="F869" s="8" t="s">
        <v>261</v>
      </c>
    </row>
    <row r="870" customFormat="false" ht="15" hidden="false" customHeight="true" outlineLevel="0" collapsed="false">
      <c r="A870" s="32" t="n">
        <v>46211</v>
      </c>
      <c r="B870" s="8" t="s">
        <v>1204</v>
      </c>
      <c r="C870" s="8" t="s">
        <v>253</v>
      </c>
      <c r="D870" s="8" t="s">
        <v>288</v>
      </c>
      <c r="E870" s="9" t="n">
        <v>-34.19</v>
      </c>
      <c r="F870" s="8" t="s">
        <v>20</v>
      </c>
    </row>
    <row r="871" customFormat="false" ht="15" hidden="false" customHeight="true" outlineLevel="0" collapsed="false">
      <c r="A871" s="32" t="n">
        <v>46211</v>
      </c>
      <c r="B871" s="8" t="s">
        <v>1205</v>
      </c>
      <c r="C871" s="8" t="s">
        <v>253</v>
      </c>
      <c r="D871" s="8" t="s">
        <v>290</v>
      </c>
      <c r="E871" s="9" t="n">
        <v>-65.56</v>
      </c>
      <c r="F871" s="8" t="s">
        <v>17</v>
      </c>
    </row>
    <row r="872" customFormat="false" ht="15" hidden="false" customHeight="true" outlineLevel="0" collapsed="false">
      <c r="A872" s="32" t="n">
        <v>46211</v>
      </c>
      <c r="B872" s="8" t="s">
        <v>1204</v>
      </c>
      <c r="C872" s="8" t="s">
        <v>287</v>
      </c>
      <c r="D872" s="8" t="s">
        <v>288</v>
      </c>
      <c r="E872" s="9" t="n">
        <v>-0.51</v>
      </c>
      <c r="F872" s="8" t="s">
        <v>25</v>
      </c>
    </row>
    <row r="873" customFormat="false" ht="15" hidden="false" customHeight="true" outlineLevel="0" collapsed="false">
      <c r="A873" s="32" t="n">
        <v>46211</v>
      </c>
      <c r="B873" s="8" t="s">
        <v>1206</v>
      </c>
      <c r="C873" s="8" t="s">
        <v>253</v>
      </c>
      <c r="D873" s="8" t="s">
        <v>284</v>
      </c>
      <c r="E873" s="9" t="n">
        <v>-13.99</v>
      </c>
      <c r="F873" s="8" t="s">
        <v>20</v>
      </c>
    </row>
    <row r="874" customFormat="false" ht="15" hidden="false" customHeight="true" outlineLevel="0" collapsed="false">
      <c r="A874" s="32" t="n">
        <v>46211</v>
      </c>
      <c r="B874" s="8" t="s">
        <v>1207</v>
      </c>
      <c r="C874" s="8" t="s">
        <v>253</v>
      </c>
      <c r="D874" s="8" t="s">
        <v>419</v>
      </c>
      <c r="E874" s="9" t="n">
        <v>-842.81</v>
      </c>
      <c r="F874" s="8" t="s">
        <v>19</v>
      </c>
    </row>
    <row r="875" customFormat="false" ht="15" hidden="false" customHeight="true" outlineLevel="0" collapsed="false">
      <c r="A875" s="32" t="n">
        <v>46211</v>
      </c>
      <c r="B875" s="8" t="s">
        <v>1208</v>
      </c>
      <c r="C875" s="8" t="s">
        <v>253</v>
      </c>
      <c r="D875" s="8" t="s">
        <v>276</v>
      </c>
      <c r="E875" s="9" t="n">
        <v>-28</v>
      </c>
      <c r="F875" s="8" t="s">
        <v>18</v>
      </c>
    </row>
    <row r="876" customFormat="false" ht="15" hidden="false" customHeight="true" outlineLevel="0" collapsed="false">
      <c r="A876" s="32" t="n">
        <v>46211</v>
      </c>
      <c r="B876" s="8" t="s">
        <v>1202</v>
      </c>
      <c r="C876" s="8" t="s">
        <v>300</v>
      </c>
      <c r="D876" s="8" t="s">
        <v>301</v>
      </c>
      <c r="E876" s="9" t="n">
        <v>-1.2</v>
      </c>
      <c r="F876" s="8" t="s">
        <v>25</v>
      </c>
    </row>
    <row r="877" customFormat="false" ht="15" hidden="false" customHeight="true" outlineLevel="0" collapsed="false">
      <c r="A877" s="32" t="n">
        <v>46211</v>
      </c>
      <c r="B877" s="8" t="s">
        <v>1205</v>
      </c>
      <c r="C877" s="8" t="s">
        <v>253</v>
      </c>
      <c r="D877" s="8" t="s">
        <v>290</v>
      </c>
      <c r="E877" s="9" t="n">
        <v>-4.58</v>
      </c>
      <c r="F877" s="8" t="s">
        <v>17</v>
      </c>
    </row>
    <row r="878" customFormat="false" ht="15" hidden="false" customHeight="true" outlineLevel="0" collapsed="false">
      <c r="A878" s="32" t="n">
        <v>46212</v>
      </c>
      <c r="B878" s="8" t="s">
        <v>1209</v>
      </c>
      <c r="C878" s="8" t="s">
        <v>253</v>
      </c>
      <c r="D878" s="8" t="s">
        <v>32</v>
      </c>
      <c r="E878" s="9" t="n">
        <v>-74.96</v>
      </c>
      <c r="F878" s="8" t="s">
        <v>17</v>
      </c>
    </row>
    <row r="879" customFormat="false" ht="15" hidden="false" customHeight="true" outlineLevel="0" collapsed="false">
      <c r="A879" s="32" t="n">
        <v>46212</v>
      </c>
      <c r="B879" s="8" t="s">
        <v>1210</v>
      </c>
      <c r="C879" s="8" t="s">
        <v>287</v>
      </c>
      <c r="D879" s="8" t="s">
        <v>1115</v>
      </c>
      <c r="E879" s="9" t="n">
        <v>-4.45</v>
      </c>
      <c r="F879" s="8" t="s">
        <v>25</v>
      </c>
    </row>
    <row r="880" customFormat="false" ht="15" hidden="false" customHeight="true" outlineLevel="0" collapsed="false">
      <c r="A880" s="32" t="n">
        <v>46212</v>
      </c>
      <c r="B880" s="8" t="s">
        <v>1211</v>
      </c>
      <c r="C880" s="8" t="s">
        <v>269</v>
      </c>
      <c r="D880" s="8" t="s">
        <v>1212</v>
      </c>
      <c r="E880" s="9" t="n">
        <v>-242</v>
      </c>
      <c r="F880" s="8" t="s">
        <v>10</v>
      </c>
    </row>
    <row r="881" customFormat="false" ht="15" hidden="false" customHeight="true" outlineLevel="0" collapsed="false">
      <c r="A881" s="32" t="n">
        <v>46212</v>
      </c>
      <c r="B881" s="8" t="s">
        <v>1210</v>
      </c>
      <c r="C881" s="8" t="s">
        <v>253</v>
      </c>
      <c r="D881" s="8" t="s">
        <v>1115</v>
      </c>
      <c r="E881" s="9" t="n">
        <v>-153.71</v>
      </c>
      <c r="F881" s="8" t="s">
        <v>19</v>
      </c>
    </row>
    <row r="882" customFormat="false" ht="15" hidden="false" customHeight="true" outlineLevel="0" collapsed="false">
      <c r="A882" s="32" t="n">
        <v>46212</v>
      </c>
      <c r="B882" s="8" t="s">
        <v>717</v>
      </c>
      <c r="C882" s="8" t="s">
        <v>718</v>
      </c>
      <c r="D882" s="8" t="s">
        <v>719</v>
      </c>
      <c r="E882" s="9" t="n">
        <v>-558.24</v>
      </c>
      <c r="F882" s="8" t="s">
        <v>27</v>
      </c>
    </row>
    <row r="883" customFormat="false" ht="15" hidden="false" customHeight="true" outlineLevel="0" collapsed="false">
      <c r="A883" s="32" t="n">
        <v>46212</v>
      </c>
      <c r="B883" s="8" t="s">
        <v>1213</v>
      </c>
      <c r="C883" s="8" t="s">
        <v>253</v>
      </c>
      <c r="D883" s="8" t="s">
        <v>378</v>
      </c>
      <c r="E883" s="9" t="n">
        <v>-75.6</v>
      </c>
      <c r="F883" s="8" t="s">
        <v>29</v>
      </c>
    </row>
    <row r="884" customFormat="false" ht="15" hidden="false" customHeight="true" outlineLevel="0" collapsed="false">
      <c r="A884" s="32" t="n">
        <v>46213</v>
      </c>
      <c r="B884" s="8" t="s">
        <v>1214</v>
      </c>
      <c r="C884" s="8" t="s">
        <v>253</v>
      </c>
      <c r="D884" s="8" t="s">
        <v>419</v>
      </c>
      <c r="E884" s="9" t="n">
        <v>-338.71</v>
      </c>
      <c r="F884" s="8" t="s">
        <v>19</v>
      </c>
    </row>
    <row r="885" customFormat="false" ht="15" hidden="false" customHeight="true" outlineLevel="0" collapsed="false">
      <c r="A885" s="32" t="n">
        <v>46213</v>
      </c>
      <c r="B885" s="8" t="s">
        <v>298</v>
      </c>
      <c r="C885" s="8" t="s">
        <v>299</v>
      </c>
      <c r="D885" s="8"/>
      <c r="E885" s="9" t="n">
        <v>-508.31</v>
      </c>
      <c r="F885" s="8" t="s">
        <v>25</v>
      </c>
    </row>
    <row r="886" customFormat="false" ht="15" hidden="false" customHeight="true" outlineLevel="0" collapsed="false">
      <c r="A886" s="32" t="n">
        <v>46213</v>
      </c>
      <c r="B886" s="8" t="s">
        <v>1215</v>
      </c>
      <c r="C886" s="8" t="s">
        <v>256</v>
      </c>
      <c r="D886" s="8" t="s">
        <v>698</v>
      </c>
      <c r="E886" s="9" t="n">
        <v>-132.17</v>
      </c>
      <c r="F886" s="8" t="s">
        <v>26</v>
      </c>
    </row>
    <row r="887" customFormat="false" ht="15" hidden="false" customHeight="true" outlineLevel="0" collapsed="false">
      <c r="A887" s="32" t="n">
        <v>46213</v>
      </c>
      <c r="B887" s="8" t="s">
        <v>1216</v>
      </c>
      <c r="C887" s="8" t="s">
        <v>256</v>
      </c>
      <c r="D887" s="8" t="s">
        <v>306</v>
      </c>
      <c r="E887" s="9" t="n">
        <v>-78.46</v>
      </c>
      <c r="F887" s="8" t="s">
        <v>30</v>
      </c>
    </row>
    <row r="888" customFormat="false" ht="15" hidden="false" customHeight="true" outlineLevel="0" collapsed="false">
      <c r="A888" s="32" t="n">
        <v>46213</v>
      </c>
      <c r="B888" s="8" t="s">
        <v>1217</v>
      </c>
      <c r="C888" s="8" t="s">
        <v>253</v>
      </c>
      <c r="D888" s="8" t="s">
        <v>378</v>
      </c>
      <c r="E888" s="9" t="n">
        <v>-10.52</v>
      </c>
      <c r="F888" s="8" t="s">
        <v>29</v>
      </c>
    </row>
    <row r="889" customFormat="false" ht="15" hidden="false" customHeight="true" outlineLevel="0" collapsed="false">
      <c r="A889" s="32" t="n">
        <v>46213</v>
      </c>
      <c r="B889" s="8" t="s">
        <v>1215</v>
      </c>
      <c r="C889" s="8" t="s">
        <v>256</v>
      </c>
      <c r="D889" s="8" t="s">
        <v>292</v>
      </c>
      <c r="E889" s="9" t="n">
        <v>-253.02</v>
      </c>
      <c r="F889" s="8" t="s">
        <v>26</v>
      </c>
    </row>
    <row r="890" customFormat="false" ht="15" hidden="false" customHeight="true" outlineLevel="0" collapsed="false">
      <c r="A890" s="32" t="n">
        <v>46213</v>
      </c>
      <c r="B890" s="8" t="s">
        <v>1218</v>
      </c>
      <c r="C890" s="8" t="s">
        <v>253</v>
      </c>
      <c r="D890" s="8" t="s">
        <v>32</v>
      </c>
      <c r="E890" s="9" t="n">
        <v>-63.86</v>
      </c>
      <c r="F890" s="8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6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4" t="s">
        <v>247</v>
      </c>
      <c r="B1" s="14" t="s">
        <v>248</v>
      </c>
      <c r="C1" s="14" t="s">
        <v>249</v>
      </c>
      <c r="D1" s="14" t="s">
        <v>1219</v>
      </c>
      <c r="E1" s="14" t="s">
        <v>251</v>
      </c>
      <c r="F1" s="14" t="s">
        <v>1220</v>
      </c>
    </row>
    <row r="2" customFormat="false" ht="15" hidden="false" customHeight="true" outlineLevel="0" collapsed="false">
      <c r="A2" s="32" t="n">
        <v>46024</v>
      </c>
      <c r="B2" s="8" t="s">
        <v>258</v>
      </c>
      <c r="C2" s="8" t="s">
        <v>259</v>
      </c>
      <c r="D2" s="8" t="s">
        <v>260</v>
      </c>
      <c r="E2" s="15" t="n">
        <v>154.97</v>
      </c>
      <c r="F2" s="8" t="s">
        <v>48</v>
      </c>
    </row>
    <row r="3" customFormat="false" ht="15" hidden="false" customHeight="true" outlineLevel="0" collapsed="false">
      <c r="A3" s="32" t="n">
        <v>46027</v>
      </c>
      <c r="B3" s="8" t="s">
        <v>265</v>
      </c>
      <c r="C3" s="8" t="s">
        <v>266</v>
      </c>
      <c r="D3" s="8" t="s">
        <v>267</v>
      </c>
      <c r="E3" s="15" t="n">
        <v>1382.36</v>
      </c>
      <c r="F3" s="8" t="s">
        <v>39</v>
      </c>
    </row>
    <row r="4" customFormat="false" ht="15" hidden="false" customHeight="true" outlineLevel="0" collapsed="false">
      <c r="A4" s="32" t="n">
        <v>46028</v>
      </c>
      <c r="B4" s="8" t="s">
        <v>278</v>
      </c>
      <c r="C4" s="8" t="s">
        <v>259</v>
      </c>
      <c r="D4" s="8" t="s">
        <v>260</v>
      </c>
      <c r="E4" s="15" t="n">
        <v>115.84</v>
      </c>
      <c r="F4" s="8" t="s">
        <v>48</v>
      </c>
    </row>
    <row r="5" customFormat="false" ht="15" hidden="false" customHeight="true" outlineLevel="0" collapsed="false">
      <c r="A5" s="32" t="n">
        <v>46034</v>
      </c>
      <c r="B5" s="8" t="s">
        <v>294</v>
      </c>
      <c r="C5" s="8" t="s">
        <v>266</v>
      </c>
      <c r="D5" s="8" t="s">
        <v>295</v>
      </c>
      <c r="E5" s="15" t="n">
        <v>10707.68</v>
      </c>
      <c r="F5" s="8" t="s">
        <v>38</v>
      </c>
    </row>
    <row r="6" customFormat="false" ht="15" hidden="false" customHeight="true" outlineLevel="0" collapsed="false">
      <c r="A6" s="32" t="n">
        <v>46034</v>
      </c>
      <c r="B6" s="8" t="s">
        <v>296</v>
      </c>
      <c r="C6" s="8" t="s">
        <v>266</v>
      </c>
      <c r="D6" s="8" t="s">
        <v>297</v>
      </c>
      <c r="E6" s="15" t="n">
        <v>21555.14</v>
      </c>
      <c r="F6" s="8" t="s">
        <v>40</v>
      </c>
    </row>
    <row r="7" customFormat="false" ht="15" hidden="false" customHeight="true" outlineLevel="0" collapsed="false">
      <c r="A7" s="32" t="n">
        <v>46034</v>
      </c>
      <c r="B7" s="8" t="s">
        <v>303</v>
      </c>
      <c r="C7" s="8" t="s">
        <v>266</v>
      </c>
      <c r="D7" s="8" t="s">
        <v>295</v>
      </c>
      <c r="E7" s="15" t="n">
        <v>35100</v>
      </c>
      <c r="F7" s="8" t="s">
        <v>38</v>
      </c>
    </row>
    <row r="8" customFormat="false" ht="15" hidden="false" customHeight="true" outlineLevel="0" collapsed="false">
      <c r="A8" s="32" t="n">
        <v>46036</v>
      </c>
      <c r="B8" s="8" t="s">
        <v>341</v>
      </c>
      <c r="C8" s="8" t="s">
        <v>259</v>
      </c>
      <c r="D8" s="8" t="s">
        <v>342</v>
      </c>
      <c r="E8" s="15" t="n">
        <v>6230</v>
      </c>
      <c r="F8" s="8" t="s">
        <v>50</v>
      </c>
    </row>
    <row r="9" customFormat="false" ht="15" hidden="false" customHeight="true" outlineLevel="0" collapsed="false">
      <c r="A9" s="32" t="n">
        <v>46038</v>
      </c>
      <c r="B9" s="8" t="s">
        <v>354</v>
      </c>
      <c r="C9" s="8" t="s">
        <v>259</v>
      </c>
      <c r="D9" s="8" t="s">
        <v>260</v>
      </c>
      <c r="E9" s="15" t="n">
        <v>19.44</v>
      </c>
      <c r="F9" s="8" t="s">
        <v>48</v>
      </c>
    </row>
    <row r="10" customFormat="false" ht="15" hidden="false" customHeight="true" outlineLevel="0" collapsed="false">
      <c r="A10" s="32" t="n">
        <v>46038</v>
      </c>
      <c r="B10" s="8" t="s">
        <v>356</v>
      </c>
      <c r="C10" s="8" t="s">
        <v>259</v>
      </c>
      <c r="D10" s="8" t="s">
        <v>357</v>
      </c>
      <c r="E10" s="15" t="n">
        <v>6186</v>
      </c>
      <c r="F10" s="8" t="s">
        <v>45</v>
      </c>
    </row>
    <row r="11" customFormat="false" ht="15" hidden="false" customHeight="true" outlineLevel="0" collapsed="false">
      <c r="A11" s="32" t="n">
        <v>46041</v>
      </c>
      <c r="B11" s="8" t="s">
        <v>372</v>
      </c>
      <c r="C11" s="8" t="s">
        <v>266</v>
      </c>
      <c r="D11" s="8" t="s">
        <v>267</v>
      </c>
      <c r="E11" s="15" t="n">
        <v>3902</v>
      </c>
      <c r="F11" s="8" t="s">
        <v>39</v>
      </c>
    </row>
    <row r="12" customFormat="false" ht="15" hidden="false" customHeight="true" outlineLevel="0" collapsed="false">
      <c r="A12" s="32" t="n">
        <v>46042</v>
      </c>
      <c r="B12" s="8" t="s">
        <v>374</v>
      </c>
      <c r="C12" s="8" t="s">
        <v>259</v>
      </c>
      <c r="D12" s="8" t="s">
        <v>260</v>
      </c>
      <c r="E12" s="15" t="n">
        <v>38.43</v>
      </c>
      <c r="F12" s="8" t="s">
        <v>48</v>
      </c>
    </row>
    <row r="13" customFormat="false" ht="15" hidden="false" customHeight="true" outlineLevel="0" collapsed="false">
      <c r="A13" s="32" t="n">
        <v>46048</v>
      </c>
      <c r="B13" s="8" t="s">
        <v>429</v>
      </c>
      <c r="C13" s="8" t="s">
        <v>259</v>
      </c>
      <c r="D13" s="8" t="s">
        <v>260</v>
      </c>
      <c r="E13" s="15" t="n">
        <v>39.05</v>
      </c>
      <c r="F13" s="8" t="s">
        <v>48</v>
      </c>
    </row>
    <row r="14" customFormat="false" ht="15" hidden="false" customHeight="true" outlineLevel="0" collapsed="false">
      <c r="A14" s="32" t="n">
        <v>46051</v>
      </c>
      <c r="B14" s="8" t="s">
        <v>442</v>
      </c>
      <c r="C14" s="8" t="s">
        <v>259</v>
      </c>
      <c r="D14" s="8" t="s">
        <v>260</v>
      </c>
      <c r="E14" s="15" t="n">
        <v>19.44</v>
      </c>
      <c r="F14" s="8" t="s">
        <v>48</v>
      </c>
    </row>
    <row r="15" customFormat="false" ht="15" hidden="false" customHeight="true" outlineLevel="0" collapsed="false">
      <c r="A15" s="32" t="n">
        <v>46057</v>
      </c>
      <c r="B15" s="8" t="s">
        <v>463</v>
      </c>
      <c r="C15" s="8" t="s">
        <v>266</v>
      </c>
      <c r="D15" s="8" t="s">
        <v>295</v>
      </c>
      <c r="E15" s="15" t="n">
        <v>19696.5</v>
      </c>
      <c r="F15" s="8" t="s">
        <v>38</v>
      </c>
    </row>
    <row r="16" customFormat="false" ht="15" hidden="false" customHeight="true" outlineLevel="0" collapsed="false">
      <c r="A16" s="32" t="n">
        <v>46057</v>
      </c>
      <c r="B16" s="8" t="s">
        <v>469</v>
      </c>
      <c r="C16" s="8" t="s">
        <v>259</v>
      </c>
      <c r="D16" s="8" t="s">
        <v>470</v>
      </c>
      <c r="E16" s="15" t="n">
        <v>2394</v>
      </c>
      <c r="F16" s="8" t="s">
        <v>47</v>
      </c>
    </row>
    <row r="17" customFormat="false" ht="15" hidden="false" customHeight="true" outlineLevel="0" collapsed="false">
      <c r="A17" s="32" t="n">
        <v>46058</v>
      </c>
      <c r="B17" s="8" t="s">
        <v>472</v>
      </c>
      <c r="C17" s="8" t="s">
        <v>259</v>
      </c>
      <c r="D17" s="8" t="s">
        <v>260</v>
      </c>
      <c r="E17" s="15" t="n">
        <v>117.94</v>
      </c>
      <c r="F17" s="8" t="s">
        <v>48</v>
      </c>
    </row>
    <row r="18" customFormat="false" ht="15" hidden="false" customHeight="true" outlineLevel="0" collapsed="false">
      <c r="A18" s="32" t="n">
        <v>46063</v>
      </c>
      <c r="B18" s="8" t="s">
        <v>489</v>
      </c>
      <c r="C18" s="8" t="s">
        <v>259</v>
      </c>
      <c r="D18" s="8" t="s">
        <v>260</v>
      </c>
      <c r="E18" s="15" t="n">
        <v>19.44</v>
      </c>
      <c r="F18" s="8" t="s">
        <v>48</v>
      </c>
    </row>
    <row r="19" customFormat="false" ht="15" hidden="false" customHeight="true" outlineLevel="0" collapsed="false">
      <c r="A19" s="32" t="n">
        <v>46079</v>
      </c>
      <c r="B19" s="8" t="s">
        <v>528</v>
      </c>
      <c r="C19" s="8" t="s">
        <v>266</v>
      </c>
      <c r="D19" s="8" t="s">
        <v>295</v>
      </c>
      <c r="E19" s="15" t="n">
        <v>36272.2</v>
      </c>
      <c r="F19" s="8" t="s">
        <v>38</v>
      </c>
    </row>
    <row r="20" customFormat="false" ht="15" hidden="false" customHeight="true" outlineLevel="0" collapsed="false">
      <c r="A20" s="32" t="n">
        <v>46085</v>
      </c>
      <c r="B20" s="8" t="s">
        <v>565</v>
      </c>
      <c r="C20" s="8" t="s">
        <v>266</v>
      </c>
      <c r="D20" s="8" t="s">
        <v>295</v>
      </c>
      <c r="E20" s="15" t="n">
        <v>10000</v>
      </c>
      <c r="F20" s="8" t="s">
        <v>38</v>
      </c>
    </row>
    <row r="21" customFormat="false" ht="15" hidden="false" customHeight="true" outlineLevel="0" collapsed="false">
      <c r="A21" s="32" t="n">
        <v>46086</v>
      </c>
      <c r="B21" s="8" t="s">
        <v>568</v>
      </c>
      <c r="C21" s="8" t="s">
        <v>259</v>
      </c>
      <c r="D21" s="8" t="s">
        <v>260</v>
      </c>
      <c r="E21" s="15" t="n">
        <v>117.94</v>
      </c>
      <c r="F21" s="8" t="s">
        <v>48</v>
      </c>
    </row>
    <row r="22" customFormat="false" ht="15" hidden="false" customHeight="true" outlineLevel="0" collapsed="false">
      <c r="A22" s="32" t="n">
        <v>46087</v>
      </c>
      <c r="B22" s="8" t="s">
        <v>571</v>
      </c>
      <c r="C22" s="8" t="s">
        <v>259</v>
      </c>
      <c r="D22" s="8" t="s">
        <v>260</v>
      </c>
      <c r="E22" s="15" t="n">
        <v>39.05</v>
      </c>
      <c r="F22" s="8" t="s">
        <v>48</v>
      </c>
    </row>
    <row r="23" customFormat="false" ht="15" hidden="false" customHeight="true" outlineLevel="0" collapsed="false">
      <c r="A23" s="32" t="n">
        <v>46090</v>
      </c>
      <c r="B23" s="8" t="s">
        <v>586</v>
      </c>
      <c r="C23" s="8" t="s">
        <v>587</v>
      </c>
      <c r="D23" s="8" t="s">
        <v>588</v>
      </c>
      <c r="E23" s="15" t="n">
        <v>1048</v>
      </c>
      <c r="F23" s="8" t="s">
        <v>46</v>
      </c>
    </row>
    <row r="24" customFormat="false" ht="15" hidden="false" customHeight="true" outlineLevel="0" collapsed="false">
      <c r="A24" s="32" t="n">
        <v>46093</v>
      </c>
      <c r="B24" s="8" t="s">
        <v>601</v>
      </c>
      <c r="C24" s="8" t="s">
        <v>266</v>
      </c>
      <c r="D24" s="8" t="s">
        <v>295</v>
      </c>
      <c r="E24" s="15" t="n">
        <v>16000</v>
      </c>
      <c r="F24" s="8" t="s">
        <v>38</v>
      </c>
    </row>
    <row r="25" customFormat="false" ht="15" hidden="false" customHeight="true" outlineLevel="0" collapsed="false">
      <c r="A25" s="32" t="n">
        <v>46100</v>
      </c>
      <c r="B25" s="8" t="s">
        <v>624</v>
      </c>
      <c r="C25" s="8" t="s">
        <v>259</v>
      </c>
      <c r="D25" s="8" t="s">
        <v>260</v>
      </c>
      <c r="E25" s="15" t="n">
        <v>19.44</v>
      </c>
      <c r="F25" s="8" t="s">
        <v>48</v>
      </c>
    </row>
    <row r="26" customFormat="false" ht="15" hidden="false" customHeight="true" outlineLevel="0" collapsed="false">
      <c r="A26" s="32" t="n">
        <v>46105</v>
      </c>
      <c r="B26" s="8" t="s">
        <v>630</v>
      </c>
      <c r="C26" s="8" t="s">
        <v>266</v>
      </c>
      <c r="D26" s="8" t="s">
        <v>295</v>
      </c>
      <c r="E26" s="15" t="n">
        <v>22000</v>
      </c>
      <c r="F26" s="8" t="s">
        <v>38</v>
      </c>
    </row>
    <row r="27" customFormat="false" ht="15" hidden="false" customHeight="true" outlineLevel="0" collapsed="false">
      <c r="A27" s="32" t="n">
        <v>46113</v>
      </c>
      <c r="B27" s="8" t="s">
        <v>676</v>
      </c>
      <c r="C27" s="8" t="s">
        <v>587</v>
      </c>
      <c r="D27" s="8" t="s">
        <v>677</v>
      </c>
      <c r="E27" s="15" t="n">
        <v>3420</v>
      </c>
      <c r="F27" s="8" t="s">
        <v>44</v>
      </c>
    </row>
    <row r="28" customFormat="false" ht="15" hidden="false" customHeight="true" outlineLevel="0" collapsed="false">
      <c r="A28" s="32" t="n">
        <v>46113</v>
      </c>
      <c r="B28" s="8" t="s">
        <v>668</v>
      </c>
      <c r="C28" s="8" t="s">
        <v>266</v>
      </c>
      <c r="D28" s="8" t="s">
        <v>669</v>
      </c>
      <c r="E28" s="15" t="n">
        <v>25223</v>
      </c>
      <c r="F28" s="8" t="s">
        <v>40</v>
      </c>
    </row>
    <row r="29" customFormat="false" ht="15" hidden="false" customHeight="true" outlineLevel="0" collapsed="false">
      <c r="A29" s="32" t="n">
        <v>46121</v>
      </c>
      <c r="B29" s="8" t="s">
        <v>711</v>
      </c>
      <c r="C29" s="8" t="s">
        <v>266</v>
      </c>
      <c r="D29" s="8" t="s">
        <v>295</v>
      </c>
      <c r="E29" s="15" t="n">
        <v>10000</v>
      </c>
      <c r="F29" s="8" t="s">
        <v>38</v>
      </c>
    </row>
    <row r="30" customFormat="false" ht="15" hidden="false" customHeight="true" outlineLevel="0" collapsed="false">
      <c r="A30" s="32" t="n">
        <v>46121</v>
      </c>
      <c r="B30" s="8" t="s">
        <v>715</v>
      </c>
      <c r="C30" s="8" t="s">
        <v>259</v>
      </c>
      <c r="D30" s="8" t="s">
        <v>260</v>
      </c>
      <c r="E30" s="15" t="n">
        <v>117.94</v>
      </c>
      <c r="F30" s="8" t="s">
        <v>48</v>
      </c>
    </row>
    <row r="31" customFormat="false" ht="15" hidden="false" customHeight="true" outlineLevel="0" collapsed="false">
      <c r="A31" s="32" t="n">
        <v>46122</v>
      </c>
      <c r="B31" s="8" t="s">
        <v>726</v>
      </c>
      <c r="C31" s="8" t="s">
        <v>259</v>
      </c>
      <c r="D31" s="8" t="s">
        <v>260</v>
      </c>
      <c r="E31" s="15" t="n">
        <v>19.44</v>
      </c>
      <c r="F31" s="8" t="s">
        <v>48</v>
      </c>
    </row>
    <row r="32" customFormat="false" ht="15" hidden="false" customHeight="true" outlineLevel="0" collapsed="false">
      <c r="A32" s="32" t="n">
        <v>46125</v>
      </c>
      <c r="B32" s="8" t="s">
        <v>733</v>
      </c>
      <c r="C32" s="8" t="s">
        <v>259</v>
      </c>
      <c r="D32" s="8" t="s">
        <v>260</v>
      </c>
      <c r="E32" s="15" t="n">
        <v>39.13</v>
      </c>
      <c r="F32" s="8" t="s">
        <v>48</v>
      </c>
    </row>
    <row r="33" customFormat="false" ht="15" hidden="false" customHeight="true" outlineLevel="0" collapsed="false">
      <c r="A33" s="32" t="n">
        <v>46126</v>
      </c>
      <c r="B33" s="8" t="s">
        <v>762</v>
      </c>
      <c r="C33" s="8" t="s">
        <v>259</v>
      </c>
      <c r="D33" s="8" t="s">
        <v>260</v>
      </c>
      <c r="E33" s="15" t="n">
        <v>19.44</v>
      </c>
      <c r="F33" s="8" t="s">
        <v>48</v>
      </c>
    </row>
    <row r="34" customFormat="false" ht="15" hidden="false" customHeight="true" outlineLevel="0" collapsed="false">
      <c r="A34" s="32" t="n">
        <v>46128</v>
      </c>
      <c r="B34" s="8" t="s">
        <v>779</v>
      </c>
      <c r="C34" s="8" t="s">
        <v>259</v>
      </c>
      <c r="D34" s="8" t="s">
        <v>260</v>
      </c>
      <c r="E34" s="15" t="n">
        <v>97.62</v>
      </c>
      <c r="F34" s="8" t="s">
        <v>48</v>
      </c>
    </row>
    <row r="35" customFormat="false" ht="15" hidden="false" customHeight="true" outlineLevel="0" collapsed="false">
      <c r="A35" s="32" t="n">
        <v>46133</v>
      </c>
      <c r="B35" s="8" t="s">
        <v>818</v>
      </c>
      <c r="C35" s="8" t="s">
        <v>266</v>
      </c>
      <c r="D35" s="8" t="s">
        <v>295</v>
      </c>
      <c r="E35" s="15" t="n">
        <v>10000</v>
      </c>
      <c r="F35" s="8" t="s">
        <v>38</v>
      </c>
    </row>
    <row r="36" customFormat="false" ht="15" hidden="false" customHeight="true" outlineLevel="0" collapsed="false">
      <c r="A36" s="32" t="n">
        <v>46134</v>
      </c>
      <c r="B36" s="8" t="s">
        <v>826</v>
      </c>
      <c r="C36" s="8" t="s">
        <v>587</v>
      </c>
      <c r="D36" s="8" t="s">
        <v>588</v>
      </c>
      <c r="E36" s="15" t="n">
        <v>1729</v>
      </c>
      <c r="F36" s="8" t="s">
        <v>46</v>
      </c>
    </row>
    <row r="37" customFormat="false" ht="15" hidden="false" customHeight="true" outlineLevel="0" collapsed="false">
      <c r="A37" s="32" t="n">
        <v>46140</v>
      </c>
      <c r="B37" s="8" t="s">
        <v>851</v>
      </c>
      <c r="C37" s="8" t="s">
        <v>587</v>
      </c>
      <c r="D37" s="8" t="s">
        <v>852</v>
      </c>
      <c r="E37" s="15" t="n">
        <v>5000</v>
      </c>
      <c r="F37" s="8" t="s">
        <v>44</v>
      </c>
    </row>
    <row r="38" customFormat="false" ht="15" hidden="false" customHeight="true" outlineLevel="0" collapsed="false">
      <c r="A38" s="32" t="n">
        <v>46140</v>
      </c>
      <c r="B38" s="8" t="s">
        <v>853</v>
      </c>
      <c r="C38" s="8" t="s">
        <v>259</v>
      </c>
      <c r="D38" s="8" t="s">
        <v>260</v>
      </c>
      <c r="E38" s="15" t="n">
        <v>19.44</v>
      </c>
      <c r="F38" s="8" t="s">
        <v>48</v>
      </c>
    </row>
    <row r="39" customFormat="false" ht="15" hidden="false" customHeight="true" outlineLevel="0" collapsed="false">
      <c r="A39" s="32" t="n">
        <v>46141</v>
      </c>
      <c r="B39" s="8" t="s">
        <v>860</v>
      </c>
      <c r="C39" s="8" t="s">
        <v>266</v>
      </c>
      <c r="D39" s="8" t="s">
        <v>295</v>
      </c>
      <c r="E39" s="15" t="n">
        <v>52200</v>
      </c>
      <c r="F39" s="8" t="s">
        <v>38</v>
      </c>
    </row>
    <row r="40" customFormat="false" ht="15" hidden="false" customHeight="true" outlineLevel="0" collapsed="false">
      <c r="A40" s="32" t="n">
        <v>46142</v>
      </c>
      <c r="B40" s="8" t="s">
        <v>872</v>
      </c>
      <c r="C40" s="8" t="s">
        <v>587</v>
      </c>
      <c r="D40" s="8" t="s">
        <v>873</v>
      </c>
      <c r="E40" s="15" t="n">
        <v>4786</v>
      </c>
      <c r="F40" s="8" t="s">
        <v>45</v>
      </c>
    </row>
    <row r="41" customFormat="false" ht="15" hidden="false" customHeight="true" outlineLevel="0" collapsed="false">
      <c r="A41" s="32" t="n">
        <v>46148</v>
      </c>
      <c r="B41" s="8" t="s">
        <v>900</v>
      </c>
      <c r="C41" s="8" t="s">
        <v>587</v>
      </c>
      <c r="D41" s="8" t="s">
        <v>901</v>
      </c>
      <c r="E41" s="15" t="n">
        <v>8000</v>
      </c>
      <c r="F41" s="8" t="s">
        <v>44</v>
      </c>
    </row>
    <row r="42" customFormat="false" ht="15" hidden="false" customHeight="true" outlineLevel="0" collapsed="false">
      <c r="A42" s="32" t="n">
        <v>46149</v>
      </c>
      <c r="B42" s="8" t="s">
        <v>907</v>
      </c>
      <c r="C42" s="8" t="s">
        <v>266</v>
      </c>
      <c r="D42" s="8" t="s">
        <v>295</v>
      </c>
      <c r="E42" s="15" t="n">
        <v>41200</v>
      </c>
      <c r="F42" s="8" t="s">
        <v>38</v>
      </c>
    </row>
    <row r="43" customFormat="false" ht="15" hidden="false" customHeight="true" outlineLevel="0" collapsed="false">
      <c r="A43" s="32" t="n">
        <v>46149</v>
      </c>
      <c r="B43" s="8" t="s">
        <v>908</v>
      </c>
      <c r="C43" s="8" t="s">
        <v>266</v>
      </c>
      <c r="D43" s="8" t="s">
        <v>295</v>
      </c>
      <c r="E43" s="15" t="n">
        <v>18000</v>
      </c>
      <c r="F43" s="8" t="s">
        <v>38</v>
      </c>
    </row>
    <row r="44" customFormat="false" ht="15" hidden="false" customHeight="true" outlineLevel="0" collapsed="false">
      <c r="A44" s="32" t="n">
        <v>46150</v>
      </c>
      <c r="B44" s="8" t="s">
        <v>912</v>
      </c>
      <c r="C44" s="8" t="s">
        <v>587</v>
      </c>
      <c r="D44" s="8" t="s">
        <v>901</v>
      </c>
      <c r="E44" s="15" t="n">
        <v>5720</v>
      </c>
      <c r="F44" s="8" t="s">
        <v>44</v>
      </c>
    </row>
    <row r="45" customFormat="false" ht="15" hidden="false" customHeight="true" outlineLevel="0" collapsed="false">
      <c r="A45" s="32" t="n">
        <v>46157</v>
      </c>
      <c r="B45" s="8" t="s">
        <v>940</v>
      </c>
      <c r="C45" s="8" t="s">
        <v>259</v>
      </c>
      <c r="D45" s="8" t="s">
        <v>260</v>
      </c>
      <c r="E45" s="15" t="n">
        <v>19.36</v>
      </c>
      <c r="F45" s="8" t="s">
        <v>48</v>
      </c>
    </row>
    <row r="46" customFormat="false" ht="15" hidden="false" customHeight="true" outlineLevel="0" collapsed="false">
      <c r="A46" s="32" t="n">
        <v>46160</v>
      </c>
      <c r="B46" s="8" t="s">
        <v>952</v>
      </c>
      <c r="C46" s="8" t="s">
        <v>953</v>
      </c>
      <c r="D46" s="8" t="s">
        <v>1221</v>
      </c>
      <c r="E46" s="15" t="n">
        <v>303.6</v>
      </c>
      <c r="F46" s="8" t="s">
        <v>51</v>
      </c>
    </row>
    <row r="47" customFormat="false" ht="15" hidden="false" customHeight="true" outlineLevel="0" collapsed="false">
      <c r="A47" s="32" t="n">
        <v>46160</v>
      </c>
      <c r="B47" s="8" t="s">
        <v>959</v>
      </c>
      <c r="C47" s="8" t="s">
        <v>259</v>
      </c>
      <c r="D47" s="8" t="s">
        <v>260</v>
      </c>
      <c r="E47" s="15" t="n">
        <v>39.13</v>
      </c>
      <c r="F47" s="8" t="s">
        <v>48</v>
      </c>
    </row>
    <row r="48" customFormat="false" ht="15" hidden="false" customHeight="true" outlineLevel="0" collapsed="false">
      <c r="A48" s="32" t="n">
        <v>46163</v>
      </c>
      <c r="B48" s="8" t="s">
        <v>972</v>
      </c>
      <c r="C48" s="8" t="s">
        <v>266</v>
      </c>
      <c r="D48" s="8" t="s">
        <v>974</v>
      </c>
      <c r="E48" s="15" t="n">
        <v>39712</v>
      </c>
      <c r="F48" s="8" t="s">
        <v>39</v>
      </c>
    </row>
    <row r="49" customFormat="false" ht="15" hidden="false" customHeight="true" outlineLevel="0" collapsed="false">
      <c r="A49" s="32" t="n">
        <v>46167</v>
      </c>
      <c r="B49" s="8" t="s">
        <v>984</v>
      </c>
      <c r="C49" s="8" t="s">
        <v>266</v>
      </c>
      <c r="D49" s="8" t="s">
        <v>974</v>
      </c>
      <c r="E49" s="15" t="n">
        <v>7002</v>
      </c>
      <c r="F49" s="8" t="s">
        <v>39</v>
      </c>
    </row>
    <row r="50" customFormat="false" ht="15" hidden="false" customHeight="true" outlineLevel="0" collapsed="false">
      <c r="A50" s="32" t="n">
        <v>46170</v>
      </c>
      <c r="B50" s="8" t="s">
        <v>1004</v>
      </c>
      <c r="C50" s="8" t="s">
        <v>587</v>
      </c>
      <c r="D50" s="8" t="s">
        <v>1005</v>
      </c>
      <c r="E50" s="15" t="n">
        <v>4900</v>
      </c>
      <c r="F50" s="8" t="s">
        <v>44</v>
      </c>
    </row>
    <row r="51" customFormat="false" ht="15" hidden="false" customHeight="true" outlineLevel="0" collapsed="false">
      <c r="A51" s="32" t="n">
        <v>46170</v>
      </c>
      <c r="B51" s="8" t="s">
        <v>1007</v>
      </c>
      <c r="C51" s="8" t="s">
        <v>259</v>
      </c>
      <c r="D51" s="8" t="s">
        <v>260</v>
      </c>
      <c r="E51" s="15" t="n">
        <v>116.74</v>
      </c>
      <c r="F51" s="8" t="s">
        <v>48</v>
      </c>
    </row>
    <row r="52" customFormat="false" ht="15" hidden="false" customHeight="true" outlineLevel="0" collapsed="false">
      <c r="A52" s="32" t="n">
        <v>46171</v>
      </c>
      <c r="B52" s="8" t="s">
        <v>1018</v>
      </c>
      <c r="C52" s="8" t="s">
        <v>587</v>
      </c>
      <c r="D52" s="8" t="s">
        <v>677</v>
      </c>
      <c r="E52" s="15" t="n">
        <v>5100</v>
      </c>
      <c r="F52" s="8" t="s">
        <v>44</v>
      </c>
    </row>
    <row r="53" customFormat="false" ht="15" hidden="false" customHeight="true" outlineLevel="0" collapsed="false">
      <c r="A53" s="32" t="n">
        <v>46171</v>
      </c>
      <c r="B53" s="8" t="s">
        <v>1014</v>
      </c>
      <c r="C53" s="8" t="s">
        <v>587</v>
      </c>
      <c r="D53" s="8" t="s">
        <v>873</v>
      </c>
      <c r="E53" s="15" t="n">
        <v>2095</v>
      </c>
      <c r="F53" s="8" t="s">
        <v>45</v>
      </c>
    </row>
    <row r="54" customFormat="false" ht="15" hidden="false" customHeight="true" outlineLevel="0" collapsed="false">
      <c r="A54" s="32" t="n">
        <v>46174</v>
      </c>
      <c r="B54" s="8" t="s">
        <v>1027</v>
      </c>
      <c r="C54" s="8" t="s">
        <v>587</v>
      </c>
      <c r="D54" s="8" t="s">
        <v>1028</v>
      </c>
      <c r="E54" s="15" t="n">
        <v>624</v>
      </c>
      <c r="F54" s="8" t="s">
        <v>49</v>
      </c>
    </row>
    <row r="55" customFormat="false" ht="15" hidden="false" customHeight="true" outlineLevel="0" collapsed="false">
      <c r="A55" s="32" t="n">
        <v>46177</v>
      </c>
      <c r="B55" s="8" t="s">
        <v>1047</v>
      </c>
      <c r="C55" s="8" t="s">
        <v>266</v>
      </c>
      <c r="D55" s="8" t="s">
        <v>295</v>
      </c>
      <c r="E55" s="15" t="n">
        <v>20000</v>
      </c>
      <c r="F55" s="8" t="s">
        <v>38</v>
      </c>
    </row>
    <row r="56" customFormat="false" ht="15" hidden="false" customHeight="true" outlineLevel="0" collapsed="false">
      <c r="A56" s="32" t="n">
        <v>46181</v>
      </c>
      <c r="B56" s="8" t="s">
        <v>1071</v>
      </c>
      <c r="C56" s="8" t="s">
        <v>587</v>
      </c>
      <c r="D56" s="8" t="s">
        <v>901</v>
      </c>
      <c r="E56" s="15" t="n">
        <v>5000</v>
      </c>
      <c r="F56" s="8" t="s">
        <v>44</v>
      </c>
    </row>
    <row r="57" customFormat="false" ht="15" hidden="false" customHeight="true" outlineLevel="0" collapsed="false">
      <c r="A57" s="32" t="n">
        <v>46188</v>
      </c>
      <c r="B57" s="8" t="s">
        <v>1106</v>
      </c>
      <c r="C57" s="8" t="s">
        <v>259</v>
      </c>
      <c r="D57" s="8" t="s">
        <v>260</v>
      </c>
      <c r="E57" s="15" t="n">
        <v>45.93</v>
      </c>
      <c r="F57" s="8" t="s">
        <v>48</v>
      </c>
    </row>
    <row r="58" customFormat="false" ht="15" hidden="false" customHeight="true" outlineLevel="0" collapsed="false">
      <c r="A58" s="32" t="n">
        <v>46188</v>
      </c>
      <c r="B58" s="8" t="s">
        <v>1107</v>
      </c>
      <c r="C58" s="8" t="s">
        <v>266</v>
      </c>
      <c r="D58" s="8" t="s">
        <v>297</v>
      </c>
      <c r="E58" s="15" t="n">
        <v>25158.4</v>
      </c>
      <c r="F58" s="8" t="s">
        <v>40</v>
      </c>
    </row>
    <row r="59" customFormat="false" ht="15" hidden="false" customHeight="true" outlineLevel="0" collapsed="false">
      <c r="A59" s="32" t="n">
        <v>46191</v>
      </c>
      <c r="B59" s="8" t="s">
        <v>1128</v>
      </c>
      <c r="C59" s="8" t="s">
        <v>259</v>
      </c>
      <c r="D59" s="8" t="s">
        <v>260</v>
      </c>
      <c r="E59" s="15" t="n">
        <v>45.11</v>
      </c>
      <c r="F59" s="8" t="s">
        <v>48</v>
      </c>
    </row>
    <row r="60" customFormat="false" ht="15" hidden="false" customHeight="true" outlineLevel="0" collapsed="false">
      <c r="A60" s="32" t="n">
        <v>46192</v>
      </c>
      <c r="B60" s="8" t="s">
        <v>1129</v>
      </c>
      <c r="C60" s="8" t="s">
        <v>259</v>
      </c>
      <c r="D60" s="8" t="s">
        <v>260</v>
      </c>
      <c r="E60" s="15" t="n">
        <v>52.48</v>
      </c>
      <c r="F60" s="8" t="s">
        <v>48</v>
      </c>
    </row>
    <row r="61" customFormat="false" ht="15" hidden="false" customHeight="true" outlineLevel="0" collapsed="false">
      <c r="A61" s="32" t="n">
        <v>46196</v>
      </c>
      <c r="B61" s="8" t="s">
        <v>1138</v>
      </c>
      <c r="C61" s="8" t="s">
        <v>259</v>
      </c>
      <c r="D61" s="8" t="s">
        <v>260</v>
      </c>
      <c r="E61" s="15" t="n">
        <v>26.24</v>
      </c>
      <c r="F61" s="8" t="s">
        <v>48</v>
      </c>
    </row>
    <row r="62" customFormat="false" ht="15" hidden="false" customHeight="true" outlineLevel="0" collapsed="false">
      <c r="A62" s="32" t="n">
        <v>46197</v>
      </c>
      <c r="B62" s="8" t="s">
        <v>1141</v>
      </c>
      <c r="C62" s="8" t="s">
        <v>266</v>
      </c>
      <c r="D62" s="8" t="s">
        <v>974</v>
      </c>
      <c r="E62" s="15" t="n">
        <v>49675</v>
      </c>
      <c r="F62" s="8" t="s">
        <v>39</v>
      </c>
    </row>
    <row r="63" customFormat="false" ht="15" hidden="false" customHeight="true" outlineLevel="0" collapsed="false">
      <c r="A63" s="32" t="n">
        <v>46198</v>
      </c>
      <c r="B63" s="8" t="s">
        <v>1143</v>
      </c>
      <c r="C63" s="8" t="s">
        <v>266</v>
      </c>
      <c r="D63" s="8" t="s">
        <v>295</v>
      </c>
      <c r="E63" s="15" t="n">
        <v>64800</v>
      </c>
      <c r="F63" s="8" t="s">
        <v>38</v>
      </c>
    </row>
    <row r="64" customFormat="false" ht="15" hidden="false" customHeight="true" outlineLevel="0" collapsed="false">
      <c r="A64" s="32" t="n">
        <v>46198</v>
      </c>
      <c r="B64" s="8" t="s">
        <v>1145</v>
      </c>
      <c r="C64" s="8" t="s">
        <v>266</v>
      </c>
      <c r="D64" s="8" t="s">
        <v>295</v>
      </c>
      <c r="E64" s="15" t="n">
        <v>10000</v>
      </c>
      <c r="F64" s="8" t="s">
        <v>38</v>
      </c>
    </row>
    <row r="65" customFormat="false" ht="15" hidden="false" customHeight="true" outlineLevel="0" collapsed="false">
      <c r="A65" s="32" t="n">
        <v>46198</v>
      </c>
      <c r="B65" s="8" t="s">
        <v>1146</v>
      </c>
      <c r="C65" s="8" t="s">
        <v>259</v>
      </c>
      <c r="D65" s="8" t="s">
        <v>260</v>
      </c>
      <c r="E65" s="15" t="n">
        <v>26.24</v>
      </c>
      <c r="F65" s="8" t="s">
        <v>48</v>
      </c>
    </row>
    <row r="66" customFormat="false" ht="15" hidden="false" customHeight="true" outlineLevel="0" collapsed="false">
      <c r="A66" s="32" t="n">
        <v>46204</v>
      </c>
      <c r="B66" s="8" t="s">
        <v>1177</v>
      </c>
      <c r="C66" s="8" t="s">
        <v>266</v>
      </c>
      <c r="D66" s="8" t="s">
        <v>295</v>
      </c>
      <c r="E66" s="15" t="n">
        <v>20000</v>
      </c>
      <c r="F66" s="8" t="s">
        <v>38</v>
      </c>
    </row>
    <row r="67" customFormat="false" ht="15" hidden="false" customHeight="true" outlineLevel="0" collapsed="false">
      <c r="A67" s="32" t="n">
        <v>46205</v>
      </c>
      <c r="B67" s="8" t="s">
        <v>1184</v>
      </c>
      <c r="C67" s="8" t="s">
        <v>259</v>
      </c>
      <c r="D67" s="8" t="s">
        <v>260</v>
      </c>
      <c r="E67" s="15" t="n">
        <v>50.97</v>
      </c>
      <c r="F67" s="8" t="s">
        <v>48</v>
      </c>
    </row>
    <row r="68" customFormat="false" ht="15" hidden="false" customHeight="true" outlineLevel="0" collapsed="false">
      <c r="A68" s="32" t="n">
        <v>46206</v>
      </c>
      <c r="B68" s="8" t="s">
        <v>1189</v>
      </c>
      <c r="C68" s="8" t="s">
        <v>259</v>
      </c>
      <c r="D68" s="8" t="s">
        <v>260</v>
      </c>
      <c r="E68" s="15" t="n">
        <v>45.93</v>
      </c>
      <c r="F68" s="8" t="s">
        <v>48</v>
      </c>
    </row>
    <row r="69" customFormat="false" ht="15" hidden="false" customHeight="true" outlineLevel="0" collapsed="false">
      <c r="A69" s="32" t="n">
        <v>46209</v>
      </c>
      <c r="B69" s="8" t="s">
        <v>1195</v>
      </c>
      <c r="C69" s="8" t="s">
        <v>259</v>
      </c>
      <c r="D69" s="8" t="s">
        <v>260</v>
      </c>
      <c r="E69" s="15" t="n">
        <v>156.63</v>
      </c>
      <c r="F69" s="8" t="s">
        <v>48</v>
      </c>
    </row>
    <row r="70" customFormat="false" ht="15" hidden="false" customHeight="true" outlineLevel="0" collapsed="false">
      <c r="A70" s="32" t="n">
        <v>46211</v>
      </c>
      <c r="B70" s="8" t="s">
        <v>1202</v>
      </c>
      <c r="C70" s="8" t="s">
        <v>266</v>
      </c>
      <c r="D70" s="8" t="s">
        <v>1203</v>
      </c>
      <c r="E70" s="15" t="n">
        <v>10142</v>
      </c>
      <c r="F70" s="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2026-07-13T14:21:29Z</dcterms:created>
  <dc:creator>openpyxl</dc:creator>
  <dc:description/>
  <dc:language>en-US</dc:language>
  <cp:lastModifiedBy/>
  <dcterms:modified xsi:type="dcterms:W3CDTF">2026-07-15T13:21:10Z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